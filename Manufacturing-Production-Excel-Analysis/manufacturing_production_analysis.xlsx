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E:\All Projects\01. Excel\"/>
    </mc:Choice>
  </mc:AlternateContent>
  <xr:revisionPtr revIDLastSave="0" documentId="13_ncr:1_{28BD08B6-D20E-4306-B61C-02DCB2495AD4}" xr6:coauthVersionLast="47" xr6:coauthVersionMax="47" xr10:uidLastSave="{00000000-0000-0000-0000-000000000000}"/>
  <bookViews>
    <workbookView xWindow="-120" yWindow="-120" windowWidth="20730" windowHeight="11160" tabRatio="599" xr2:uid="{00000000-000D-0000-FFFF-FFFF00000000}"/>
  </bookViews>
  <sheets>
    <sheet name="Dashboard" sheetId="7" r:id="rId1"/>
    <sheet name="Raw_Data" sheetId="3" r:id="rId2"/>
    <sheet name="Clean_Data" sheetId="1" r:id="rId3"/>
    <sheet name="Formula_Analysis" sheetId="5" r:id="rId4"/>
    <sheet name="Product_Lookup" sheetId="2" r:id="rId5"/>
    <sheet name="Pivot_Analysis" sheetId="6" r:id="rId6"/>
  </sheets>
  <definedNames>
    <definedName name="Product_List">tblProductLookup[Product]</definedName>
    <definedName name="Slicer_Department">#N/A</definedName>
    <definedName name="Slicer_Quality_Status">#N/A</definedName>
    <definedName name="Slicer_Shift">#N/A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1" i="7" l="1"/>
  <c r="H36" i="5"/>
  <c r="H37" i="5"/>
  <c r="H38" i="5"/>
  <c r="H39" i="5"/>
  <c r="H40" i="5"/>
  <c r="H35" i="5"/>
  <c r="N29" i="7"/>
  <c r="N27" i="7"/>
  <c r="O6" i="7"/>
  <c r="L6" i="7"/>
  <c r="F6" i="7"/>
  <c r="C6" i="7"/>
  <c r="D10" i="6"/>
  <c r="I6" i="7" s="1"/>
  <c r="D5" i="6"/>
  <c r="D6" i="6"/>
  <c r="D7" i="6"/>
  <c r="D8" i="6"/>
  <c r="D9" i="6"/>
  <c r="D4" i="6"/>
  <c r="A61" i="5" a="1"/>
  <c r="A61" i="5"/>
  <c r="B50" i="5"/>
  <c r="B47" i="5"/>
  <c r="B49" i="5"/>
  <c r="B46" i="5"/>
  <c r="G36" i="5"/>
  <c r="G37" i="5"/>
  <c r="G38" i="5"/>
  <c r="G39" i="5"/>
  <c r="G40" i="5"/>
  <c r="G35" i="5"/>
  <c r="B36" i="5"/>
  <c r="C36" i="5"/>
  <c r="D36" i="5"/>
  <c r="E36" i="5"/>
  <c r="F36" i="5"/>
  <c r="B37" i="5"/>
  <c r="C37" i="5"/>
  <c r="D37" i="5"/>
  <c r="E37" i="5"/>
  <c r="F37" i="5"/>
  <c r="B38" i="5"/>
  <c r="C38" i="5"/>
  <c r="D38" i="5"/>
  <c r="E38" i="5"/>
  <c r="F38" i="5"/>
  <c r="B39" i="5"/>
  <c r="C39" i="5"/>
  <c r="D39" i="5"/>
  <c r="E39" i="5"/>
  <c r="F39" i="5"/>
  <c r="B40" i="5"/>
  <c r="C40" i="5"/>
  <c r="D40" i="5"/>
  <c r="E40" i="5"/>
  <c r="F40" i="5"/>
  <c r="F35" i="5"/>
  <c r="E35" i="5"/>
  <c r="C35" i="5"/>
  <c r="D35" i="5"/>
  <c r="B35" i="5"/>
  <c r="A35" i="5" a="1"/>
  <c r="A35" i="5"/>
  <c r="C25" i="5"/>
  <c r="C26" i="5"/>
  <c r="C27" i="5"/>
  <c r="C28" i="5"/>
  <c r="C29" i="5"/>
  <c r="C24" i="5"/>
  <c r="B25" i="5"/>
  <c r="B26" i="5"/>
  <c r="B27" i="5"/>
  <c r="B28" i="5"/>
  <c r="B29" i="5"/>
  <c r="B24" i="5"/>
  <c r="A24" i="5" a="1"/>
  <c r="A24" i="5"/>
  <c r="A12" i="5" a="1"/>
  <c r="A12" i="5"/>
  <c r="C13" i="5"/>
  <c r="C14" i="5"/>
  <c r="C15" i="5"/>
  <c r="C16" i="5"/>
  <c r="C12" i="5"/>
  <c r="B13" i="5"/>
  <c r="D13" i="5" s="1"/>
  <c r="B14" i="5"/>
  <c r="D14" i="5" s="1"/>
  <c r="B15" i="5"/>
  <c r="D15" i="5" s="1"/>
  <c r="B16" i="5"/>
  <c r="D16" i="5" s="1"/>
  <c r="B12" i="5"/>
  <c r="D6" i="5"/>
  <c r="C6" i="5"/>
  <c r="B6" i="5"/>
  <c r="N25" i="7" l="1"/>
  <c r="O25" i="7"/>
  <c r="L58" i="5"/>
  <c r="L57" i="5"/>
  <c r="L56" i="5"/>
  <c r="L55" i="5"/>
  <c r="D12" i="5"/>
  <c r="C17" i="5"/>
  <c r="C18" i="5" s="1"/>
  <c r="B17" i="5"/>
  <c r="L59" i="5" l="1"/>
  <c r="D17" i="5"/>
  <c r="B18" i="5"/>
  <c r="D18" i="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<sst xmlns="http://schemas.openxmlformats.org/spreadsheetml/2006/main" count="19393" uniqueCount="1370">
  <si>
    <t>Production_ID</t>
  </si>
  <si>
    <t>Production_Date</t>
  </si>
  <si>
    <t>Product</t>
  </si>
  <si>
    <t>Department</t>
  </si>
  <si>
    <t>Machine</t>
  </si>
  <si>
    <t>Operator_ID</t>
  </si>
  <si>
    <t>Shift</t>
  </si>
  <si>
    <t>Production_Target</t>
  </si>
  <si>
    <t>Actual_Production</t>
  </si>
  <si>
    <t>Defects</t>
  </si>
  <si>
    <t>Downtime_Hours</t>
  </si>
  <si>
    <t>Material_Cost</t>
  </si>
  <si>
    <t>Labour_Hours</t>
  </si>
  <si>
    <t>Labour_Cost</t>
  </si>
  <si>
    <t>Order_Quantity</t>
  </si>
  <si>
    <t>Due_Date</t>
  </si>
  <si>
    <t>Actual_Delivery_Date</t>
  </si>
  <si>
    <t>Quality_Status</t>
  </si>
  <si>
    <t>Customer</t>
  </si>
  <si>
    <t>PRD-00001</t>
  </si>
  <si>
    <t>Composite Panel B</t>
  </si>
  <si>
    <t>Composite</t>
  </si>
  <si>
    <t>Autoclave-01</t>
  </si>
  <si>
    <t>OP-008</t>
  </si>
  <si>
    <t>Night</t>
  </si>
  <si>
    <t>Passed</t>
  </si>
  <si>
    <t>Precision Air</t>
  </si>
  <si>
    <t>PRD-00002</t>
  </si>
  <si>
    <t>Machined Housing</t>
  </si>
  <si>
    <t>Machining</t>
  </si>
  <si>
    <t>CNC-04</t>
  </si>
  <si>
    <t>OP-007</t>
  </si>
  <si>
    <t>Evening</t>
  </si>
  <si>
    <t>AeroTech UK</t>
  </si>
  <si>
    <t>PRD-00003</t>
  </si>
  <si>
    <t>Repair Component</t>
  </si>
  <si>
    <t>Spares &amp; Repairs</t>
  </si>
  <si>
    <t>Repair-01</t>
  </si>
  <si>
    <t>OP-029</t>
  </si>
  <si>
    <t>Rejected</t>
  </si>
  <si>
    <t>PRD-00004</t>
  </si>
  <si>
    <t>OP-022</t>
  </si>
  <si>
    <t>PRD-00005</t>
  </si>
  <si>
    <t>Sheet Metal Bracket</t>
  </si>
  <si>
    <t>Sheet Metal</t>
  </si>
  <si>
    <t>Bender-01</t>
  </si>
  <si>
    <t>OP-013</t>
  </si>
  <si>
    <t>PRD-00006</t>
  </si>
  <si>
    <t>Assembly Kit Y</t>
  </si>
  <si>
    <t>Assembly</t>
  </si>
  <si>
    <t>Assembly-01</t>
  </si>
  <si>
    <t>NorthStar Aviation</t>
  </si>
  <si>
    <t>PRD-00007</t>
  </si>
  <si>
    <t>Surface Treatment Part</t>
  </si>
  <si>
    <t>Surface Treatment</t>
  </si>
  <si>
    <t>Surface-01</t>
  </si>
  <si>
    <t>OP-028</t>
  </si>
  <si>
    <t>Day</t>
  </si>
  <si>
    <t>PRD-00008</t>
  </si>
  <si>
    <t>Assembly Kit X</t>
  </si>
  <si>
    <t>Assembly-03</t>
  </si>
  <si>
    <t>OP-027</t>
  </si>
  <si>
    <t>PRD-00009</t>
  </si>
  <si>
    <t>CNC-02</t>
  </si>
  <si>
    <t>OP-002</t>
  </si>
  <si>
    <t>PRD-00010</t>
  </si>
  <si>
    <t>CNC-01</t>
  </si>
  <si>
    <t>OP-030</t>
  </si>
  <si>
    <t>PRD-00011</t>
  </si>
  <si>
    <t>Repair-02</t>
  </si>
  <si>
    <t>PRD-00012</t>
  </si>
  <si>
    <t>OP-004</t>
  </si>
  <si>
    <t>Global Aero Systems</t>
  </si>
  <si>
    <t>PRD-00013</t>
  </si>
  <si>
    <t>OP-015</t>
  </si>
  <si>
    <t>PRD-00014</t>
  </si>
  <si>
    <t>Assembly-02</t>
  </si>
  <si>
    <t>OP-014</t>
  </si>
  <si>
    <t>PRD-00015</t>
  </si>
  <si>
    <t>PRD-00016</t>
  </si>
  <si>
    <t>Composite Panel A</t>
  </si>
  <si>
    <t>PRD-00017</t>
  </si>
  <si>
    <t>PRD-00018</t>
  </si>
  <si>
    <t>OP-026</t>
  </si>
  <si>
    <t>PRD-00019</t>
  </si>
  <si>
    <t>OP-017</t>
  </si>
  <si>
    <t>SkyWorks</t>
  </si>
  <si>
    <t>PRD-00020</t>
  </si>
  <si>
    <t>OP-003</t>
  </si>
  <si>
    <t>PRD-00021</t>
  </si>
  <si>
    <t>Autoclave-02</t>
  </si>
  <si>
    <t>OP-012</t>
  </si>
  <si>
    <t>PRD-00022</t>
  </si>
  <si>
    <t>Press-01</t>
  </si>
  <si>
    <t>PRD-00023</t>
  </si>
  <si>
    <t>CNC-03</t>
  </si>
  <si>
    <t>OP-011</t>
  </si>
  <si>
    <t>PRD-00024</t>
  </si>
  <si>
    <t>PRD-00025</t>
  </si>
  <si>
    <t>PRD-00026</t>
  </si>
  <si>
    <t>Rework</t>
  </si>
  <si>
    <t>PRD-00027</t>
  </si>
  <si>
    <t>PRD-00028</t>
  </si>
  <si>
    <t>PRD-00029</t>
  </si>
  <si>
    <t>OP-020</t>
  </si>
  <si>
    <t>PRD-00030</t>
  </si>
  <si>
    <t>OP-023</t>
  </si>
  <si>
    <t>PRD-00031</t>
  </si>
  <si>
    <t>PRD-00032</t>
  </si>
  <si>
    <t>PRD-00033</t>
  </si>
  <si>
    <t>OP-021</t>
  </si>
  <si>
    <t>PRD-00034</t>
  </si>
  <si>
    <t>OP-024</t>
  </si>
  <si>
    <t>PRD-00035</t>
  </si>
  <si>
    <t>OP-019</t>
  </si>
  <si>
    <t>PRD-00036</t>
  </si>
  <si>
    <t>PRD-00037</t>
  </si>
  <si>
    <t>PRD-00038</t>
  </si>
  <si>
    <t>PRD-00039</t>
  </si>
  <si>
    <t>OP-016</t>
  </si>
  <si>
    <t>PRD-00040</t>
  </si>
  <si>
    <t>PRD-00041</t>
  </si>
  <si>
    <t>OP-009</t>
  </si>
  <si>
    <t>PRD-00042</t>
  </si>
  <si>
    <t>PRD-00043</t>
  </si>
  <si>
    <t>OP-010</t>
  </si>
  <si>
    <t>PRD-00044</t>
  </si>
  <si>
    <t>PRD-00045</t>
  </si>
  <si>
    <t>PRD-00046</t>
  </si>
  <si>
    <t>PRD-00047</t>
  </si>
  <si>
    <t>PRD-00048</t>
  </si>
  <si>
    <t>Surface-02</t>
  </si>
  <si>
    <t>PRD-00049</t>
  </si>
  <si>
    <t>PRD-00050</t>
  </si>
  <si>
    <t>PRD-00051</t>
  </si>
  <si>
    <t>OP-001</t>
  </si>
  <si>
    <t>PRD-00052</t>
  </si>
  <si>
    <t>OP-018</t>
  </si>
  <si>
    <t>PRD-00053</t>
  </si>
  <si>
    <t>PRD-00054</t>
  </si>
  <si>
    <t>PRD-00055</t>
  </si>
  <si>
    <t>PRD-00056</t>
  </si>
  <si>
    <t>PRD-00057</t>
  </si>
  <si>
    <t>PRD-00058</t>
  </si>
  <si>
    <t>PRD-00059</t>
  </si>
  <si>
    <t>PRD-00060</t>
  </si>
  <si>
    <t>PRD-00061</t>
  </si>
  <si>
    <t>PRD-00062</t>
  </si>
  <si>
    <t>PRD-00063</t>
  </si>
  <si>
    <t>PRD-00064</t>
  </si>
  <si>
    <t>PRD-00065</t>
  </si>
  <si>
    <t>PRD-00066</t>
  </si>
  <si>
    <t>PRD-00067</t>
  </si>
  <si>
    <t>PRD-00068</t>
  </si>
  <si>
    <t>PRD-00069</t>
  </si>
  <si>
    <t>PRD-00070</t>
  </si>
  <si>
    <t>PRD-00071</t>
  </si>
  <si>
    <t>PRD-00072</t>
  </si>
  <si>
    <t>PRD-00073</t>
  </si>
  <si>
    <t>PRD-00074</t>
  </si>
  <si>
    <t>PRD-00075</t>
  </si>
  <si>
    <t>Laser-01</t>
  </si>
  <si>
    <t>PRD-00076</t>
  </si>
  <si>
    <t>PRD-00077</t>
  </si>
  <si>
    <t>PRD-00078</t>
  </si>
  <si>
    <t>PRD-00079</t>
  </si>
  <si>
    <t>PRD-00080</t>
  </si>
  <si>
    <t>PRD-00081</t>
  </si>
  <si>
    <t>PRD-00082</t>
  </si>
  <si>
    <t>PRD-00083</t>
  </si>
  <si>
    <t>OP-005</t>
  </si>
  <si>
    <t>PRD-00084</t>
  </si>
  <si>
    <t>PRD-00085</t>
  </si>
  <si>
    <t>PRD-00086</t>
  </si>
  <si>
    <t>PRD-00087</t>
  </si>
  <si>
    <t>PRD-00088</t>
  </si>
  <si>
    <t>PRD-00089</t>
  </si>
  <si>
    <t>PRD-00090</t>
  </si>
  <si>
    <t>PRD-00091</t>
  </si>
  <si>
    <t>PRD-00092</t>
  </si>
  <si>
    <t>PRD-00093</t>
  </si>
  <si>
    <t>PRD-00094</t>
  </si>
  <si>
    <t>PRD-00095</t>
  </si>
  <si>
    <t>PRD-00096</t>
  </si>
  <si>
    <t>PRD-00097</t>
  </si>
  <si>
    <t>PRD-00098</t>
  </si>
  <si>
    <t>PRD-00099</t>
  </si>
  <si>
    <t>PRD-00100</t>
  </si>
  <si>
    <t>PRD-00101</t>
  </si>
  <si>
    <t>PRD-00102</t>
  </si>
  <si>
    <t>PRD-00103</t>
  </si>
  <si>
    <t>PRD-00104</t>
  </si>
  <si>
    <t>PRD-00105</t>
  </si>
  <si>
    <t>PRD-00106</t>
  </si>
  <si>
    <t>PRD-00107</t>
  </si>
  <si>
    <t>PRD-00108</t>
  </si>
  <si>
    <t>PRD-00109</t>
  </si>
  <si>
    <t>OP-025</t>
  </si>
  <si>
    <t>PRD-00110</t>
  </si>
  <si>
    <t>PRD-00111</t>
  </si>
  <si>
    <t>PRD-00112</t>
  </si>
  <si>
    <t>PRD-00113</t>
  </si>
  <si>
    <t>PRD-00114</t>
  </si>
  <si>
    <t>PRD-00115</t>
  </si>
  <si>
    <t>PRD-00116</t>
  </si>
  <si>
    <t>PRD-00117</t>
  </si>
  <si>
    <t>PRD-00118</t>
  </si>
  <si>
    <t>PRD-00119</t>
  </si>
  <si>
    <t>PRD-00120</t>
  </si>
  <si>
    <t>PRD-00121</t>
  </si>
  <si>
    <t>PRD-00122</t>
  </si>
  <si>
    <t>PRD-00123</t>
  </si>
  <si>
    <t>PRD-00124</t>
  </si>
  <si>
    <t>PRD-00125</t>
  </si>
  <si>
    <t>PRD-00126</t>
  </si>
  <si>
    <t>PRD-00127</t>
  </si>
  <si>
    <t>PRD-00128</t>
  </si>
  <si>
    <t>PRD-00129</t>
  </si>
  <si>
    <t>PRD-00130</t>
  </si>
  <si>
    <t>PRD-00131</t>
  </si>
  <si>
    <t>PRD-00132</t>
  </si>
  <si>
    <t>PRD-00133</t>
  </si>
  <si>
    <t>PRD-00134</t>
  </si>
  <si>
    <t>PRD-00135</t>
  </si>
  <si>
    <t>PRD-00136</t>
  </si>
  <si>
    <t>PRD-00137</t>
  </si>
  <si>
    <t>PRD-00138</t>
  </si>
  <si>
    <t>PRD-00139</t>
  </si>
  <si>
    <t>PRD-00140</t>
  </si>
  <si>
    <t>PRD-00141</t>
  </si>
  <si>
    <t>PRD-00142</t>
  </si>
  <si>
    <t>PRD-00143</t>
  </si>
  <si>
    <t>PRD-00144</t>
  </si>
  <si>
    <t>PRD-00145</t>
  </si>
  <si>
    <t>PRD-00146</t>
  </si>
  <si>
    <t>PRD-00147</t>
  </si>
  <si>
    <t>PRD-00148</t>
  </si>
  <si>
    <t>PRD-00149</t>
  </si>
  <si>
    <t>PRD-00150</t>
  </si>
  <si>
    <t>PRD-00151</t>
  </si>
  <si>
    <t>PRD-00152</t>
  </si>
  <si>
    <t>PRD-00153</t>
  </si>
  <si>
    <t>PRD-00154</t>
  </si>
  <si>
    <t>PRD-00155</t>
  </si>
  <si>
    <t>OP-006</t>
  </si>
  <si>
    <t>PRD-00156</t>
  </si>
  <si>
    <t>PRD-00157</t>
  </si>
  <si>
    <t>PRD-00158</t>
  </si>
  <si>
    <t>PRD-00159</t>
  </si>
  <si>
    <t>PRD-00160</t>
  </si>
  <si>
    <t>PRD-00161</t>
  </si>
  <si>
    <t>PRD-00162</t>
  </si>
  <si>
    <t>PRD-00163</t>
  </si>
  <si>
    <t>PRD-00164</t>
  </si>
  <si>
    <t>PRD-00165</t>
  </si>
  <si>
    <t>PRD-00166</t>
  </si>
  <si>
    <t>PRD-00167</t>
  </si>
  <si>
    <t>PRD-00168</t>
  </si>
  <si>
    <t>PRD-00169</t>
  </si>
  <si>
    <t>PRD-00170</t>
  </si>
  <si>
    <t>PRD-00171</t>
  </si>
  <si>
    <t>PRD-00172</t>
  </si>
  <si>
    <t>PRD-00173</t>
  </si>
  <si>
    <t>PRD-00174</t>
  </si>
  <si>
    <t>PRD-00175</t>
  </si>
  <si>
    <t>PRD-00176</t>
  </si>
  <si>
    <t>PRD-00177</t>
  </si>
  <si>
    <t>PRD-00178</t>
  </si>
  <si>
    <t>PRD-00179</t>
  </si>
  <si>
    <t>PRD-00180</t>
  </si>
  <si>
    <t>PRD-00181</t>
  </si>
  <si>
    <t>PRD-00182</t>
  </si>
  <si>
    <t>PRD-00183</t>
  </si>
  <si>
    <t>PRD-00184</t>
  </si>
  <si>
    <t>PRD-00185</t>
  </si>
  <si>
    <t>PRD-00186</t>
  </si>
  <si>
    <t>PRD-00187</t>
  </si>
  <si>
    <t>PRD-00188</t>
  </si>
  <si>
    <t>PRD-00189</t>
  </si>
  <si>
    <t>PRD-00190</t>
  </si>
  <si>
    <t>PRD-00191</t>
  </si>
  <si>
    <t>PRD-00192</t>
  </si>
  <si>
    <t>PRD-00193</t>
  </si>
  <si>
    <t>PRD-00194</t>
  </si>
  <si>
    <t>PRD-00195</t>
  </si>
  <si>
    <t>PRD-00196</t>
  </si>
  <si>
    <t>PRD-00197</t>
  </si>
  <si>
    <t>PRD-00198</t>
  </si>
  <si>
    <t>PRD-00199</t>
  </si>
  <si>
    <t>PRD-00200</t>
  </si>
  <si>
    <t>PRD-00201</t>
  </si>
  <si>
    <t>PRD-00202</t>
  </si>
  <si>
    <t>PRD-00203</t>
  </si>
  <si>
    <t>PRD-00204</t>
  </si>
  <si>
    <t>PRD-00205</t>
  </si>
  <si>
    <t>PRD-00206</t>
  </si>
  <si>
    <t>PRD-00207</t>
  </si>
  <si>
    <t>PRD-00208</t>
  </si>
  <si>
    <t>PRD-00209</t>
  </si>
  <si>
    <t>PRD-00210</t>
  </si>
  <si>
    <t>PRD-00211</t>
  </si>
  <si>
    <t>PRD-00212</t>
  </si>
  <si>
    <t>PRD-00213</t>
  </si>
  <si>
    <t>PRD-00214</t>
  </si>
  <si>
    <t>PRD-00215</t>
  </si>
  <si>
    <t>PRD-00216</t>
  </si>
  <si>
    <t>PRD-00217</t>
  </si>
  <si>
    <t>PRD-00218</t>
  </si>
  <si>
    <t>PRD-00219</t>
  </si>
  <si>
    <t>PRD-00220</t>
  </si>
  <si>
    <t>PRD-00221</t>
  </si>
  <si>
    <t>PRD-00222</t>
  </si>
  <si>
    <t>PRD-00223</t>
  </si>
  <si>
    <t>PRD-00224</t>
  </si>
  <si>
    <t>PRD-00225</t>
  </si>
  <si>
    <t>PRD-00226</t>
  </si>
  <si>
    <t>PRD-00227</t>
  </si>
  <si>
    <t>PRD-00228</t>
  </si>
  <si>
    <t>PRD-00229</t>
  </si>
  <si>
    <t>PRD-00230</t>
  </si>
  <si>
    <t>composite</t>
  </si>
  <si>
    <t>PRD-00231</t>
  </si>
  <si>
    <t>PRD-00232</t>
  </si>
  <si>
    <t>PRD-00233</t>
  </si>
  <si>
    <t>PRD-00234</t>
  </si>
  <si>
    <t>PRD-00235</t>
  </si>
  <si>
    <t>PRD-00236</t>
  </si>
  <si>
    <t>PRD-00237</t>
  </si>
  <si>
    <t>PRD-00238</t>
  </si>
  <si>
    <t>PRD-00239</t>
  </si>
  <si>
    <t>PRD-00240</t>
  </si>
  <si>
    <t>PRD-00241</t>
  </si>
  <si>
    <t>PRD-00242</t>
  </si>
  <si>
    <t>PRD-00243</t>
  </si>
  <si>
    <t>PRD-00244</t>
  </si>
  <si>
    <t>PRD-00245</t>
  </si>
  <si>
    <t>PRD-00246</t>
  </si>
  <si>
    <t>PRD-00247</t>
  </si>
  <si>
    <t>PRD-00248</t>
  </si>
  <si>
    <t>PRD-00249</t>
  </si>
  <si>
    <t>PRD-00250</t>
  </si>
  <si>
    <t>PRD-00251</t>
  </si>
  <si>
    <t>PRD-00252</t>
  </si>
  <si>
    <t>PRD-00253</t>
  </si>
  <si>
    <t>PRD-00254</t>
  </si>
  <si>
    <t>PRD-00255</t>
  </si>
  <si>
    <t>PRD-00256</t>
  </si>
  <si>
    <t>PRD-00257</t>
  </si>
  <si>
    <t>PRD-00258</t>
  </si>
  <si>
    <t>PRD-00259</t>
  </si>
  <si>
    <t>PRD-00260</t>
  </si>
  <si>
    <t>PRD-00261</t>
  </si>
  <si>
    <t>PRD-00262</t>
  </si>
  <si>
    <t>PRD-00263</t>
  </si>
  <si>
    <t>PRD-00264</t>
  </si>
  <si>
    <t>PRD-00265</t>
  </si>
  <si>
    <t>PRD-00266</t>
  </si>
  <si>
    <t>PRD-00267</t>
  </si>
  <si>
    <t>PRD-00268</t>
  </si>
  <si>
    <t>PRD-00269</t>
  </si>
  <si>
    <t>PRD-00270</t>
  </si>
  <si>
    <t>PRD-00271</t>
  </si>
  <si>
    <t>PRD-00272</t>
  </si>
  <si>
    <t>PRD-00273</t>
  </si>
  <si>
    <t>PRD-00274</t>
  </si>
  <si>
    <t>PRD-00275</t>
  </si>
  <si>
    <t>PRD-00276</t>
  </si>
  <si>
    <t>PRD-00277</t>
  </si>
  <si>
    <t>PRD-00278</t>
  </si>
  <si>
    <t>PRD-00279</t>
  </si>
  <si>
    <t>PRD-00280</t>
  </si>
  <si>
    <t>PRD-00281</t>
  </si>
  <si>
    <t>PRD-00282</t>
  </si>
  <si>
    <t>PRD-00283</t>
  </si>
  <si>
    <t>PRD-00284</t>
  </si>
  <si>
    <t>PRD-00285</t>
  </si>
  <si>
    <t>PRD-00286</t>
  </si>
  <si>
    <t>PRD-00287</t>
  </si>
  <si>
    <t>PRD-00288</t>
  </si>
  <si>
    <t>PRD-00289</t>
  </si>
  <si>
    <t>PRD-00290</t>
  </si>
  <si>
    <t>PRD-00291</t>
  </si>
  <si>
    <t>PRD-00292</t>
  </si>
  <si>
    <t>PRD-00293</t>
  </si>
  <si>
    <t>PRD-00294</t>
  </si>
  <si>
    <t>PRD-00295</t>
  </si>
  <si>
    <t>PRD-00296</t>
  </si>
  <si>
    <t>PRD-00297</t>
  </si>
  <si>
    <t>PRD-00298</t>
  </si>
  <si>
    <t>PRD-00299</t>
  </si>
  <si>
    <t>PRD-00300</t>
  </si>
  <si>
    <t>PRD-00301</t>
  </si>
  <si>
    <t>PRD-00302</t>
  </si>
  <si>
    <t>PRD-00303</t>
  </si>
  <si>
    <t>PRD-00304</t>
  </si>
  <si>
    <t>PRD-00305</t>
  </si>
  <si>
    <t>PRD-00306</t>
  </si>
  <si>
    <t>PRD-00307</t>
  </si>
  <si>
    <t>PRD-00308</t>
  </si>
  <si>
    <t>PRD-00309</t>
  </si>
  <si>
    <t>PRD-00310</t>
  </si>
  <si>
    <t>PRD-00311</t>
  </si>
  <si>
    <t>PRD-00312</t>
  </si>
  <si>
    <t>PRD-00313</t>
  </si>
  <si>
    <t>PRD-00314</t>
  </si>
  <si>
    <t>PRD-00315</t>
  </si>
  <si>
    <t>day</t>
  </si>
  <si>
    <t>PRD-00316</t>
  </si>
  <si>
    <t>PRD-00317</t>
  </si>
  <si>
    <t>PRD-00318</t>
  </si>
  <si>
    <t>PRD-00319</t>
  </si>
  <si>
    <t>PRD-00320</t>
  </si>
  <si>
    <t>PRD-00321</t>
  </si>
  <si>
    <t>PRD-00322</t>
  </si>
  <si>
    <t>PRD-00323</t>
  </si>
  <si>
    <t>PRD-00324</t>
  </si>
  <si>
    <t>PRD-00325</t>
  </si>
  <si>
    <t>PRD-00326</t>
  </si>
  <si>
    <t>PRD-00327</t>
  </si>
  <si>
    <t>PRD-00328</t>
  </si>
  <si>
    <t>PRD-00329</t>
  </si>
  <si>
    <t>PRD-00330</t>
  </si>
  <si>
    <t>PRD-00331</t>
  </si>
  <si>
    <t>PRD-00332</t>
  </si>
  <si>
    <t>PRD-00333</t>
  </si>
  <si>
    <t>PRD-00334</t>
  </si>
  <si>
    <t>PRD-00335</t>
  </si>
  <si>
    <t>PRD-00336</t>
  </si>
  <si>
    <t>PRD-00337</t>
  </si>
  <si>
    <t>PRD-00338</t>
  </si>
  <si>
    <t>PRD-00339</t>
  </si>
  <si>
    <t>PRD-00340</t>
  </si>
  <si>
    <t>PRD-00341</t>
  </si>
  <si>
    <t>PRD-00342</t>
  </si>
  <si>
    <t>PRD-00343</t>
  </si>
  <si>
    <t>PRD-00344</t>
  </si>
  <si>
    <t>PRD-00345</t>
  </si>
  <si>
    <t>PRD-00346</t>
  </si>
  <si>
    <t>PRD-00347</t>
  </si>
  <si>
    <t>PRD-00348</t>
  </si>
  <si>
    <t>PRD-00349</t>
  </si>
  <si>
    <t>PRD-00350</t>
  </si>
  <si>
    <t>PRD-00351</t>
  </si>
  <si>
    <t>PRD-00352</t>
  </si>
  <si>
    <t>PRD-00353</t>
  </si>
  <si>
    <t>PRD-00354</t>
  </si>
  <si>
    <t>PRD-00355</t>
  </si>
  <si>
    <t>PRD-00356</t>
  </si>
  <si>
    <t>PRD-00357</t>
  </si>
  <si>
    <t>PRD-00358</t>
  </si>
  <si>
    <t>PRD-00359</t>
  </si>
  <si>
    <t>PRD-00360</t>
  </si>
  <si>
    <t>PRD-00361</t>
  </si>
  <si>
    <t>PRD-00362</t>
  </si>
  <si>
    <t>PRD-00363</t>
  </si>
  <si>
    <t>PRD-00364</t>
  </si>
  <si>
    <t>PRD-00365</t>
  </si>
  <si>
    <t>PRD-00366</t>
  </si>
  <si>
    <t>PRD-00367</t>
  </si>
  <si>
    <t>PRD-00368</t>
  </si>
  <si>
    <t>PRD-00369</t>
  </si>
  <si>
    <t>PRD-00370</t>
  </si>
  <si>
    <t>PRD-00371</t>
  </si>
  <si>
    <t>PRD-00372</t>
  </si>
  <si>
    <t>PRD-00373</t>
  </si>
  <si>
    <t>PRD-00374</t>
  </si>
  <si>
    <t>PRD-00375</t>
  </si>
  <si>
    <t>PRD-00376</t>
  </si>
  <si>
    <t>PRD-00377</t>
  </si>
  <si>
    <t>PRD-00378</t>
  </si>
  <si>
    <t>PRD-00379</t>
  </si>
  <si>
    <t>PRD-00380</t>
  </si>
  <si>
    <t>PRD-00381</t>
  </si>
  <si>
    <t>PRD-00382</t>
  </si>
  <si>
    <t>PRD-00383</t>
  </si>
  <si>
    <t>PRD-00384</t>
  </si>
  <si>
    <t>PRD-00385</t>
  </si>
  <si>
    <t>PRD-00386</t>
  </si>
  <si>
    <t>PRD-00387</t>
  </si>
  <si>
    <t>PRD-00388</t>
  </si>
  <si>
    <t>PRD-00389</t>
  </si>
  <si>
    <t>PRD-00390</t>
  </si>
  <si>
    <t>PRD-00391</t>
  </si>
  <si>
    <t>PRD-00392</t>
  </si>
  <si>
    <t>PRD-00393</t>
  </si>
  <si>
    <t>PRD-00394</t>
  </si>
  <si>
    <t>PRD-00395</t>
  </si>
  <si>
    <t>PRD-00396</t>
  </si>
  <si>
    <t>PRD-00397</t>
  </si>
  <si>
    <t>PRD-00398</t>
  </si>
  <si>
    <t>PRD-00399</t>
  </si>
  <si>
    <t>PRD-00400</t>
  </si>
  <si>
    <t>PRD-00401</t>
  </si>
  <si>
    <t>PRD-00402</t>
  </si>
  <si>
    <t>PRD-00403</t>
  </si>
  <si>
    <t>PRD-00404</t>
  </si>
  <si>
    <t>PRD-00405</t>
  </si>
  <si>
    <t>PRD-00406</t>
  </si>
  <si>
    <t>PRD-00407</t>
  </si>
  <si>
    <t>PRD-00408</t>
  </si>
  <si>
    <t>PRD-00409</t>
  </si>
  <si>
    <t>PRD-00410</t>
  </si>
  <si>
    <t>PRD-00411</t>
  </si>
  <si>
    <t>PRD-00412</t>
  </si>
  <si>
    <t>PRD-00413</t>
  </si>
  <si>
    <t>PRD-00414</t>
  </si>
  <si>
    <t>PRD-00415</t>
  </si>
  <si>
    <t>PRD-00416</t>
  </si>
  <si>
    <t>PRD-00417</t>
  </si>
  <si>
    <t>PRD-00418</t>
  </si>
  <si>
    <t>PRD-00419</t>
  </si>
  <si>
    <t>PRD-00420</t>
  </si>
  <si>
    <t>PRD-00421</t>
  </si>
  <si>
    <t>PRD-00422</t>
  </si>
  <si>
    <t>PRD-00423</t>
  </si>
  <si>
    <t>PRD-00424</t>
  </si>
  <si>
    <t>PRD-00425</t>
  </si>
  <si>
    <t>PRD-00426</t>
  </si>
  <si>
    <t>PRD-00427</t>
  </si>
  <si>
    <t>PRD-00428</t>
  </si>
  <si>
    <t>PRD-00429</t>
  </si>
  <si>
    <t>PRD-00430</t>
  </si>
  <si>
    <t>PRD-00431</t>
  </si>
  <si>
    <t>PRD-00432</t>
  </si>
  <si>
    <t>PRD-00433</t>
  </si>
  <si>
    <t>PRD-00434</t>
  </si>
  <si>
    <t>PRD-00435</t>
  </si>
  <si>
    <t>PRD-00436</t>
  </si>
  <si>
    <t>PRD-00437</t>
  </si>
  <si>
    <t>PRD-00438</t>
  </si>
  <si>
    <t>PRD-00439</t>
  </si>
  <si>
    <t>PRD-00440</t>
  </si>
  <si>
    <t>PRD-00441</t>
  </si>
  <si>
    <t>PRD-00442</t>
  </si>
  <si>
    <t>PRD-00443</t>
  </si>
  <si>
    <t>PRD-00444</t>
  </si>
  <si>
    <t>PRD-00445</t>
  </si>
  <si>
    <t>PRD-00446</t>
  </si>
  <si>
    <t>PRD-00447</t>
  </si>
  <si>
    <t>PRD-00448</t>
  </si>
  <si>
    <t>PRD-00449</t>
  </si>
  <si>
    <t>PRD-00450</t>
  </si>
  <si>
    <t>PRD-00451</t>
  </si>
  <si>
    <t>PRD-00452</t>
  </si>
  <si>
    <t>PRD-00453</t>
  </si>
  <si>
    <t>PRD-00454</t>
  </si>
  <si>
    <t>PRD-00455</t>
  </si>
  <si>
    <t>PRD-00456</t>
  </si>
  <si>
    <t>PRD-00457</t>
  </si>
  <si>
    <t>PRD-00458</t>
  </si>
  <si>
    <t>PRD-00459</t>
  </si>
  <si>
    <t>PRD-00460</t>
  </si>
  <si>
    <t>PRD-00461</t>
  </si>
  <si>
    <t>PRD-00462</t>
  </si>
  <si>
    <t>PRD-00463</t>
  </si>
  <si>
    <t>PRD-00464</t>
  </si>
  <si>
    <t>PRD-00465</t>
  </si>
  <si>
    <t>PRD-00466</t>
  </si>
  <si>
    <t>PRD-00467</t>
  </si>
  <si>
    <t>PRD-00468</t>
  </si>
  <si>
    <t>PRD-00469</t>
  </si>
  <si>
    <t>PRD-00470</t>
  </si>
  <si>
    <t>PRD-00471</t>
  </si>
  <si>
    <t>PRD-00472</t>
  </si>
  <si>
    <t>PRD-00473</t>
  </si>
  <si>
    <t>PRD-00474</t>
  </si>
  <si>
    <t>PRD-00475</t>
  </si>
  <si>
    <t>PRD-00476</t>
  </si>
  <si>
    <t>PRD-00477</t>
  </si>
  <si>
    <t>PRD-00478</t>
  </si>
  <si>
    <t>PRD-00479</t>
  </si>
  <si>
    <t>PRD-00480</t>
  </si>
  <si>
    <t>PRD-00481</t>
  </si>
  <si>
    <t>PRD-00482</t>
  </si>
  <si>
    <t>PRD-00483</t>
  </si>
  <si>
    <t>PRD-00484</t>
  </si>
  <si>
    <t>PRD-00485</t>
  </si>
  <si>
    <t>PRD-00486</t>
  </si>
  <si>
    <t>PRD-00487</t>
  </si>
  <si>
    <t>PRD-00488</t>
  </si>
  <si>
    <t>PRD-00489</t>
  </si>
  <si>
    <t>PRD-00490</t>
  </si>
  <si>
    <t>PRD-00491</t>
  </si>
  <si>
    <t>PRD-00492</t>
  </si>
  <si>
    <t>PRD-00493</t>
  </si>
  <si>
    <t>PRD-00494</t>
  </si>
  <si>
    <t>PRD-00495</t>
  </si>
  <si>
    <t>PRD-00496</t>
  </si>
  <si>
    <t>PRD-00497</t>
  </si>
  <si>
    <t>PRD-00498</t>
  </si>
  <si>
    <t>PRD-00499</t>
  </si>
  <si>
    <t>PRD-00500</t>
  </si>
  <si>
    <t>PRD-00501</t>
  </si>
  <si>
    <t>PRD-00502</t>
  </si>
  <si>
    <t>PRD-00503</t>
  </si>
  <si>
    <t>PRD-00504</t>
  </si>
  <si>
    <t>PRD-00505</t>
  </si>
  <si>
    <t>PRD-00506</t>
  </si>
  <si>
    <t>PRD-00507</t>
  </si>
  <si>
    <t>PRD-00508</t>
  </si>
  <si>
    <t>PRD-00509</t>
  </si>
  <si>
    <t>PRD-00510</t>
  </si>
  <si>
    <t>PRD-00511</t>
  </si>
  <si>
    <t>PRD-00512</t>
  </si>
  <si>
    <t>PRD-00513</t>
  </si>
  <si>
    <t>PRD-00514</t>
  </si>
  <si>
    <t>PRD-00515</t>
  </si>
  <si>
    <t>PRD-00516</t>
  </si>
  <si>
    <t>PRD-00517</t>
  </si>
  <si>
    <t>PRD-00518</t>
  </si>
  <si>
    <t>PRD-00519</t>
  </si>
  <si>
    <t>PRD-00520</t>
  </si>
  <si>
    <t>PRD-00521</t>
  </si>
  <si>
    <t>PRD-00522</t>
  </si>
  <si>
    <t>PRD-00523</t>
  </si>
  <si>
    <t>PRD-00524</t>
  </si>
  <si>
    <t>PRD-00525</t>
  </si>
  <si>
    <t>PRD-00526</t>
  </si>
  <si>
    <t>PRD-00527</t>
  </si>
  <si>
    <t>PRD-00528</t>
  </si>
  <si>
    <t>PRD-00529</t>
  </si>
  <si>
    <t>PRD-00530</t>
  </si>
  <si>
    <t>PRD-00531</t>
  </si>
  <si>
    <t>PRD-00532</t>
  </si>
  <si>
    <t>PRD-00533</t>
  </si>
  <si>
    <t>PRD-00534</t>
  </si>
  <si>
    <t>PRD-00535</t>
  </si>
  <si>
    <t>PRD-00536</t>
  </si>
  <si>
    <t>PRD-00537</t>
  </si>
  <si>
    <t>PRD-00538</t>
  </si>
  <si>
    <t>PRD-00539</t>
  </si>
  <si>
    <t>PRD-00540</t>
  </si>
  <si>
    <t>PRD-00541</t>
  </si>
  <si>
    <t>PRD-00542</t>
  </si>
  <si>
    <t>PRD-00543</t>
  </si>
  <si>
    <t>PRD-00544</t>
  </si>
  <si>
    <t>PRD-00545</t>
  </si>
  <si>
    <t>PRD-00546</t>
  </si>
  <si>
    <t>PRD-00547</t>
  </si>
  <si>
    <t>PRD-00548</t>
  </si>
  <si>
    <t>PRD-00549</t>
  </si>
  <si>
    <t>PRD-00550</t>
  </si>
  <si>
    <t>PRD-00551</t>
  </si>
  <si>
    <t>PRD-00552</t>
  </si>
  <si>
    <t>PRD-00553</t>
  </si>
  <si>
    <t>PRD-00554</t>
  </si>
  <si>
    <t>PRD-00555</t>
  </si>
  <si>
    <t>PRD-00556</t>
  </si>
  <si>
    <t>PRD-00557</t>
  </si>
  <si>
    <t>PRD-00558</t>
  </si>
  <si>
    <t>PRD-00559</t>
  </si>
  <si>
    <t>PRD-00560</t>
  </si>
  <si>
    <t>PRD-00561</t>
  </si>
  <si>
    <t>PRD-00562</t>
  </si>
  <si>
    <t>PRD-00563</t>
  </si>
  <si>
    <t>PRD-00564</t>
  </si>
  <si>
    <t>PRD-00565</t>
  </si>
  <si>
    <t>PRD-00566</t>
  </si>
  <si>
    <t>PRD-00567</t>
  </si>
  <si>
    <t>PRD-00568</t>
  </si>
  <si>
    <t>PRD-00569</t>
  </si>
  <si>
    <t>PRD-00570</t>
  </si>
  <si>
    <t>PRD-00571</t>
  </si>
  <si>
    <t>PRD-00572</t>
  </si>
  <si>
    <t>PRD-00573</t>
  </si>
  <si>
    <t>PRD-00574</t>
  </si>
  <si>
    <t>PRD-00575</t>
  </si>
  <si>
    <t>PRD-00576</t>
  </si>
  <si>
    <t>PRD-00577</t>
  </si>
  <si>
    <t>PRD-00578</t>
  </si>
  <si>
    <t>PRD-00579</t>
  </si>
  <si>
    <t>PRD-00580</t>
  </si>
  <si>
    <t>PRD-00581</t>
  </si>
  <si>
    <t>PRD-00582</t>
  </si>
  <si>
    <t>PRD-00583</t>
  </si>
  <si>
    <t>PRD-00584</t>
  </si>
  <si>
    <t>PRD-00585</t>
  </si>
  <si>
    <t>PRD-00586</t>
  </si>
  <si>
    <t>PRD-00587</t>
  </si>
  <si>
    <t>PRD-00588</t>
  </si>
  <si>
    <t>PRD-00589</t>
  </si>
  <si>
    <t>PRD-00590</t>
  </si>
  <si>
    <t>PRD-00591</t>
  </si>
  <si>
    <t>PRD-00592</t>
  </si>
  <si>
    <t>PRD-00593</t>
  </si>
  <si>
    <t>PRD-00594</t>
  </si>
  <si>
    <t>PRD-00595</t>
  </si>
  <si>
    <t>PRD-00596</t>
  </si>
  <si>
    <t>PRD-00597</t>
  </si>
  <si>
    <t>PRD-00598</t>
  </si>
  <si>
    <t>PRD-00599</t>
  </si>
  <si>
    <t>PRD-00600</t>
  </si>
  <si>
    <t>PRD-00601</t>
  </si>
  <si>
    <t>PRD-00602</t>
  </si>
  <si>
    <t>PRD-00603</t>
  </si>
  <si>
    <t>PRD-00604</t>
  </si>
  <si>
    <t>PRD-00605</t>
  </si>
  <si>
    <t>PRD-00606</t>
  </si>
  <si>
    <t>PRD-00607</t>
  </si>
  <si>
    <t>PRD-00608</t>
  </si>
  <si>
    <t>PRD-00609</t>
  </si>
  <si>
    <t>PRD-00610</t>
  </si>
  <si>
    <t>PRD-00611</t>
  </si>
  <si>
    <t>PRD-00612</t>
  </si>
  <si>
    <t>PRD-00613</t>
  </si>
  <si>
    <t>PRD-00614</t>
  </si>
  <si>
    <t>PRD-00615</t>
  </si>
  <si>
    <t>PRD-00616</t>
  </si>
  <si>
    <t>PRD-00617</t>
  </si>
  <si>
    <t>PRD-00618</t>
  </si>
  <si>
    <t>PRD-00619</t>
  </si>
  <si>
    <t>PRD-00620</t>
  </si>
  <si>
    <t>PRD-00621</t>
  </si>
  <si>
    <t>PRD-00622</t>
  </si>
  <si>
    <t>PRD-00623</t>
  </si>
  <si>
    <t>PRD-00624</t>
  </si>
  <si>
    <t>PRD-00625</t>
  </si>
  <si>
    <t>PRD-00626</t>
  </si>
  <si>
    <t>PRD-00627</t>
  </si>
  <si>
    <t>PRD-00628</t>
  </si>
  <si>
    <t>PRD-00629</t>
  </si>
  <si>
    <t>PRD-00630</t>
  </si>
  <si>
    <t>PRD-00631</t>
  </si>
  <si>
    <t>PRD-00632</t>
  </si>
  <si>
    <t>PRD-00633</t>
  </si>
  <si>
    <t>PRD-00634</t>
  </si>
  <si>
    <t>PRD-00635</t>
  </si>
  <si>
    <t>PRD-00636</t>
  </si>
  <si>
    <t>PRD-00637</t>
  </si>
  <si>
    <t>PRD-00638</t>
  </si>
  <si>
    <t>PRD-00639</t>
  </si>
  <si>
    <t>PRD-00640</t>
  </si>
  <si>
    <t>PRD-00641</t>
  </si>
  <si>
    <t>PRD-00642</t>
  </si>
  <si>
    <t>PRD-00643</t>
  </si>
  <si>
    <t>PRD-00644</t>
  </si>
  <si>
    <t>PRD-00645</t>
  </si>
  <si>
    <t>PRD-00646</t>
  </si>
  <si>
    <t>PRD-00647</t>
  </si>
  <si>
    <t>PRD-00648</t>
  </si>
  <si>
    <t>PRD-00649</t>
  </si>
  <si>
    <t>PRD-00650</t>
  </si>
  <si>
    <t>PRD-00651</t>
  </si>
  <si>
    <t>PRD-00652</t>
  </si>
  <si>
    <t>PRD-00653</t>
  </si>
  <si>
    <t>PRD-00654</t>
  </si>
  <si>
    <t>PRD-00655</t>
  </si>
  <si>
    <t>PRD-00656</t>
  </si>
  <si>
    <t>PRD-00657</t>
  </si>
  <si>
    <t>PRD-00658</t>
  </si>
  <si>
    <t>PRD-00659</t>
  </si>
  <si>
    <t>PRD-00660</t>
  </si>
  <si>
    <t>PRD-00661</t>
  </si>
  <si>
    <t>PRD-00662</t>
  </si>
  <si>
    <t>PRD-00663</t>
  </si>
  <si>
    <t>PRD-00664</t>
  </si>
  <si>
    <t>PRD-00665</t>
  </si>
  <si>
    <t>PRD-00666</t>
  </si>
  <si>
    <t>PRD-00667</t>
  </si>
  <si>
    <t>PRD-00668</t>
  </si>
  <si>
    <t>PRD-00669</t>
  </si>
  <si>
    <t>PRD-00670</t>
  </si>
  <si>
    <t>PRD-00671</t>
  </si>
  <si>
    <t>PRD-00672</t>
  </si>
  <si>
    <t>PRD-00673</t>
  </si>
  <si>
    <t>PRD-00674</t>
  </si>
  <si>
    <t>PRD-00675</t>
  </si>
  <si>
    <t>PRD-00676</t>
  </si>
  <si>
    <t>PRD-00677</t>
  </si>
  <si>
    <t>PRD-00678</t>
  </si>
  <si>
    <t>PRD-00679</t>
  </si>
  <si>
    <t>PRD-00680</t>
  </si>
  <si>
    <t>PRD-00681</t>
  </si>
  <si>
    <t>PRD-00682</t>
  </si>
  <si>
    <t>PRD-00683</t>
  </si>
  <si>
    <t>PRD-00684</t>
  </si>
  <si>
    <t>PRD-00685</t>
  </si>
  <si>
    <t>PRD-00686</t>
  </si>
  <si>
    <t>PRD-00687</t>
  </si>
  <si>
    <t>PRD-00688</t>
  </si>
  <si>
    <t>PRD-00689</t>
  </si>
  <si>
    <t>PRD-00690</t>
  </si>
  <si>
    <t>PRD-00691</t>
  </si>
  <si>
    <t>PRD-00692</t>
  </si>
  <si>
    <t>PRD-00693</t>
  </si>
  <si>
    <t>PRD-00694</t>
  </si>
  <si>
    <t>PRD-00695</t>
  </si>
  <si>
    <t>PRD-00696</t>
  </si>
  <si>
    <t>PRD-00697</t>
  </si>
  <si>
    <t>PRD-00698</t>
  </si>
  <si>
    <t>PRD-00699</t>
  </si>
  <si>
    <t>PRD-00700</t>
  </si>
  <si>
    <t>PRD-00701</t>
  </si>
  <si>
    <t>PRD-00702</t>
  </si>
  <si>
    <t>PRD-00703</t>
  </si>
  <si>
    <t>PRD-00704</t>
  </si>
  <si>
    <t>PRD-00705</t>
  </si>
  <si>
    <t>PRD-00706</t>
  </si>
  <si>
    <t>PRD-00707</t>
  </si>
  <si>
    <t>PRD-00708</t>
  </si>
  <si>
    <t>PRD-00709</t>
  </si>
  <si>
    <t>PRD-00710</t>
  </si>
  <si>
    <t>PRD-00711</t>
  </si>
  <si>
    <t>PRD-00712</t>
  </si>
  <si>
    <t>PRD-00713</t>
  </si>
  <si>
    <t>PRD-00714</t>
  </si>
  <si>
    <t>PRD-00715</t>
  </si>
  <si>
    <t>PRD-00716</t>
  </si>
  <si>
    <t>PRD-00717</t>
  </si>
  <si>
    <t>PRD-00718</t>
  </si>
  <si>
    <t>PRD-00719</t>
  </si>
  <si>
    <t>PRD-00720</t>
  </si>
  <si>
    <t>PRD-00721</t>
  </si>
  <si>
    <t>PRD-00722</t>
  </si>
  <si>
    <t>PRD-00723</t>
  </si>
  <si>
    <t>PRD-00724</t>
  </si>
  <si>
    <t>PRD-00725</t>
  </si>
  <si>
    <t>PRD-00726</t>
  </si>
  <si>
    <t>PRD-00727</t>
  </si>
  <si>
    <t>PRD-00728</t>
  </si>
  <si>
    <t>PRD-00729</t>
  </si>
  <si>
    <t>PRD-00730</t>
  </si>
  <si>
    <t>PRD-00731</t>
  </si>
  <si>
    <t>PRD-00732</t>
  </si>
  <si>
    <t>PRD-00733</t>
  </si>
  <si>
    <t>PRD-00734</t>
  </si>
  <si>
    <t>PRD-00735</t>
  </si>
  <si>
    <t>PRD-00736</t>
  </si>
  <si>
    <t>PRD-00737</t>
  </si>
  <si>
    <t>PRD-00738</t>
  </si>
  <si>
    <t>PRD-00739</t>
  </si>
  <si>
    <t>PRD-00740</t>
  </si>
  <si>
    <t>PRD-00741</t>
  </si>
  <si>
    <t>PRD-00742</t>
  </si>
  <si>
    <t>PRD-00743</t>
  </si>
  <si>
    <t>PRD-00744</t>
  </si>
  <si>
    <t>PRD-00745</t>
  </si>
  <si>
    <t>PRD-00746</t>
  </si>
  <si>
    <t>PRD-00747</t>
  </si>
  <si>
    <t>PRD-00748</t>
  </si>
  <si>
    <t>PRD-00749</t>
  </si>
  <si>
    <t>PRD-00750</t>
  </si>
  <si>
    <t>PRD-00751</t>
  </si>
  <si>
    <t>PRD-00752</t>
  </si>
  <si>
    <t>PRD-00753</t>
  </si>
  <si>
    <t>PRD-00754</t>
  </si>
  <si>
    <t>PRD-00755</t>
  </si>
  <si>
    <t>PRD-00756</t>
  </si>
  <si>
    <t>PRD-00757</t>
  </si>
  <si>
    <t>PRD-00758</t>
  </si>
  <si>
    <t>PRD-00759</t>
  </si>
  <si>
    <t>PRD-00760</t>
  </si>
  <si>
    <t>PRD-00761</t>
  </si>
  <si>
    <t>PRD-00762</t>
  </si>
  <si>
    <t>PRD-00763</t>
  </si>
  <si>
    <t>PRD-00764</t>
  </si>
  <si>
    <t>PRD-00765</t>
  </si>
  <si>
    <t>PRD-00766</t>
  </si>
  <si>
    <t>PRD-00767</t>
  </si>
  <si>
    <t>PRD-00768</t>
  </si>
  <si>
    <t>PRD-00769</t>
  </si>
  <si>
    <t>PRD-00770</t>
  </si>
  <si>
    <t>PRD-00771</t>
  </si>
  <si>
    <t>PRD-00772</t>
  </si>
  <si>
    <t>PRD-00773</t>
  </si>
  <si>
    <t>PRD-00774</t>
  </si>
  <si>
    <t>PRD-00775</t>
  </si>
  <si>
    <t>PRD-00776</t>
  </si>
  <si>
    <t>PRD-00777</t>
  </si>
  <si>
    <t>PRD-00778</t>
  </si>
  <si>
    <t>PRD-00779</t>
  </si>
  <si>
    <t>PRD-00780</t>
  </si>
  <si>
    <t>PRD-00781</t>
  </si>
  <si>
    <t>PRD-00782</t>
  </si>
  <si>
    <t>PRD-00783</t>
  </si>
  <si>
    <t>PRD-00784</t>
  </si>
  <si>
    <t>PRD-00785</t>
  </si>
  <si>
    <t>PRD-00786</t>
  </si>
  <si>
    <t>PRD-00787</t>
  </si>
  <si>
    <t>PRD-00788</t>
  </si>
  <si>
    <t>PRD-00789</t>
  </si>
  <si>
    <t>PRD-00790</t>
  </si>
  <si>
    <t>PRD-00791</t>
  </si>
  <si>
    <t>PRD-00792</t>
  </si>
  <si>
    <t>PRD-00793</t>
  </si>
  <si>
    <t>PRD-00794</t>
  </si>
  <si>
    <t>PRD-00795</t>
  </si>
  <si>
    <t>PRD-00796</t>
  </si>
  <si>
    <t>PRD-00797</t>
  </si>
  <si>
    <t>PRD-00798</t>
  </si>
  <si>
    <t>PRD-00799</t>
  </si>
  <si>
    <t>PRD-00800</t>
  </si>
  <si>
    <t>PRD-00801</t>
  </si>
  <si>
    <t>PRD-00802</t>
  </si>
  <si>
    <t>PRD-00803</t>
  </si>
  <si>
    <t>PRD-00804</t>
  </si>
  <si>
    <t>PRD-00805</t>
  </si>
  <si>
    <t>PRD-00806</t>
  </si>
  <si>
    <t>PRD-00807</t>
  </si>
  <si>
    <t>PRD-00808</t>
  </si>
  <si>
    <t>PRD-00809</t>
  </si>
  <si>
    <t>PRD-00810</t>
  </si>
  <si>
    <t>PRD-00811</t>
  </si>
  <si>
    <t>PRD-00812</t>
  </si>
  <si>
    <t>PRD-00813</t>
  </si>
  <si>
    <t>PRD-00814</t>
  </si>
  <si>
    <t>PRD-00815</t>
  </si>
  <si>
    <t>PRD-00816</t>
  </si>
  <si>
    <t>PRD-00817</t>
  </si>
  <si>
    <t>PRD-00818</t>
  </si>
  <si>
    <t>PRD-00819</t>
  </si>
  <si>
    <t>PRD-00820</t>
  </si>
  <si>
    <t>PRD-00821</t>
  </si>
  <si>
    <t>PRD-00822</t>
  </si>
  <si>
    <t>PRD-00823</t>
  </si>
  <si>
    <t>PRD-00824</t>
  </si>
  <si>
    <t>PRD-00825</t>
  </si>
  <si>
    <t>PRD-00826</t>
  </si>
  <si>
    <t>PRD-00827</t>
  </si>
  <si>
    <t>PRD-00828</t>
  </si>
  <si>
    <t>PRD-00829</t>
  </si>
  <si>
    <t>PRD-00830</t>
  </si>
  <si>
    <t>PRD-00831</t>
  </si>
  <si>
    <t>PRD-00832</t>
  </si>
  <si>
    <t>PRD-00833</t>
  </si>
  <si>
    <t>PRD-00834</t>
  </si>
  <si>
    <t>PRD-00835</t>
  </si>
  <si>
    <t>PRD-00836</t>
  </si>
  <si>
    <t>PRD-00837</t>
  </si>
  <si>
    <t>PRD-00838</t>
  </si>
  <si>
    <t>PRD-00839</t>
  </si>
  <si>
    <t>PRD-00840</t>
  </si>
  <si>
    <t>PRD-00841</t>
  </si>
  <si>
    <t>PRD-00842</t>
  </si>
  <si>
    <t>PRD-00843</t>
  </si>
  <si>
    <t>PRD-00844</t>
  </si>
  <si>
    <t>PRD-00845</t>
  </si>
  <si>
    <t>PRD-00846</t>
  </si>
  <si>
    <t>PRD-00847</t>
  </si>
  <si>
    <t>PRD-00848</t>
  </si>
  <si>
    <t>PRD-00849</t>
  </si>
  <si>
    <t>PRD-00850</t>
  </si>
  <si>
    <t>PRD-00851</t>
  </si>
  <si>
    <t>PRD-00852</t>
  </si>
  <si>
    <t>PRD-00853</t>
  </si>
  <si>
    <t>PRD-00854</t>
  </si>
  <si>
    <t>PRD-00855</t>
  </si>
  <si>
    <t>PRD-00856</t>
  </si>
  <si>
    <t>PRD-00857</t>
  </si>
  <si>
    <t>PRD-00858</t>
  </si>
  <si>
    <t>PRD-00859</t>
  </si>
  <si>
    <t>PRD-00860</t>
  </si>
  <si>
    <t>PRD-00861</t>
  </si>
  <si>
    <t>PRD-00862</t>
  </si>
  <si>
    <t>PRD-00863</t>
  </si>
  <si>
    <t>PRD-00864</t>
  </si>
  <si>
    <t>PRD-00865</t>
  </si>
  <si>
    <t>PRD-00866</t>
  </si>
  <si>
    <t>PRD-00867</t>
  </si>
  <si>
    <t>PRD-00868</t>
  </si>
  <si>
    <t>PRD-00869</t>
  </si>
  <si>
    <t>PRD-00870</t>
  </si>
  <si>
    <t>PRD-00871</t>
  </si>
  <si>
    <t>PRD-00872</t>
  </si>
  <si>
    <t>PRD-00873</t>
  </si>
  <si>
    <t>PRD-00874</t>
  </si>
  <si>
    <t>PRD-00875</t>
  </si>
  <si>
    <t>PRD-00876</t>
  </si>
  <si>
    <t>PRD-00877</t>
  </si>
  <si>
    <t>PRD-00878</t>
  </si>
  <si>
    <t>PRD-00879</t>
  </si>
  <si>
    <t>PRD-00880</t>
  </si>
  <si>
    <t>PRD-00881</t>
  </si>
  <si>
    <t>PRD-00882</t>
  </si>
  <si>
    <t>PRD-00883</t>
  </si>
  <si>
    <t>PRD-00884</t>
  </si>
  <si>
    <t>PRD-00885</t>
  </si>
  <si>
    <t>PRD-00886</t>
  </si>
  <si>
    <t>PRD-00887</t>
  </si>
  <si>
    <t>PRD-00888</t>
  </si>
  <si>
    <t>PRD-00889</t>
  </si>
  <si>
    <t>PRD-00890</t>
  </si>
  <si>
    <t>PRD-00891</t>
  </si>
  <si>
    <t>PRD-00892</t>
  </si>
  <si>
    <t>PRD-00893</t>
  </si>
  <si>
    <t>PRD-00894</t>
  </si>
  <si>
    <t>PRD-00895</t>
  </si>
  <si>
    <t>PRD-00896</t>
  </si>
  <si>
    <t>PRD-00897</t>
  </si>
  <si>
    <t>PRD-00898</t>
  </si>
  <si>
    <t>PRD-00899</t>
  </si>
  <si>
    <t>PRD-00900</t>
  </si>
  <si>
    <t>PRD-00901</t>
  </si>
  <si>
    <t>PRD-00902</t>
  </si>
  <si>
    <t>PRD-00903</t>
  </si>
  <si>
    <t>PRD-00904</t>
  </si>
  <si>
    <t>PRD-00905</t>
  </si>
  <si>
    <t>PRD-00906</t>
  </si>
  <si>
    <t>PRD-00907</t>
  </si>
  <si>
    <t>PRD-00908</t>
  </si>
  <si>
    <t>PRD-00909</t>
  </si>
  <si>
    <t>PRD-00910</t>
  </si>
  <si>
    <t>PRD-00911</t>
  </si>
  <si>
    <t>PRD-00912</t>
  </si>
  <si>
    <t>PRD-00913</t>
  </si>
  <si>
    <t>PRD-00914</t>
  </si>
  <si>
    <t>PRD-00915</t>
  </si>
  <si>
    <t>PRD-00916</t>
  </si>
  <si>
    <t>PRD-00917</t>
  </si>
  <si>
    <t>PRD-00918</t>
  </si>
  <si>
    <t>PRD-00919</t>
  </si>
  <si>
    <t>PRD-00920</t>
  </si>
  <si>
    <t>PRD-00921</t>
  </si>
  <si>
    <t>PRD-00922</t>
  </si>
  <si>
    <t>PRD-00923</t>
  </si>
  <si>
    <t>PRD-00924</t>
  </si>
  <si>
    <t>PRD-00925</t>
  </si>
  <si>
    <t>PRD-00926</t>
  </si>
  <si>
    <t>PRD-00927</t>
  </si>
  <si>
    <t>PRD-00928</t>
  </si>
  <si>
    <t>PRD-00929</t>
  </si>
  <si>
    <t>PRD-00930</t>
  </si>
  <si>
    <t>PRD-00931</t>
  </si>
  <si>
    <t>PRD-00932</t>
  </si>
  <si>
    <t>PRD-00933</t>
  </si>
  <si>
    <t>PRD-00934</t>
  </si>
  <si>
    <t>PRD-00935</t>
  </si>
  <si>
    <t>PRD-00936</t>
  </si>
  <si>
    <t>PRD-00937</t>
  </si>
  <si>
    <t>PRD-00938</t>
  </si>
  <si>
    <t>PRD-00939</t>
  </si>
  <si>
    <t>PRD-00940</t>
  </si>
  <si>
    <t>PRD-00941</t>
  </si>
  <si>
    <t>PRD-00942</t>
  </si>
  <si>
    <t>PRD-00943</t>
  </si>
  <si>
    <t>PRD-00944</t>
  </si>
  <si>
    <t>PRD-00945</t>
  </si>
  <si>
    <t>PRD-00946</t>
  </si>
  <si>
    <t>PRD-00947</t>
  </si>
  <si>
    <t>PRD-00948</t>
  </si>
  <si>
    <t>PRD-00949</t>
  </si>
  <si>
    <t>PRD-00950</t>
  </si>
  <si>
    <t>PRD-00951</t>
  </si>
  <si>
    <t>PRD-00952</t>
  </si>
  <si>
    <t>PRD-00953</t>
  </si>
  <si>
    <t>PRD-00954</t>
  </si>
  <si>
    <t>PRD-00955</t>
  </si>
  <si>
    <t>PRD-00956</t>
  </si>
  <si>
    <t>PRD-00957</t>
  </si>
  <si>
    <t>PRD-00958</t>
  </si>
  <si>
    <t>PRD-00959</t>
  </si>
  <si>
    <t>PRD-00960</t>
  </si>
  <si>
    <t>PRD-00961</t>
  </si>
  <si>
    <t>PRD-00962</t>
  </si>
  <si>
    <t>PRD-00963</t>
  </si>
  <si>
    <t>PRD-00964</t>
  </si>
  <si>
    <t>PRD-00965</t>
  </si>
  <si>
    <t>PRD-00966</t>
  </si>
  <si>
    <t>PRD-00967</t>
  </si>
  <si>
    <t>PRD-00968</t>
  </si>
  <si>
    <t>PRD-00969</t>
  </si>
  <si>
    <t>PRD-00970</t>
  </si>
  <si>
    <t>PRD-00971</t>
  </si>
  <si>
    <t>PRD-00972</t>
  </si>
  <si>
    <t>PRD-00973</t>
  </si>
  <si>
    <t>PRD-00974</t>
  </si>
  <si>
    <t>PRD-00975</t>
  </si>
  <si>
    <t>PRD-00976</t>
  </si>
  <si>
    <t>PRD-00977</t>
  </si>
  <si>
    <t>PRD-00978</t>
  </si>
  <si>
    <t>PRD-00979</t>
  </si>
  <si>
    <t>PRD-00980</t>
  </si>
  <si>
    <t>PRD-00981</t>
  </si>
  <si>
    <t>PRD-00982</t>
  </si>
  <si>
    <t>PRD-00983</t>
  </si>
  <si>
    <t>PRD-00984</t>
  </si>
  <si>
    <t>PRD-00985</t>
  </si>
  <si>
    <t>PRD-00986</t>
  </si>
  <si>
    <t>PRD-00987</t>
  </si>
  <si>
    <t>PRD-00988</t>
  </si>
  <si>
    <t>PRD-00989</t>
  </si>
  <si>
    <t>PRD-00990</t>
  </si>
  <si>
    <t>PRD-00991</t>
  </si>
  <si>
    <t>PRD-00992</t>
  </si>
  <si>
    <t>PRD-00993</t>
  </si>
  <si>
    <t>PRD-00994</t>
  </si>
  <si>
    <t>PRD-00995</t>
  </si>
  <si>
    <t>PRD-00996</t>
  </si>
  <si>
    <t>PRD-00997</t>
  </si>
  <si>
    <t>PRD-00998</t>
  </si>
  <si>
    <t>PRD-00999</t>
  </si>
  <si>
    <t>PRD-01000</t>
  </si>
  <si>
    <t>PRD-01001</t>
  </si>
  <si>
    <t>PRD-01002</t>
  </si>
  <si>
    <t>PRD-01003</t>
  </si>
  <si>
    <t>PRD-01004</t>
  </si>
  <si>
    <t>PRD-01005</t>
  </si>
  <si>
    <t>PRD-01006</t>
  </si>
  <si>
    <t>PRD-01007</t>
  </si>
  <si>
    <t>PRD-01008</t>
  </si>
  <si>
    <t>PRD-01009</t>
  </si>
  <si>
    <t>PRD-01010</t>
  </si>
  <si>
    <t>PRD-01011</t>
  </si>
  <si>
    <t>PRD-01012</t>
  </si>
  <si>
    <t>PRD-01013</t>
  </si>
  <si>
    <t>PRD-01014</t>
  </si>
  <si>
    <t>PRD-01015</t>
  </si>
  <si>
    <t>PRD-01016</t>
  </si>
  <si>
    <t>PRD-01017</t>
  </si>
  <si>
    <t>PRD-01018</t>
  </si>
  <si>
    <t>PRD-01019</t>
  </si>
  <si>
    <t>PRD-01020</t>
  </si>
  <si>
    <t>PRD-01021</t>
  </si>
  <si>
    <t>PRD-01022</t>
  </si>
  <si>
    <t>PRD-01023</t>
  </si>
  <si>
    <t>PRD-01024</t>
  </si>
  <si>
    <t>PRD-01025</t>
  </si>
  <si>
    <t>PRD-01026</t>
  </si>
  <si>
    <t>PRD-01027</t>
  </si>
  <si>
    <t>PRD-01028</t>
  </si>
  <si>
    <t>PRD-01029</t>
  </si>
  <si>
    <t>PRD-01030</t>
  </si>
  <si>
    <t>PRD-01031</t>
  </si>
  <si>
    <t>PRD-01032</t>
  </si>
  <si>
    <t>PRD-01033</t>
  </si>
  <si>
    <t>PRD-01034</t>
  </si>
  <si>
    <t>PRD-01035</t>
  </si>
  <si>
    <t>PRD-01036</t>
  </si>
  <si>
    <t>PRD-01037</t>
  </si>
  <si>
    <t>PRD-01038</t>
  </si>
  <si>
    <t>PRD-01039</t>
  </si>
  <si>
    <t>PRD-01040</t>
  </si>
  <si>
    <t>PRD-01041</t>
  </si>
  <si>
    <t>PRD-01042</t>
  </si>
  <si>
    <t>PRD-01043</t>
  </si>
  <si>
    <t>PRD-01044</t>
  </si>
  <si>
    <t>PRD-01045</t>
  </si>
  <si>
    <t>PRD-01046</t>
  </si>
  <si>
    <t>PRD-01047</t>
  </si>
  <si>
    <t>PRD-01048</t>
  </si>
  <si>
    <t>PRD-01049</t>
  </si>
  <si>
    <t>PRD-01050</t>
  </si>
  <si>
    <t>PRD-01051</t>
  </si>
  <si>
    <t>PRD-01052</t>
  </si>
  <si>
    <t>PRD-01053</t>
  </si>
  <si>
    <t>PRD-01054</t>
  </si>
  <si>
    <t>PRD-01055</t>
  </si>
  <si>
    <t>PRD-01056</t>
  </si>
  <si>
    <t>PRD-01057</t>
  </si>
  <si>
    <t>PRD-01058</t>
  </si>
  <si>
    <t>PRD-01059</t>
  </si>
  <si>
    <t>PRD-01060</t>
  </si>
  <si>
    <t>PRD-01061</t>
  </si>
  <si>
    <t>PRD-01062</t>
  </si>
  <si>
    <t>PRD-01063</t>
  </si>
  <si>
    <t>PRD-01064</t>
  </si>
  <si>
    <t>PRD-01065</t>
  </si>
  <si>
    <t>PRD-01066</t>
  </si>
  <si>
    <t>PRD-01067</t>
  </si>
  <si>
    <t>PRD-01068</t>
  </si>
  <si>
    <t>PRD-01069</t>
  </si>
  <si>
    <t>PRD-01070</t>
  </si>
  <si>
    <t>PRD-01071</t>
  </si>
  <si>
    <t>PRD-01072</t>
  </si>
  <si>
    <t>PRD-01073</t>
  </si>
  <si>
    <t>PRD-01074</t>
  </si>
  <si>
    <t>PRD-01075</t>
  </si>
  <si>
    <t>PRD-01076</t>
  </si>
  <si>
    <t>PRD-01077</t>
  </si>
  <si>
    <t>PRD-01078</t>
  </si>
  <si>
    <t>PRD-01079</t>
  </si>
  <si>
    <t>PRD-01080</t>
  </si>
  <si>
    <t>PRD-01081</t>
  </si>
  <si>
    <t>PRD-01082</t>
  </si>
  <si>
    <t>PRD-01083</t>
  </si>
  <si>
    <t>PRD-01084</t>
  </si>
  <si>
    <t>PRD-01085</t>
  </si>
  <si>
    <t>PRD-01086</t>
  </si>
  <si>
    <t>PRD-01087</t>
  </si>
  <si>
    <t>PRD-01088</t>
  </si>
  <si>
    <t>PRD-01089</t>
  </si>
  <si>
    <t>PRD-01090</t>
  </si>
  <si>
    <t>PRD-01091</t>
  </si>
  <si>
    <t>PRD-01092</t>
  </si>
  <si>
    <t>PRD-01093</t>
  </si>
  <si>
    <t>PRD-01094</t>
  </si>
  <si>
    <t>PRD-01095</t>
  </si>
  <si>
    <t>PRD-01096</t>
  </si>
  <si>
    <t>PRD-01097</t>
  </si>
  <si>
    <t>PRD-01098</t>
  </si>
  <si>
    <t>PRD-01099</t>
  </si>
  <si>
    <t>PRD-01100</t>
  </si>
  <si>
    <t>PRD-01101</t>
  </si>
  <si>
    <t>PRD-01102</t>
  </si>
  <si>
    <t>PRD-01103</t>
  </si>
  <si>
    <t>PRD-01104</t>
  </si>
  <si>
    <t>PRD-01105</t>
  </si>
  <si>
    <t>PRD-01106</t>
  </si>
  <si>
    <t>PRD-01107</t>
  </si>
  <si>
    <t>PRD-01108</t>
  </si>
  <si>
    <t>PRD-01109</t>
  </si>
  <si>
    <t>PRD-01110</t>
  </si>
  <si>
    <t>PRD-01111</t>
  </si>
  <si>
    <t>PRD-01112</t>
  </si>
  <si>
    <t>PRD-01113</t>
  </si>
  <si>
    <t>PRD-01114</t>
  </si>
  <si>
    <t>PRD-01115</t>
  </si>
  <si>
    <t>PRD-01116</t>
  </si>
  <si>
    <t>PRD-01117</t>
  </si>
  <si>
    <t>PRD-01118</t>
  </si>
  <si>
    <t>PRD-01119</t>
  </si>
  <si>
    <t>PRD-01120</t>
  </si>
  <si>
    <t>PRD-01121</t>
  </si>
  <si>
    <t>PRD-01122</t>
  </si>
  <si>
    <t>PRD-01123</t>
  </si>
  <si>
    <t>PRD-01124</t>
  </si>
  <si>
    <t>PRD-01125</t>
  </si>
  <si>
    <t>PRD-01126</t>
  </si>
  <si>
    <t>PRD-01127</t>
  </si>
  <si>
    <t>PRD-01128</t>
  </si>
  <si>
    <t>PRD-01129</t>
  </si>
  <si>
    <t>PRD-01130</t>
  </si>
  <si>
    <t>PRD-01131</t>
  </si>
  <si>
    <t>PRD-01132</t>
  </si>
  <si>
    <t>PRD-01133</t>
  </si>
  <si>
    <t>PRD-01134</t>
  </si>
  <si>
    <t>PRD-01135</t>
  </si>
  <si>
    <t>PRD-01136</t>
  </si>
  <si>
    <t>PRD-01137</t>
  </si>
  <si>
    <t>PRD-01138</t>
  </si>
  <si>
    <t>PRD-01139</t>
  </si>
  <si>
    <t>PRD-01140</t>
  </si>
  <si>
    <t>PRD-01141</t>
  </si>
  <si>
    <t>PRD-01142</t>
  </si>
  <si>
    <t>PRD-01143</t>
  </si>
  <si>
    <t>PRD-01144</t>
  </si>
  <si>
    <t>PRD-01145</t>
  </si>
  <si>
    <t>PRD-01146</t>
  </si>
  <si>
    <t>PRD-01147</t>
  </si>
  <si>
    <t>PRD-01148</t>
  </si>
  <si>
    <t>PRD-01149</t>
  </si>
  <si>
    <t>PRD-01150</t>
  </si>
  <si>
    <t>PRD-01151</t>
  </si>
  <si>
    <t>PRD-01152</t>
  </si>
  <si>
    <t>PRD-01153</t>
  </si>
  <si>
    <t>PRD-01154</t>
  </si>
  <si>
    <t>PRD-01155</t>
  </si>
  <si>
    <t>PRD-01156</t>
  </si>
  <si>
    <t>PRD-01157</t>
  </si>
  <si>
    <t>PRD-01158</t>
  </si>
  <si>
    <t>PRD-01159</t>
  </si>
  <si>
    <t>PRD-01160</t>
  </si>
  <si>
    <t>PRD-01161</t>
  </si>
  <si>
    <t>PRD-01162</t>
  </si>
  <si>
    <t>PRD-01163</t>
  </si>
  <si>
    <t>PRD-01164</t>
  </si>
  <si>
    <t>PRD-01165</t>
  </si>
  <si>
    <t>PRD-01166</t>
  </si>
  <si>
    <t>PRD-01167</t>
  </si>
  <si>
    <t>PRD-01168</t>
  </si>
  <si>
    <t>PRD-01169</t>
  </si>
  <si>
    <t>PRD-01170</t>
  </si>
  <si>
    <t>PRD-01171</t>
  </si>
  <si>
    <t>PRD-01172</t>
  </si>
  <si>
    <t>PRD-01173</t>
  </si>
  <si>
    <t>PRD-01174</t>
  </si>
  <si>
    <t>PRD-01175</t>
  </si>
  <si>
    <t>PRD-01176</t>
  </si>
  <si>
    <t>PRD-01177</t>
  </si>
  <si>
    <t>PRD-01178</t>
  </si>
  <si>
    <t>PRD-01179</t>
  </si>
  <si>
    <t>PRD-01180</t>
  </si>
  <si>
    <t>PRD-01181</t>
  </si>
  <si>
    <t>PRD-01182</t>
  </si>
  <si>
    <t>PRD-01183</t>
  </si>
  <si>
    <t>PRD-01184</t>
  </si>
  <si>
    <t>PRD-01185</t>
  </si>
  <si>
    <t>PRD-01186</t>
  </si>
  <si>
    <t>PRD-01187</t>
  </si>
  <si>
    <t>PRD-01188</t>
  </si>
  <si>
    <t>PRD-01189</t>
  </si>
  <si>
    <t>PRD-01190</t>
  </si>
  <si>
    <t>PRD-01191</t>
  </si>
  <si>
    <t>PRD-01192</t>
  </si>
  <si>
    <t>PRD-01193</t>
  </si>
  <si>
    <t>PRD-01194</t>
  </si>
  <si>
    <t>PRD-01195</t>
  </si>
  <si>
    <t>PRD-01196</t>
  </si>
  <si>
    <t>PRD-01197</t>
  </si>
  <si>
    <t>PRD-01198</t>
  </si>
  <si>
    <t>PRD-01199</t>
  </si>
  <si>
    <t>PRD-01200</t>
  </si>
  <si>
    <t>Standard_Unit_Cost</t>
  </si>
  <si>
    <t>Product_Manager</t>
  </si>
  <si>
    <t>Manager A</t>
  </si>
  <si>
    <t>Manager B</t>
  </si>
  <si>
    <t>Manager C</t>
  </si>
  <si>
    <t>Manager D</t>
  </si>
  <si>
    <t>Manager E</t>
  </si>
  <si>
    <t>Manager F</t>
  </si>
  <si>
    <t>Manager G</t>
  </si>
  <si>
    <t>Manager H</t>
  </si>
  <si>
    <t>Not Recorded</t>
  </si>
  <si>
    <t>Manufacturing Performance Formula Analysis</t>
  </si>
  <si>
    <t>Sunglass</t>
  </si>
  <si>
    <t>Ali Akbar</t>
  </si>
  <si>
    <t>2. Department-wise Production Summary (SUMIFS)</t>
  </si>
  <si>
    <t>1. Product Lookup Analysis Xlookup :</t>
  </si>
  <si>
    <t>Total Production</t>
  </si>
  <si>
    <t>Total Target</t>
  </si>
  <si>
    <t>Achievement %</t>
  </si>
  <si>
    <t>3. Department-wise Average Downtime Analysis (AVERAGEIFS)</t>
  </si>
  <si>
    <t>Average Downtime (Hours)</t>
  </si>
  <si>
    <t>Performance</t>
  </si>
  <si>
    <t>4. Department-wise Quality Status Analysis (COUNTIFS)</t>
  </si>
  <si>
    <t>Total Records</t>
  </si>
  <si>
    <t>Rejection Rate %</t>
  </si>
  <si>
    <t>5. Best and Worst Quality Performance Analysis (MAXIFS)</t>
  </si>
  <si>
    <t>Highest Rejection Rate</t>
  </si>
  <si>
    <t>Department with Highest Rejection</t>
  </si>
  <si>
    <t>Lowest Rejection Rate</t>
  </si>
  <si>
    <t>Department with Lowest Rejection</t>
  </si>
  <si>
    <t>6. Dynamic Production Record Filter (FILTER)</t>
  </si>
  <si>
    <t>Select Department</t>
  </si>
  <si>
    <t>Select Shift</t>
  </si>
  <si>
    <t>Select Quality Status</t>
  </si>
  <si>
    <t>Filtered Records</t>
  </si>
  <si>
    <t>Total Production Target</t>
  </si>
  <si>
    <t>Total Actual Production</t>
  </si>
  <si>
    <t>Total Defects</t>
  </si>
  <si>
    <t>Average Achievement %</t>
  </si>
  <si>
    <t>7: Dynamic Summary</t>
  </si>
  <si>
    <t>Row Labels</t>
  </si>
  <si>
    <t>Grand Total</t>
  </si>
  <si>
    <t>Jan</t>
  </si>
  <si>
    <t>Feb</t>
  </si>
  <si>
    <t>Mar</t>
  </si>
  <si>
    <t>Apr</t>
  </si>
  <si>
    <t>May</t>
  </si>
  <si>
    <t>Jun</t>
  </si>
  <si>
    <t>Total Production_Target</t>
  </si>
  <si>
    <t>Total Actual_Production</t>
  </si>
  <si>
    <t>Pivot Table 1: Department-wise Production Analysis</t>
  </si>
  <si>
    <t>Pivot Table 2: Monthly Production Trend Analysis</t>
  </si>
  <si>
    <t>Pivot Table 3: Quality Status Analysis</t>
  </si>
  <si>
    <t>Pivot Table 4: Product-wise Performance Analysis</t>
  </si>
  <si>
    <t>Pivot Table 5: Shift-wise Performance Analysis</t>
  </si>
  <si>
    <t>Chart 1: Department-wise Target vs Actual Production</t>
  </si>
  <si>
    <t>Chart 4: Product-wise Actual Production</t>
  </si>
  <si>
    <t>Chart 3: Quality Status Distribution</t>
  </si>
  <si>
    <t>Chart 2: Monthly Production Trend</t>
  </si>
  <si>
    <t>Chart 5: Shift-wise Actual Production vs Defects</t>
  </si>
  <si>
    <t>MANUFACTURING PERFORMANCE DASHBOARD</t>
  </si>
  <si>
    <t>Production, Quality and Operational Performance Analysis</t>
  </si>
  <si>
    <t>Overall Achievement %</t>
  </si>
  <si>
    <t>Total Production Records</t>
  </si>
  <si>
    <t>Total Production Record</t>
  </si>
  <si>
    <t>Units</t>
  </si>
  <si>
    <t>Records</t>
  </si>
  <si>
    <t>1. Department-wise Production Performance</t>
  </si>
  <si>
    <t>2. Monthly Production Trend</t>
  </si>
  <si>
    <t>Achievement Rate</t>
  </si>
  <si>
    <t>3. Quality Status Distribution</t>
  </si>
  <si>
    <t>4. Product Performance</t>
  </si>
  <si>
    <t>5. Shift wise analysis</t>
  </si>
  <si>
    <t>MANAGEMENT INSIGHTS</t>
  </si>
  <si>
    <t>Best Achievement :</t>
  </si>
  <si>
    <t>Highest Average Downtime</t>
  </si>
  <si>
    <t>Quality Performance</t>
  </si>
  <si>
    <t>Passed Rate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</si>
</sst>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ss"/>
    <numFmt numFmtId="165" formatCode="dd/mmm/yyyy"/>
    <numFmt numFmtId="166" formatCode="0.0%"/>
  </numFmts>
  <fonts count="18" x14ac:knownFonts="1">
    <font>
      <sz val="11"/>
      <color theme="1"/>
      <name val="Calibri"/>
      <family val="2"/>
      <scheme val="minor"/>
    </font>
    <font>
      <b/>
      <sz val="11"/>
      <name val="Calibri"/>
    </font>
    <font>
      <b/>
      <sz val="16"/>
      <color theme="1"/>
      <name val="Calibri"/>
      <family val="2"/>
      <scheme val="minor"/>
    </font>
    <font>
      <b/>
      <sz val="20"/>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b/>
      <sz val="12"/>
      <name val="Calibri"/>
      <family val="2"/>
    </font>
    <font>
      <b/>
      <u/>
      <sz val="20"/>
      <color theme="1"/>
      <name val="Calibri"/>
      <family val="2"/>
      <scheme val="minor"/>
    </font>
    <font>
      <b/>
      <sz val="20"/>
      <color theme="0"/>
      <name val="Calibri"/>
      <family val="2"/>
      <scheme val="minor"/>
    </font>
    <font>
      <i/>
      <sz val="12"/>
      <color theme="0"/>
      <name val="Calibri"/>
      <family val="2"/>
      <scheme val="minor"/>
    </font>
    <font>
      <b/>
      <sz val="16"/>
      <color theme="3" tint="-0.499984740745262"/>
      <name val="Calibri"/>
      <family val="2"/>
      <scheme val="minor"/>
    </font>
    <font>
      <b/>
      <sz val="16"/>
      <color rgb="FF006600"/>
      <name val="Calibri"/>
      <family val="2"/>
      <scheme val="minor"/>
    </font>
    <font>
      <b/>
      <sz val="16"/>
      <color rgb="FF7030A0"/>
      <name val="Calibri"/>
      <family val="2"/>
      <scheme val="minor"/>
    </font>
    <font>
      <b/>
      <sz val="16"/>
      <color rgb="FFFF9900"/>
      <name val="Calibri"/>
      <family val="2"/>
      <scheme val="minor"/>
    </font>
    <font>
      <b/>
      <sz val="16"/>
      <color rgb="FF002060"/>
      <name val="Calibri"/>
      <family val="2"/>
      <scheme val="minor"/>
    </font>
    <font>
      <b/>
      <sz val="11"/>
      <color rgb="FF002060"/>
      <name val="Calibri"/>
      <family val="2"/>
      <scheme val="minor"/>
    </font>
    <font>
      <b/>
      <sz val="16"/>
      <color theme="0"/>
      <name val="Calibri"/>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3" tint="-0.249977111117893"/>
        <bgColor indexed="64"/>
      </patternFill>
    </fill>
    <fill>
      <patternFill patternType="solid">
        <fgColor rgb="FF00206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2">
    <xf numFmtId="0" fontId="0" fillId="0" borderId="0"/>
    <xf numFmtId="9" fontId="4" fillId="0" borderId="0" applyFont="0" applyFill="0" applyBorder="0" applyAlignment="0" applyProtection="0"/>
  </cellStyleXfs>
  <cellXfs count="58">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165" fontId="1" fillId="0" borderId="2" xfId="0" applyNumberFormat="1" applyFont="1" applyBorder="1" applyAlignment="1">
      <alignment horizontal="center" vertical="top"/>
    </xf>
    <xf numFmtId="165" fontId="0" fillId="0" borderId="0" xfId="0" applyNumberFormat="1"/>
    <xf numFmtId="0" fontId="2" fillId="0" borderId="0" xfId="0" applyFont="1"/>
    <xf numFmtId="0" fontId="0" fillId="0" borderId="1" xfId="0" applyBorder="1" applyAlignment="1">
      <alignment vertical="center"/>
    </xf>
    <xf numFmtId="0" fontId="2" fillId="0" borderId="0" xfId="0" applyFont="1" applyAlignment="1">
      <alignment vertical="center"/>
    </xf>
    <xf numFmtId="0" fontId="0" fillId="0" borderId="0" xfId="0" applyAlignment="1">
      <alignment horizontal="center" vertical="center"/>
    </xf>
    <xf numFmtId="0" fontId="7" fillId="0" borderId="1" xfId="0" applyFont="1" applyBorder="1" applyAlignment="1">
      <alignment horizontal="center" vertical="top"/>
    </xf>
    <xf numFmtId="0" fontId="6" fillId="0" borderId="1" xfId="0" applyFont="1" applyBorder="1" applyAlignment="1">
      <alignment horizontal="center" vertical="center"/>
    </xf>
    <xf numFmtId="0" fontId="0" fillId="0" borderId="1" xfId="0" applyBorder="1"/>
    <xf numFmtId="166" fontId="0" fillId="0" borderId="1" xfId="1" applyNumberFormat="1" applyFont="1" applyBorder="1"/>
    <xf numFmtId="0" fontId="6" fillId="0" borderId="1" xfId="0" applyFont="1" applyBorder="1"/>
    <xf numFmtId="166" fontId="6" fillId="0" borderId="1" xfId="1" applyNumberFormat="1" applyFont="1" applyBorder="1"/>
    <xf numFmtId="0" fontId="0" fillId="0" borderId="0" xfId="0" applyAlignment="1">
      <alignment vertical="center" wrapText="1"/>
    </xf>
    <xf numFmtId="0" fontId="6" fillId="0" borderId="0" xfId="0" applyFont="1" applyAlignment="1">
      <alignment vertical="center" wrapText="1"/>
    </xf>
    <xf numFmtId="2" fontId="0" fillId="0" borderId="0" xfId="0" applyNumberFormat="1"/>
    <xf numFmtId="166" fontId="0" fillId="0" borderId="0" xfId="1" applyNumberFormat="1" applyFont="1"/>
    <xf numFmtId="0" fontId="6" fillId="0" borderId="1" xfId="0" applyFont="1" applyBorder="1" applyAlignment="1">
      <alignment horizontal="center" vertical="center" wrapText="1"/>
    </xf>
    <xf numFmtId="0" fontId="0" fillId="0" borderId="1" xfId="0" applyBorder="1" applyAlignment="1">
      <alignment horizontal="left" vertical="center" wrapText="1"/>
    </xf>
    <xf numFmtId="0" fontId="5" fillId="0" borderId="1" xfId="0" applyFont="1" applyBorder="1" applyAlignment="1">
      <alignment horizontal="center" vertical="center" wrapText="1"/>
    </xf>
    <xf numFmtId="0" fontId="0" fillId="0" borderId="1" xfId="0" applyBorder="1" applyAlignment="1">
      <alignment vertical="center" wrapText="1"/>
    </xf>
    <xf numFmtId="166" fontId="0" fillId="0" borderId="0" xfId="1" applyNumberFormat="1" applyFont="1" applyAlignment="1">
      <alignment horizontal="center" vertical="center" wrapText="1"/>
    </xf>
    <xf numFmtId="165" fontId="0" fillId="0" borderId="0" xfId="0" applyNumberFormat="1" applyAlignment="1">
      <alignment horizontal="center" vertical="center" wrapText="1"/>
    </xf>
    <xf numFmtId="165" fontId="0" fillId="0" borderId="0" xfId="0" applyNumberFormat="1" applyAlignment="1">
      <alignment horizontal="center" vertical="center"/>
    </xf>
    <xf numFmtId="0" fontId="0" fillId="0" borderId="0" xfId="0" applyAlignment="1">
      <alignment horizontal="left" vertical="center" wrapText="1"/>
    </xf>
    <xf numFmtId="165" fontId="0" fillId="0" borderId="0" xfId="0" applyNumberFormat="1" applyAlignment="1">
      <alignment horizontal="center"/>
    </xf>
    <xf numFmtId="0" fontId="0" fillId="0" borderId="0" xfId="0" applyAlignment="1">
      <alignment horizontal="left" vertical="center"/>
    </xf>
    <xf numFmtId="0" fontId="5" fillId="0" borderId="1" xfId="0" applyFont="1" applyBorder="1" applyAlignment="1">
      <alignment horizontal="center" vertical="center"/>
    </xf>
    <xf numFmtId="166" fontId="5" fillId="0" borderId="1" xfId="1" applyNumberFormat="1" applyFont="1" applyBorder="1" applyAlignment="1">
      <alignment horizontal="center" vertical="center"/>
    </xf>
    <xf numFmtId="1" fontId="5" fillId="0" borderId="1" xfId="0" applyNumberFormat="1" applyFont="1" applyBorder="1" applyAlignment="1">
      <alignment horizontal="center" vertical="center"/>
    </xf>
    <xf numFmtId="3" fontId="5" fillId="0" borderId="1" xfId="0" applyNumberFormat="1" applyFont="1" applyBorder="1" applyAlignment="1">
      <alignment horizontal="center" vertical="center"/>
    </xf>
    <xf numFmtId="3" fontId="5" fillId="0" borderId="1" xfId="0" applyNumberFormat="1" applyFont="1" applyBorder="1" applyAlignment="1">
      <alignment horizontal="center" vertical="center" wrapText="1"/>
    </xf>
    <xf numFmtId="0" fontId="0" fillId="0" borderId="1" xfId="0" pivotButton="1" applyBorder="1"/>
    <xf numFmtId="0" fontId="5" fillId="2" borderId="1" xfId="0" applyFont="1" applyFill="1" applyBorder="1" applyAlignment="1">
      <alignment horizontal="center" vertical="center"/>
    </xf>
    <xf numFmtId="0" fontId="0" fillId="0" borderId="1" xfId="0" applyBorder="1" applyAlignment="1">
      <alignment horizontal="left"/>
    </xf>
    <xf numFmtId="3" fontId="0" fillId="0" borderId="1" xfId="0" applyNumberFormat="1" applyBorder="1"/>
    <xf numFmtId="166" fontId="5" fillId="2" borderId="1" xfId="1" applyNumberFormat="1" applyFont="1" applyFill="1" applyBorder="1"/>
    <xf numFmtId="0" fontId="8" fillId="0" borderId="0" xfId="0" applyFont="1"/>
    <xf numFmtId="0" fontId="0" fillId="0" borderId="0" xfId="0" pivotButton="1"/>
    <xf numFmtId="0" fontId="0" fillId="0" borderId="0" xfId="0" applyAlignment="1">
      <alignment horizontal="left"/>
    </xf>
    <xf numFmtId="0" fontId="3" fillId="0" borderId="0" xfId="0" applyFont="1"/>
    <xf numFmtId="0" fontId="16" fillId="0" borderId="0" xfId="0" applyFont="1"/>
    <xf numFmtId="0" fontId="16" fillId="0" borderId="0" xfId="0" applyFont="1" applyAlignment="1">
      <alignment horizontal="right"/>
    </xf>
    <xf numFmtId="0" fontId="5" fillId="0" borderId="0" xfId="0" applyFont="1"/>
    <xf numFmtId="166" fontId="5" fillId="0" borderId="0" xfId="1" applyNumberFormat="1" applyFont="1" applyAlignment="1">
      <alignment horizontal="center" vertical="center"/>
    </xf>
    <xf numFmtId="0" fontId="17" fillId="4" borderId="0" xfId="0" applyFont="1" applyFill="1" applyAlignment="1">
      <alignment horizontal="center"/>
    </xf>
    <xf numFmtId="0" fontId="9" fillId="3" borderId="0" xfId="0" applyFont="1" applyFill="1" applyAlignment="1">
      <alignment horizontal="center" vertical="center"/>
    </xf>
    <xf numFmtId="0" fontId="10" fillId="3" borderId="0" xfId="0" applyFont="1" applyFill="1" applyAlignment="1">
      <alignment horizontal="center" vertical="center"/>
    </xf>
    <xf numFmtId="0" fontId="16" fillId="0" borderId="0" xfId="0" applyFont="1" applyAlignment="1">
      <alignment horizontal="center"/>
    </xf>
    <xf numFmtId="3" fontId="11" fillId="0" borderId="0" xfId="0" applyNumberFormat="1" applyFont="1" applyAlignment="1">
      <alignment horizontal="left"/>
    </xf>
    <xf numFmtId="3" fontId="12" fillId="0" borderId="0" xfId="0" applyNumberFormat="1" applyFont="1" applyAlignment="1">
      <alignment horizontal="left"/>
    </xf>
    <xf numFmtId="166" fontId="13" fillId="0" borderId="0" xfId="1" applyNumberFormat="1" applyFont="1" applyAlignment="1">
      <alignment horizontal="center" vertical="center"/>
    </xf>
    <xf numFmtId="3" fontId="14" fillId="0" borderId="0" xfId="0" applyNumberFormat="1" applyFont="1" applyAlignment="1">
      <alignment horizontal="left" vertical="center"/>
    </xf>
    <xf numFmtId="3" fontId="15" fillId="0" borderId="0" xfId="0" applyNumberFormat="1" applyFont="1" applyAlignment="1">
      <alignment horizontal="left" vertical="center"/>
    </xf>
    <xf numFmtId="0" fontId="3" fillId="0" borderId="0" xfId="0" applyFont="1" applyAlignment="1">
      <alignment horizontal="center"/>
    </xf>
  </cellXfs>
  <cellStyles count="2">
    <cellStyle name="Normal" xfId="0" builtinId="0"/>
    <cellStyle name="Percent" xfId="1" builtinId="5"/>
  </cellStyles>
  <dxfs count="37">
    <dxf>
      <font>
        <color rgb="FF9C0006"/>
      </font>
      <fill>
        <patternFill>
          <bgColor rgb="FFFFC7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5" formatCode="dd/mmm/yyyy"/>
    </dxf>
    <dxf>
      <numFmt numFmtId="165" formatCode="dd/mmm/yyyy"/>
    </dxf>
    <dxf>
      <numFmt numFmtId="165" formatCode="dd/m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FF9900"/>
      <color rgb="FF00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[manufacturing_production_analysis.xlsx]Pivot_Analysis!PivotTable1</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Pivot_Analysis!$B$3</c:f>
              <c:strCache>
                <c:ptCount val="1"/>
                <c:pt idx="0">
                  <c:v>Total Production_Target</c:v>
                </c:pt>
              </c:strCache>
            </c:strRef>
          </c:tx>
          <c:spPr>
            <a:solidFill>
              <a:schemeClr val="accent1"/>
            </a:solidFill>
            <a:ln>
              <a:noFill/>
            </a:ln>
            <a:effectLst/>
          </c:spPr>
          <c:invertIfNegative val="0"/>
          <c:cat>
            <c:strRef>
              <c:f>Pivot_Analysis!$A$4:$A$10</c:f>
              <c:strCache>
                <c:ptCount val="6"/>
                <c:pt idx="0">
                  <c:v>Assembly</c:v>
                </c:pt>
                <c:pt idx="1">
                  <c:v>Composite</c:v>
                </c:pt>
                <c:pt idx="2">
                  <c:v>Machining</c:v>
                </c:pt>
                <c:pt idx="3">
                  <c:v>Sheet Metal</c:v>
                </c:pt>
                <c:pt idx="4">
                  <c:v>Spares &amp; Repairs</c:v>
                </c:pt>
                <c:pt idx="5">
                  <c:v>Surface Treatment</c:v>
                </c:pt>
              </c:strCache>
            </c:strRef>
          </c:cat>
          <c:val>
            <c:numRef>
              <c:f>Pivot_Analysis!$B$4:$B$10</c:f>
              <c:numCache>
                <c:formatCode>#,##0</c:formatCode>
                <c:ptCount val="6"/>
                <c:pt idx="0">
                  <c:v>54726</c:v>
                </c:pt>
                <c:pt idx="1">
                  <c:v>60199</c:v>
                </c:pt>
                <c:pt idx="2">
                  <c:v>25078</c:v>
                </c:pt>
                <c:pt idx="3">
                  <c:v>32748</c:v>
                </c:pt>
                <c:pt idx="4">
                  <c:v>34951</c:v>
                </c:pt>
                <c:pt idx="5">
                  <c:v>29224</c:v>
                </c:pt>
              </c:numCache>
            </c:numRef>
          </c:val>
          <c:extLst>
            <c:ext xmlns:c16="http://schemas.microsoft.com/office/drawing/2014/chart" uri="{C3380CC4-5D6E-409C-BE32-E72D297353CC}">
              <c16:uniqueId val="{00000000-3A9D-4272-8242-C086D1BDA89F}"/>
            </c:ext>
          </c:extLst>
        </c:ser>
        <c:ser>
          <c:idx val="1"/>
          <c:order val="1"/>
          <c:tx>
            <c:strRef>
              <c:f>Pivot_Analysis!$C$3</c:f>
              <c:strCache>
                <c:ptCount val="1"/>
                <c:pt idx="0">
                  <c:v>Total Actual_Production</c:v>
                </c:pt>
              </c:strCache>
            </c:strRef>
          </c:tx>
          <c:spPr>
            <a:solidFill>
              <a:srgbClr val="00B050"/>
            </a:solidFill>
            <a:ln>
              <a:noFill/>
            </a:ln>
            <a:effectLst/>
          </c:spPr>
          <c:invertIfNegative val="0"/>
          <c:cat>
            <c:strRef>
              <c:f>Pivot_Analysis!$A$4:$A$10</c:f>
              <c:strCache>
                <c:ptCount val="6"/>
                <c:pt idx="0">
                  <c:v>Assembly</c:v>
                </c:pt>
                <c:pt idx="1">
                  <c:v>Composite</c:v>
                </c:pt>
                <c:pt idx="2">
                  <c:v>Machining</c:v>
                </c:pt>
                <c:pt idx="3">
                  <c:v>Sheet Metal</c:v>
                </c:pt>
                <c:pt idx="4">
                  <c:v>Spares &amp; Repairs</c:v>
                </c:pt>
                <c:pt idx="5">
                  <c:v>Surface Treatment</c:v>
                </c:pt>
              </c:strCache>
            </c:strRef>
          </c:cat>
          <c:val>
            <c:numRef>
              <c:f>Pivot_Analysis!$C$4:$C$10</c:f>
              <c:numCache>
                <c:formatCode>#,##0</c:formatCode>
                <c:ptCount val="6"/>
                <c:pt idx="0">
                  <c:v>51256</c:v>
                </c:pt>
                <c:pt idx="1">
                  <c:v>56256</c:v>
                </c:pt>
                <c:pt idx="2">
                  <c:v>23091</c:v>
                </c:pt>
                <c:pt idx="3">
                  <c:v>30708</c:v>
                </c:pt>
                <c:pt idx="4">
                  <c:v>32773</c:v>
                </c:pt>
                <c:pt idx="5">
                  <c:v>26976</c:v>
                </c:pt>
              </c:numCache>
            </c:numRef>
          </c:val>
          <c:extLst>
            <c:ext xmlns:c16="http://schemas.microsoft.com/office/drawing/2014/chart" uri="{C3380CC4-5D6E-409C-BE32-E72D297353CC}">
              <c16:uniqueId val="{00000001-3A9D-4272-8242-C086D1BDA89F}"/>
            </c:ext>
          </c:extLst>
        </c:ser>
        <c:dLbls>
          <c:showLegendKey val="0"/>
          <c:showVal val="0"/>
          <c:showCatName val="0"/>
          <c:showSerName val="0"/>
          <c:showPercent val="0"/>
          <c:showBubbleSize val="0"/>
        </c:dLbls>
        <c:gapWidth val="219"/>
        <c:overlap val="-27"/>
        <c:axId val="349698160"/>
        <c:axId val="349701680"/>
      </c:barChart>
      <c:catAx>
        <c:axId val="349698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701680"/>
        <c:crosses val="autoZero"/>
        <c:auto val="1"/>
        <c:lblAlgn val="ctr"/>
        <c:lblOffset val="100"/>
        <c:noMultiLvlLbl val="0"/>
      </c:catAx>
      <c:valAx>
        <c:axId val="349701680"/>
        <c:scaling>
          <c:orientation val="minMax"/>
        </c:scaling>
        <c:delete val="1"/>
        <c:axPos val="l"/>
        <c:numFmt formatCode="#,##0" sourceLinked="1"/>
        <c:majorTickMark val="none"/>
        <c:minorTickMark val="none"/>
        <c:tickLblPos val="nextTo"/>
        <c:crossAx val="349698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[manufacturing_production_analysis.xlsx]Pivot_Analysis!PivotTable2</c:name>
    <c:fmtId val="9"/>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rgbClr val="00B05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Pivot_Analysis!$B$30</c:f>
              <c:strCache>
                <c:ptCount val="1"/>
                <c:pt idx="0">
                  <c:v>Total Production Target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Pivot_Analysis!$A$31:$A$37</c:f>
              <c:strCache>
                <c:ptCount val="6"/>
                <c:pt idx="0">
                  <c:v>Jan</c:v>
                </c:pt>
                <c:pt idx="1">
                  <c:v>Feb</c:v>
                </c:pt>
                <c:pt idx="2">
                  <c:v>Mar</c:v>
                </c:pt>
                <c:pt idx="3">
                  <c:v>Apr</c:v>
                </c:pt>
                <c:pt idx="4">
                  <c:v>May</c:v>
                </c:pt>
                <c:pt idx="5">
                  <c:v>Jun</c:v>
                </c:pt>
              </c:strCache>
            </c:strRef>
          </c:cat>
          <c:val>
            <c:numRef>
              <c:f>Pivot_Analysis!$B$31:$B$37</c:f>
              <c:numCache>
                <c:formatCode>#,##0</c:formatCode>
                <c:ptCount val="6"/>
                <c:pt idx="0">
                  <c:v>39822</c:v>
                </c:pt>
                <c:pt idx="1">
                  <c:v>34674</c:v>
                </c:pt>
                <c:pt idx="2">
                  <c:v>40453</c:v>
                </c:pt>
                <c:pt idx="3">
                  <c:v>45024</c:v>
                </c:pt>
                <c:pt idx="4">
                  <c:v>37848</c:v>
                </c:pt>
                <c:pt idx="5">
                  <c:v>39105</c:v>
                </c:pt>
              </c:numCache>
            </c:numRef>
          </c:val>
          <c:smooth val="0"/>
          <c:extLst>
            <c:ext xmlns:c16="http://schemas.microsoft.com/office/drawing/2014/chart" uri="{C3380CC4-5D6E-409C-BE32-E72D297353CC}">
              <c16:uniqueId val="{00000000-6E16-4334-A53B-905F2556A81E}"/>
            </c:ext>
          </c:extLst>
        </c:ser>
        <c:ser>
          <c:idx val="1"/>
          <c:order val="1"/>
          <c:tx>
            <c:strRef>
              <c:f>Pivot_Analysis!$C$30</c:f>
              <c:strCache>
                <c:ptCount val="1"/>
                <c:pt idx="0">
                  <c:v>Total Actual Production</c:v>
                </c:pt>
              </c:strCache>
            </c:strRef>
          </c:tx>
          <c:spPr>
            <a:ln w="28575" cap="rnd">
              <a:solidFill>
                <a:schemeClr val="accent2"/>
              </a:solidFill>
              <a:round/>
            </a:ln>
            <a:effectLst/>
          </c:spPr>
          <c:marker>
            <c:symbol val="circle"/>
            <c:size val="5"/>
            <c:spPr>
              <a:solidFill>
                <a:srgbClr val="00B050"/>
              </a:solidFill>
              <a:ln w="9525">
                <a:solidFill>
                  <a:schemeClr val="accent2"/>
                </a:solidFill>
              </a:ln>
              <a:effectLst/>
            </c:spPr>
          </c:marker>
          <c:cat>
            <c:strRef>
              <c:f>Pivot_Analysis!$A$31:$A$37</c:f>
              <c:strCache>
                <c:ptCount val="6"/>
                <c:pt idx="0">
                  <c:v>Jan</c:v>
                </c:pt>
                <c:pt idx="1">
                  <c:v>Feb</c:v>
                </c:pt>
                <c:pt idx="2">
                  <c:v>Mar</c:v>
                </c:pt>
                <c:pt idx="3">
                  <c:v>Apr</c:v>
                </c:pt>
                <c:pt idx="4">
                  <c:v>May</c:v>
                </c:pt>
                <c:pt idx="5">
                  <c:v>Jun</c:v>
                </c:pt>
              </c:strCache>
            </c:strRef>
          </c:cat>
          <c:val>
            <c:numRef>
              <c:f>Pivot_Analysis!$C$31:$C$37</c:f>
              <c:numCache>
                <c:formatCode>#,##0</c:formatCode>
                <c:ptCount val="6"/>
                <c:pt idx="0">
                  <c:v>37533</c:v>
                </c:pt>
                <c:pt idx="1">
                  <c:v>32042</c:v>
                </c:pt>
                <c:pt idx="2">
                  <c:v>37742</c:v>
                </c:pt>
                <c:pt idx="3">
                  <c:v>42130</c:v>
                </c:pt>
                <c:pt idx="4">
                  <c:v>34987</c:v>
                </c:pt>
                <c:pt idx="5">
                  <c:v>36626</c:v>
                </c:pt>
              </c:numCache>
            </c:numRef>
          </c:val>
          <c:smooth val="0"/>
          <c:extLst>
            <c:ext xmlns:c16="http://schemas.microsoft.com/office/drawing/2014/chart" uri="{C3380CC4-5D6E-409C-BE32-E72D297353CC}">
              <c16:uniqueId val="{00000001-6E16-4334-A53B-905F2556A81E}"/>
            </c:ext>
          </c:extLst>
        </c:ser>
        <c:dLbls>
          <c:showLegendKey val="0"/>
          <c:showVal val="0"/>
          <c:showCatName val="0"/>
          <c:showSerName val="0"/>
          <c:showPercent val="0"/>
          <c:showBubbleSize val="0"/>
        </c:dLbls>
        <c:marker val="1"/>
        <c:smooth val="0"/>
        <c:axId val="406394920"/>
        <c:axId val="406395624"/>
      </c:lineChart>
      <c:catAx>
        <c:axId val="406394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395624"/>
        <c:crosses val="autoZero"/>
        <c:auto val="1"/>
        <c:lblAlgn val="ctr"/>
        <c:lblOffset val="100"/>
        <c:noMultiLvlLbl val="0"/>
      </c:catAx>
      <c:valAx>
        <c:axId val="406395624"/>
        <c:scaling>
          <c:orientation val="minMax"/>
        </c:scaling>
        <c:delete val="1"/>
        <c:axPos val="l"/>
        <c:numFmt formatCode="#,##0" sourceLinked="1"/>
        <c:majorTickMark val="none"/>
        <c:minorTickMark val="none"/>
        <c:tickLblPos val="nextTo"/>
        <c:crossAx val="406394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[manufacturing_production_analysis.xlsx]Pivot_Analysis!PivotTable6</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Pivot_Analysis!$B$49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C46-4AD6-832B-3684381572B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C46-4AD6-832B-3684381572B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C46-4AD6-832B-3684381572B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C46-4AD6-832B-3684381572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Pivot_Analysis!$A$50:$A$54</c:f>
              <c:strCache>
                <c:ptCount val="4"/>
                <c:pt idx="0">
                  <c:v>Not Recorded</c:v>
                </c:pt>
                <c:pt idx="1">
                  <c:v>Passed</c:v>
                </c:pt>
                <c:pt idx="2">
                  <c:v>Rejected</c:v>
                </c:pt>
                <c:pt idx="3">
                  <c:v>Rework</c:v>
                </c:pt>
              </c:strCache>
            </c:strRef>
          </c:cat>
          <c:val>
            <c:numRef>
              <c:f>Pivot_Analysis!$B$50:$B$54</c:f>
              <c:numCache>
                <c:formatCode>General</c:formatCode>
                <c:ptCount val="4"/>
                <c:pt idx="0">
                  <c:v>4</c:v>
                </c:pt>
                <c:pt idx="1">
                  <c:v>717</c:v>
                </c:pt>
                <c:pt idx="2">
                  <c:v>243</c:v>
                </c:pt>
                <c:pt idx="3">
                  <c:v>231</c:v>
                </c:pt>
              </c:numCache>
            </c:numRef>
          </c:val>
          <c:extLst>
            <c:ext xmlns:c16="http://schemas.microsoft.com/office/drawing/2014/chart" uri="{C3380CC4-5D6E-409C-BE32-E72D297353CC}">
              <c16:uniqueId val="{00000008-DC46-4AD6-832B-3684381572B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6233859994389677"/>
          <c:y val="0.26922927829367888"/>
          <c:w val="0.23267455234545026"/>
          <c:h val="0.461541443412642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[manufacturing_production_analysis.xlsx]Pivot_Analysis!PivotTable4</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Pivot_Analysis!$B$66</c:f>
              <c:strCache>
                <c:ptCount val="1"/>
                <c:pt idx="0">
                  <c:v>Total Production Target</c:v>
                </c:pt>
              </c:strCache>
            </c:strRef>
          </c:tx>
          <c:spPr>
            <a:solidFill>
              <a:schemeClr val="accent1"/>
            </a:solidFill>
            <a:ln>
              <a:noFill/>
            </a:ln>
            <a:effectLst/>
          </c:spPr>
          <c:invertIfNegative val="0"/>
          <c:cat>
            <c:strRef>
              <c:f>Pivot_Analysis!$A$67:$A$75</c:f>
              <c:strCache>
                <c:ptCount val="8"/>
                <c:pt idx="0">
                  <c:v>Machined Housing</c:v>
                </c:pt>
                <c:pt idx="1">
                  <c:v>Assembly Kit X</c:v>
                </c:pt>
                <c:pt idx="2">
                  <c:v>Composite Panel A</c:v>
                </c:pt>
                <c:pt idx="3">
                  <c:v>Assembly Kit Y</c:v>
                </c:pt>
                <c:pt idx="4">
                  <c:v>Surface Treatment Part</c:v>
                </c:pt>
                <c:pt idx="5">
                  <c:v>Sheet Metal Bracket</c:v>
                </c:pt>
                <c:pt idx="6">
                  <c:v>Composite Panel B</c:v>
                </c:pt>
                <c:pt idx="7">
                  <c:v>Repair Component</c:v>
                </c:pt>
              </c:strCache>
            </c:strRef>
          </c:cat>
          <c:val>
            <c:numRef>
              <c:f>Pivot_Analysis!$B$67:$B$75</c:f>
              <c:numCache>
                <c:formatCode>#,##0</c:formatCode>
                <c:ptCount val="8"/>
                <c:pt idx="0">
                  <c:v>25078</c:v>
                </c:pt>
                <c:pt idx="1">
                  <c:v>27207</c:v>
                </c:pt>
                <c:pt idx="2">
                  <c:v>26739</c:v>
                </c:pt>
                <c:pt idx="3">
                  <c:v>27519</c:v>
                </c:pt>
                <c:pt idx="4">
                  <c:v>29224</c:v>
                </c:pt>
                <c:pt idx="5">
                  <c:v>32748</c:v>
                </c:pt>
                <c:pt idx="6">
                  <c:v>33460</c:v>
                </c:pt>
                <c:pt idx="7">
                  <c:v>34951</c:v>
                </c:pt>
              </c:numCache>
            </c:numRef>
          </c:val>
          <c:extLst>
            <c:ext xmlns:c16="http://schemas.microsoft.com/office/drawing/2014/chart" uri="{C3380CC4-5D6E-409C-BE32-E72D297353CC}">
              <c16:uniqueId val="{00000000-00CB-42D9-8DD7-3B94D141FC98}"/>
            </c:ext>
          </c:extLst>
        </c:ser>
        <c:ser>
          <c:idx val="1"/>
          <c:order val="1"/>
          <c:tx>
            <c:strRef>
              <c:f>Pivot_Analysis!$C$66</c:f>
              <c:strCache>
                <c:ptCount val="1"/>
                <c:pt idx="0">
                  <c:v>Total Actual Production</c:v>
                </c:pt>
              </c:strCache>
            </c:strRef>
          </c:tx>
          <c:spPr>
            <a:solidFill>
              <a:schemeClr val="accent2"/>
            </a:solidFill>
            <a:ln>
              <a:noFill/>
            </a:ln>
            <a:effectLst/>
          </c:spPr>
          <c:invertIfNegative val="0"/>
          <c:cat>
            <c:strRef>
              <c:f>Pivot_Analysis!$A$67:$A$75</c:f>
              <c:strCache>
                <c:ptCount val="8"/>
                <c:pt idx="0">
                  <c:v>Machined Housing</c:v>
                </c:pt>
                <c:pt idx="1">
                  <c:v>Assembly Kit X</c:v>
                </c:pt>
                <c:pt idx="2">
                  <c:v>Composite Panel A</c:v>
                </c:pt>
                <c:pt idx="3">
                  <c:v>Assembly Kit Y</c:v>
                </c:pt>
                <c:pt idx="4">
                  <c:v>Surface Treatment Part</c:v>
                </c:pt>
                <c:pt idx="5">
                  <c:v>Sheet Metal Bracket</c:v>
                </c:pt>
                <c:pt idx="6">
                  <c:v>Composite Panel B</c:v>
                </c:pt>
                <c:pt idx="7">
                  <c:v>Repair Component</c:v>
                </c:pt>
              </c:strCache>
            </c:strRef>
          </c:cat>
          <c:val>
            <c:numRef>
              <c:f>Pivot_Analysis!$C$67:$C$75</c:f>
              <c:numCache>
                <c:formatCode>#,##0</c:formatCode>
                <c:ptCount val="8"/>
                <c:pt idx="0">
                  <c:v>23091</c:v>
                </c:pt>
                <c:pt idx="1">
                  <c:v>25202</c:v>
                </c:pt>
                <c:pt idx="2">
                  <c:v>25288</c:v>
                </c:pt>
                <c:pt idx="3">
                  <c:v>26054</c:v>
                </c:pt>
                <c:pt idx="4">
                  <c:v>26976</c:v>
                </c:pt>
                <c:pt idx="5">
                  <c:v>30708</c:v>
                </c:pt>
                <c:pt idx="6">
                  <c:v>30968</c:v>
                </c:pt>
                <c:pt idx="7">
                  <c:v>32773</c:v>
                </c:pt>
              </c:numCache>
            </c:numRef>
          </c:val>
          <c:extLst>
            <c:ext xmlns:c16="http://schemas.microsoft.com/office/drawing/2014/chart" uri="{C3380CC4-5D6E-409C-BE32-E72D297353CC}">
              <c16:uniqueId val="{00000001-00CB-42D9-8DD7-3B94D141FC98}"/>
            </c:ext>
          </c:extLst>
        </c:ser>
        <c:ser>
          <c:idx val="2"/>
          <c:order val="2"/>
          <c:tx>
            <c:strRef>
              <c:f>Pivot_Analysis!$D$66</c:f>
              <c:strCache>
                <c:ptCount val="1"/>
                <c:pt idx="0">
                  <c:v>Total Defects</c:v>
                </c:pt>
              </c:strCache>
            </c:strRef>
          </c:tx>
          <c:spPr>
            <a:solidFill>
              <a:schemeClr val="accent3"/>
            </a:solidFill>
            <a:ln>
              <a:noFill/>
            </a:ln>
            <a:effectLst/>
          </c:spPr>
          <c:invertIfNegative val="0"/>
          <c:cat>
            <c:strRef>
              <c:f>Pivot_Analysis!$A$67:$A$75</c:f>
              <c:strCache>
                <c:ptCount val="8"/>
                <c:pt idx="0">
                  <c:v>Machined Housing</c:v>
                </c:pt>
                <c:pt idx="1">
                  <c:v>Assembly Kit X</c:v>
                </c:pt>
                <c:pt idx="2">
                  <c:v>Composite Panel A</c:v>
                </c:pt>
                <c:pt idx="3">
                  <c:v>Assembly Kit Y</c:v>
                </c:pt>
                <c:pt idx="4">
                  <c:v>Surface Treatment Part</c:v>
                </c:pt>
                <c:pt idx="5">
                  <c:v>Sheet Metal Bracket</c:v>
                </c:pt>
                <c:pt idx="6">
                  <c:v>Composite Panel B</c:v>
                </c:pt>
                <c:pt idx="7">
                  <c:v>Repair Component</c:v>
                </c:pt>
              </c:strCache>
            </c:strRef>
          </c:cat>
          <c:val>
            <c:numRef>
              <c:f>Pivot_Analysis!$D$67:$D$75</c:f>
              <c:numCache>
                <c:formatCode>#,##0</c:formatCode>
                <c:ptCount val="8"/>
                <c:pt idx="0">
                  <c:v>1112</c:v>
                </c:pt>
                <c:pt idx="1">
                  <c:v>1077</c:v>
                </c:pt>
                <c:pt idx="2">
                  <c:v>1268</c:v>
                </c:pt>
                <c:pt idx="3">
                  <c:v>1312</c:v>
                </c:pt>
                <c:pt idx="4">
                  <c:v>1218</c:v>
                </c:pt>
                <c:pt idx="5">
                  <c:v>1456</c:v>
                </c:pt>
                <c:pt idx="6">
                  <c:v>1538</c:v>
                </c:pt>
                <c:pt idx="7">
                  <c:v>1561</c:v>
                </c:pt>
              </c:numCache>
            </c:numRef>
          </c:val>
          <c:extLst>
            <c:ext xmlns:c16="http://schemas.microsoft.com/office/drawing/2014/chart" uri="{C3380CC4-5D6E-409C-BE32-E72D297353CC}">
              <c16:uniqueId val="{00000002-00CB-42D9-8DD7-3B94D141FC98}"/>
            </c:ext>
          </c:extLst>
        </c:ser>
        <c:dLbls>
          <c:showLegendKey val="0"/>
          <c:showVal val="0"/>
          <c:showCatName val="0"/>
          <c:showSerName val="0"/>
          <c:showPercent val="0"/>
          <c:showBubbleSize val="0"/>
        </c:dLbls>
        <c:gapWidth val="182"/>
        <c:axId val="472879208"/>
        <c:axId val="472883432"/>
      </c:barChart>
      <c:catAx>
        <c:axId val="472879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883432"/>
        <c:crosses val="autoZero"/>
        <c:auto val="1"/>
        <c:lblAlgn val="ctr"/>
        <c:lblOffset val="100"/>
        <c:noMultiLvlLbl val="0"/>
      </c:catAx>
      <c:valAx>
        <c:axId val="472883432"/>
        <c:scaling>
          <c:orientation val="minMax"/>
        </c:scaling>
        <c:delete val="1"/>
        <c:axPos val="b"/>
        <c:numFmt formatCode="#,##0" sourceLinked="1"/>
        <c:majorTickMark val="none"/>
        <c:minorTickMark val="none"/>
        <c:tickLblPos val="nextTo"/>
        <c:crossAx val="472879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[manufacturing_production_analysis.xlsx]Pivot_Analysis!PivotTable5</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370171923775799E-2"/>
          <c:y val="0.16711270372640546"/>
          <c:w val="0.55335761154855645"/>
          <c:h val="0.65853091280256637"/>
        </c:manualLayout>
      </c:layout>
      <c:barChart>
        <c:barDir val="col"/>
        <c:grouping val="clustered"/>
        <c:varyColors val="0"/>
        <c:ser>
          <c:idx val="0"/>
          <c:order val="0"/>
          <c:tx>
            <c:strRef>
              <c:f>Pivot_Analysis!$B$86</c:f>
              <c:strCache>
                <c:ptCount val="1"/>
                <c:pt idx="0">
                  <c:v>Total Production Target</c:v>
                </c:pt>
              </c:strCache>
            </c:strRef>
          </c:tx>
          <c:spPr>
            <a:solidFill>
              <a:schemeClr val="accent1"/>
            </a:solidFill>
            <a:ln>
              <a:noFill/>
            </a:ln>
            <a:effectLst/>
          </c:spPr>
          <c:invertIfNegative val="0"/>
          <c:cat>
            <c:strRef>
              <c:f>Pivot_Analysis!$A$87:$A$90</c:f>
              <c:strCache>
                <c:ptCount val="3"/>
                <c:pt idx="0">
                  <c:v>Day</c:v>
                </c:pt>
                <c:pt idx="1">
                  <c:v>Evening</c:v>
                </c:pt>
                <c:pt idx="2">
                  <c:v>Night</c:v>
                </c:pt>
              </c:strCache>
            </c:strRef>
          </c:cat>
          <c:val>
            <c:numRef>
              <c:f>Pivot_Analysis!$B$87:$B$90</c:f>
              <c:numCache>
                <c:formatCode>#,##0</c:formatCode>
                <c:ptCount val="3"/>
                <c:pt idx="0">
                  <c:v>76713</c:v>
                </c:pt>
                <c:pt idx="1">
                  <c:v>77425</c:v>
                </c:pt>
                <c:pt idx="2">
                  <c:v>82788</c:v>
                </c:pt>
              </c:numCache>
            </c:numRef>
          </c:val>
          <c:extLst>
            <c:ext xmlns:c16="http://schemas.microsoft.com/office/drawing/2014/chart" uri="{C3380CC4-5D6E-409C-BE32-E72D297353CC}">
              <c16:uniqueId val="{00000000-000C-407A-AEB4-15285D5BADD3}"/>
            </c:ext>
          </c:extLst>
        </c:ser>
        <c:ser>
          <c:idx val="1"/>
          <c:order val="1"/>
          <c:tx>
            <c:strRef>
              <c:f>Pivot_Analysis!$C$86</c:f>
              <c:strCache>
                <c:ptCount val="1"/>
                <c:pt idx="0">
                  <c:v>Total Actual Production</c:v>
                </c:pt>
              </c:strCache>
            </c:strRef>
          </c:tx>
          <c:spPr>
            <a:solidFill>
              <a:schemeClr val="accent2"/>
            </a:solidFill>
            <a:ln>
              <a:noFill/>
            </a:ln>
            <a:effectLst/>
          </c:spPr>
          <c:invertIfNegative val="0"/>
          <c:cat>
            <c:strRef>
              <c:f>Pivot_Analysis!$A$87:$A$90</c:f>
              <c:strCache>
                <c:ptCount val="3"/>
                <c:pt idx="0">
                  <c:v>Day</c:v>
                </c:pt>
                <c:pt idx="1">
                  <c:v>Evening</c:v>
                </c:pt>
                <c:pt idx="2">
                  <c:v>Night</c:v>
                </c:pt>
              </c:strCache>
            </c:strRef>
          </c:cat>
          <c:val>
            <c:numRef>
              <c:f>Pivot_Analysis!$C$87:$C$90</c:f>
              <c:numCache>
                <c:formatCode>#,##0</c:formatCode>
                <c:ptCount val="3"/>
                <c:pt idx="0">
                  <c:v>71661</c:v>
                </c:pt>
                <c:pt idx="1">
                  <c:v>72521</c:v>
                </c:pt>
                <c:pt idx="2">
                  <c:v>76878</c:v>
                </c:pt>
              </c:numCache>
            </c:numRef>
          </c:val>
          <c:extLst>
            <c:ext xmlns:c16="http://schemas.microsoft.com/office/drawing/2014/chart" uri="{C3380CC4-5D6E-409C-BE32-E72D297353CC}">
              <c16:uniqueId val="{00000001-000C-407A-AEB4-15285D5BADD3}"/>
            </c:ext>
          </c:extLst>
        </c:ser>
        <c:ser>
          <c:idx val="2"/>
          <c:order val="2"/>
          <c:tx>
            <c:strRef>
              <c:f>Pivot_Analysis!$D$86</c:f>
              <c:strCache>
                <c:ptCount val="1"/>
                <c:pt idx="0">
                  <c:v>Total Defects</c:v>
                </c:pt>
              </c:strCache>
            </c:strRef>
          </c:tx>
          <c:spPr>
            <a:solidFill>
              <a:schemeClr val="accent3"/>
            </a:solidFill>
            <a:ln>
              <a:noFill/>
            </a:ln>
            <a:effectLst/>
          </c:spPr>
          <c:invertIfNegative val="0"/>
          <c:cat>
            <c:strRef>
              <c:f>Pivot_Analysis!$A$87:$A$90</c:f>
              <c:strCache>
                <c:ptCount val="3"/>
                <c:pt idx="0">
                  <c:v>Day</c:v>
                </c:pt>
                <c:pt idx="1">
                  <c:v>Evening</c:v>
                </c:pt>
                <c:pt idx="2">
                  <c:v>Night</c:v>
                </c:pt>
              </c:strCache>
            </c:strRef>
          </c:cat>
          <c:val>
            <c:numRef>
              <c:f>Pivot_Analysis!$D$87:$D$90</c:f>
              <c:numCache>
                <c:formatCode>#,##0</c:formatCode>
                <c:ptCount val="3"/>
                <c:pt idx="0">
                  <c:v>3489</c:v>
                </c:pt>
                <c:pt idx="1">
                  <c:v>3226</c:v>
                </c:pt>
                <c:pt idx="2">
                  <c:v>3827</c:v>
                </c:pt>
              </c:numCache>
            </c:numRef>
          </c:val>
          <c:extLst>
            <c:ext xmlns:c16="http://schemas.microsoft.com/office/drawing/2014/chart" uri="{C3380CC4-5D6E-409C-BE32-E72D297353CC}">
              <c16:uniqueId val="{00000002-000C-407A-AEB4-15285D5BADD3}"/>
            </c:ext>
          </c:extLst>
        </c:ser>
        <c:dLbls>
          <c:showLegendKey val="0"/>
          <c:showVal val="0"/>
          <c:showCatName val="0"/>
          <c:showSerName val="0"/>
          <c:showPercent val="0"/>
          <c:showBubbleSize val="0"/>
        </c:dLbls>
        <c:gapWidth val="219"/>
        <c:overlap val="-27"/>
        <c:axId val="532382584"/>
        <c:axId val="532390680"/>
      </c:barChart>
      <c:catAx>
        <c:axId val="532382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390680"/>
        <c:crosses val="autoZero"/>
        <c:auto val="1"/>
        <c:lblAlgn val="ctr"/>
        <c:lblOffset val="100"/>
        <c:noMultiLvlLbl val="0"/>
      </c:catAx>
      <c:valAx>
        <c:axId val="532390680"/>
        <c:scaling>
          <c:orientation val="minMax"/>
        </c:scaling>
        <c:delete val="1"/>
        <c:axPos val="l"/>
        <c:numFmt formatCode="#,##0" sourceLinked="1"/>
        <c:majorTickMark val="none"/>
        <c:minorTickMark val="none"/>
        <c:tickLblPos val="nextTo"/>
        <c:crossAx val="532382584"/>
        <c:crosses val="autoZero"/>
        <c:crossBetween val="between"/>
      </c:valAx>
      <c:spPr>
        <a:noFill/>
        <a:ln>
          <a:noFill/>
        </a:ln>
        <a:effectLst/>
      </c:spPr>
    </c:plotArea>
    <c:legend>
      <c:legendPos val="r"/>
      <c:layout>
        <c:manualLayout>
          <c:xMode val="edge"/>
          <c:yMode val="edge"/>
          <c:x val="0.60857817329046893"/>
          <c:y val="0.19161362314740599"/>
          <c:w val="0.29089745884037221"/>
          <c:h val="0.664676316658022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[manufacturing_production_analysis.xlsx]Pivot_Analysis!PivotTable1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Pivot_Analysis!$B$3</c:f>
              <c:strCache>
                <c:ptCount val="1"/>
                <c:pt idx="0">
                  <c:v>Total Production_Target</c:v>
                </c:pt>
              </c:strCache>
            </c:strRef>
          </c:tx>
          <c:spPr>
            <a:solidFill>
              <a:schemeClr val="accent1"/>
            </a:solidFill>
            <a:ln>
              <a:noFill/>
            </a:ln>
            <a:effectLst/>
          </c:spPr>
          <c:invertIfNegative val="0"/>
          <c:cat>
            <c:strRef>
              <c:f>Pivot_Analysis!$A$4:$A$10</c:f>
              <c:strCache>
                <c:ptCount val="6"/>
                <c:pt idx="0">
                  <c:v>Assembly</c:v>
                </c:pt>
                <c:pt idx="1">
                  <c:v>Composite</c:v>
                </c:pt>
                <c:pt idx="2">
                  <c:v>Machining</c:v>
                </c:pt>
                <c:pt idx="3">
                  <c:v>Sheet Metal</c:v>
                </c:pt>
                <c:pt idx="4">
                  <c:v>Spares &amp; Repairs</c:v>
                </c:pt>
                <c:pt idx="5">
                  <c:v>Surface Treatment</c:v>
                </c:pt>
              </c:strCache>
            </c:strRef>
          </c:cat>
          <c:val>
            <c:numRef>
              <c:f>Pivot_Analysis!$B$4:$B$10</c:f>
              <c:numCache>
                <c:formatCode>#,##0</c:formatCode>
                <c:ptCount val="6"/>
                <c:pt idx="0">
                  <c:v>54726</c:v>
                </c:pt>
                <c:pt idx="1">
                  <c:v>60199</c:v>
                </c:pt>
                <c:pt idx="2">
                  <c:v>25078</c:v>
                </c:pt>
                <c:pt idx="3">
                  <c:v>32748</c:v>
                </c:pt>
                <c:pt idx="4">
                  <c:v>34951</c:v>
                </c:pt>
                <c:pt idx="5">
                  <c:v>29224</c:v>
                </c:pt>
              </c:numCache>
            </c:numRef>
          </c:val>
          <c:extLst>
            <c:ext xmlns:c16="http://schemas.microsoft.com/office/drawing/2014/chart" uri="{C3380CC4-5D6E-409C-BE32-E72D297353CC}">
              <c16:uniqueId val="{00000000-86DA-485F-A8B7-BFCD88C2D53A}"/>
            </c:ext>
          </c:extLst>
        </c:ser>
        <c:ser>
          <c:idx val="1"/>
          <c:order val="1"/>
          <c:tx>
            <c:strRef>
              <c:f>Pivot_Analysis!$C$3</c:f>
              <c:strCache>
                <c:ptCount val="1"/>
                <c:pt idx="0">
                  <c:v>Total Actual_Production</c:v>
                </c:pt>
              </c:strCache>
            </c:strRef>
          </c:tx>
          <c:spPr>
            <a:solidFill>
              <a:schemeClr val="accent2"/>
            </a:solidFill>
            <a:ln>
              <a:noFill/>
            </a:ln>
            <a:effectLst/>
          </c:spPr>
          <c:invertIfNegative val="0"/>
          <c:cat>
            <c:strRef>
              <c:f>Pivot_Analysis!$A$4:$A$10</c:f>
              <c:strCache>
                <c:ptCount val="6"/>
                <c:pt idx="0">
                  <c:v>Assembly</c:v>
                </c:pt>
                <c:pt idx="1">
                  <c:v>Composite</c:v>
                </c:pt>
                <c:pt idx="2">
                  <c:v>Machining</c:v>
                </c:pt>
                <c:pt idx="3">
                  <c:v>Sheet Metal</c:v>
                </c:pt>
                <c:pt idx="4">
                  <c:v>Spares &amp; Repairs</c:v>
                </c:pt>
                <c:pt idx="5">
                  <c:v>Surface Treatment</c:v>
                </c:pt>
              </c:strCache>
            </c:strRef>
          </c:cat>
          <c:val>
            <c:numRef>
              <c:f>Pivot_Analysis!$C$4:$C$10</c:f>
              <c:numCache>
                <c:formatCode>#,##0</c:formatCode>
                <c:ptCount val="6"/>
                <c:pt idx="0">
                  <c:v>51256</c:v>
                </c:pt>
                <c:pt idx="1">
                  <c:v>56256</c:v>
                </c:pt>
                <c:pt idx="2">
                  <c:v>23091</c:v>
                </c:pt>
                <c:pt idx="3">
                  <c:v>30708</c:v>
                </c:pt>
                <c:pt idx="4">
                  <c:v>32773</c:v>
                </c:pt>
                <c:pt idx="5">
                  <c:v>26976</c:v>
                </c:pt>
              </c:numCache>
            </c:numRef>
          </c:val>
          <c:extLst>
            <c:ext xmlns:c16="http://schemas.microsoft.com/office/drawing/2014/chart" uri="{C3380CC4-5D6E-409C-BE32-E72D297353CC}">
              <c16:uniqueId val="{00000001-86DA-485F-A8B7-BFCD88C2D53A}"/>
            </c:ext>
          </c:extLst>
        </c:ser>
        <c:dLbls>
          <c:showLegendKey val="0"/>
          <c:showVal val="0"/>
          <c:showCatName val="0"/>
          <c:showSerName val="0"/>
          <c:showPercent val="0"/>
          <c:showBubbleSize val="0"/>
        </c:dLbls>
        <c:gapWidth val="219"/>
        <c:overlap val="-27"/>
        <c:axId val="349698160"/>
        <c:axId val="349701680"/>
      </c:barChart>
      <c:catAx>
        <c:axId val="349698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701680"/>
        <c:crosses val="autoZero"/>
        <c:auto val="1"/>
        <c:lblAlgn val="ctr"/>
        <c:lblOffset val="100"/>
        <c:noMultiLvlLbl val="0"/>
      </c:catAx>
      <c:valAx>
        <c:axId val="349701680"/>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349698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[manufacturing_production_analysis.xlsx]Pivot_Analysis!PivotTable2</c:name>
    <c:fmtId val="6"/>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Pivot_Analysis!$B$30</c:f>
              <c:strCache>
                <c:ptCount val="1"/>
                <c:pt idx="0">
                  <c:v>Total Production Target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Pivot_Analysis!$A$31:$A$37</c:f>
              <c:strCache>
                <c:ptCount val="6"/>
                <c:pt idx="0">
                  <c:v>Jan</c:v>
                </c:pt>
                <c:pt idx="1">
                  <c:v>Feb</c:v>
                </c:pt>
                <c:pt idx="2">
                  <c:v>Mar</c:v>
                </c:pt>
                <c:pt idx="3">
                  <c:v>Apr</c:v>
                </c:pt>
                <c:pt idx="4">
                  <c:v>May</c:v>
                </c:pt>
                <c:pt idx="5">
                  <c:v>Jun</c:v>
                </c:pt>
              </c:strCache>
            </c:strRef>
          </c:cat>
          <c:val>
            <c:numRef>
              <c:f>Pivot_Analysis!$B$31:$B$37</c:f>
              <c:numCache>
                <c:formatCode>#,##0</c:formatCode>
                <c:ptCount val="6"/>
                <c:pt idx="0">
                  <c:v>39822</c:v>
                </c:pt>
                <c:pt idx="1">
                  <c:v>34674</c:v>
                </c:pt>
                <c:pt idx="2">
                  <c:v>40453</c:v>
                </c:pt>
                <c:pt idx="3">
                  <c:v>45024</c:v>
                </c:pt>
                <c:pt idx="4">
                  <c:v>37848</c:v>
                </c:pt>
                <c:pt idx="5">
                  <c:v>39105</c:v>
                </c:pt>
              </c:numCache>
            </c:numRef>
          </c:val>
          <c:smooth val="0"/>
          <c:extLst>
            <c:ext xmlns:c16="http://schemas.microsoft.com/office/drawing/2014/chart" uri="{C3380CC4-5D6E-409C-BE32-E72D297353CC}">
              <c16:uniqueId val="{00000000-A3EB-4EF1-ACB1-02C0B3DED60A}"/>
            </c:ext>
          </c:extLst>
        </c:ser>
        <c:ser>
          <c:idx val="1"/>
          <c:order val="1"/>
          <c:tx>
            <c:strRef>
              <c:f>Pivot_Analysis!$C$30</c:f>
              <c:strCache>
                <c:ptCount val="1"/>
                <c:pt idx="0">
                  <c:v>Total Actual Production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Pivot_Analysis!$A$31:$A$37</c:f>
              <c:strCache>
                <c:ptCount val="6"/>
                <c:pt idx="0">
                  <c:v>Jan</c:v>
                </c:pt>
                <c:pt idx="1">
                  <c:v>Feb</c:v>
                </c:pt>
                <c:pt idx="2">
                  <c:v>Mar</c:v>
                </c:pt>
                <c:pt idx="3">
                  <c:v>Apr</c:v>
                </c:pt>
                <c:pt idx="4">
                  <c:v>May</c:v>
                </c:pt>
                <c:pt idx="5">
                  <c:v>Jun</c:v>
                </c:pt>
              </c:strCache>
            </c:strRef>
          </c:cat>
          <c:val>
            <c:numRef>
              <c:f>Pivot_Analysis!$C$31:$C$37</c:f>
              <c:numCache>
                <c:formatCode>#,##0</c:formatCode>
                <c:ptCount val="6"/>
                <c:pt idx="0">
                  <c:v>37533</c:v>
                </c:pt>
                <c:pt idx="1">
                  <c:v>32042</c:v>
                </c:pt>
                <c:pt idx="2">
                  <c:v>37742</c:v>
                </c:pt>
                <c:pt idx="3">
                  <c:v>42130</c:v>
                </c:pt>
                <c:pt idx="4">
                  <c:v>34987</c:v>
                </c:pt>
                <c:pt idx="5">
                  <c:v>36626</c:v>
                </c:pt>
              </c:numCache>
            </c:numRef>
          </c:val>
          <c:smooth val="0"/>
          <c:extLst>
            <c:ext xmlns:c16="http://schemas.microsoft.com/office/drawing/2014/chart" uri="{C3380CC4-5D6E-409C-BE32-E72D297353CC}">
              <c16:uniqueId val="{00000001-A3EB-4EF1-ACB1-02C0B3DED60A}"/>
            </c:ext>
          </c:extLst>
        </c:ser>
        <c:dLbls>
          <c:showLegendKey val="0"/>
          <c:showVal val="0"/>
          <c:showCatName val="0"/>
          <c:showSerName val="0"/>
          <c:showPercent val="0"/>
          <c:showBubbleSize val="0"/>
        </c:dLbls>
        <c:marker val="1"/>
        <c:smooth val="0"/>
        <c:axId val="406394920"/>
        <c:axId val="406395624"/>
      </c:lineChart>
      <c:catAx>
        <c:axId val="406394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395624"/>
        <c:crosses val="autoZero"/>
        <c:auto val="1"/>
        <c:lblAlgn val="ctr"/>
        <c:lblOffset val="100"/>
        <c:noMultiLvlLbl val="0"/>
      </c:catAx>
      <c:valAx>
        <c:axId val="406395624"/>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406394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[manufacturing_production_analysis.xlsx]Pivot_Analysis!PivotTable6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Pivot_Analysis!$B$49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EA0-4F66-A745-D69724C72C7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EA0-4F66-A745-D69724C72C7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EA0-4F66-A745-D69724C72C7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EA0-4F66-A745-D69724C72C7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Pivot_Analysis!$A$50:$A$54</c:f>
              <c:strCache>
                <c:ptCount val="4"/>
                <c:pt idx="0">
                  <c:v>Not Recorded</c:v>
                </c:pt>
                <c:pt idx="1">
                  <c:v>Passed</c:v>
                </c:pt>
                <c:pt idx="2">
                  <c:v>Rejected</c:v>
                </c:pt>
                <c:pt idx="3">
                  <c:v>Rework</c:v>
                </c:pt>
              </c:strCache>
            </c:strRef>
          </c:cat>
          <c:val>
            <c:numRef>
              <c:f>Pivot_Analysis!$B$50:$B$54</c:f>
              <c:numCache>
                <c:formatCode>General</c:formatCode>
                <c:ptCount val="4"/>
                <c:pt idx="0">
                  <c:v>4</c:v>
                </c:pt>
                <c:pt idx="1">
                  <c:v>717</c:v>
                </c:pt>
                <c:pt idx="2">
                  <c:v>243</c:v>
                </c:pt>
                <c:pt idx="3">
                  <c:v>231</c:v>
                </c:pt>
              </c:numCache>
            </c:numRef>
          </c:val>
          <c:extLst>
            <c:ext xmlns:c16="http://schemas.microsoft.com/office/drawing/2014/chart" uri="{C3380CC4-5D6E-409C-BE32-E72D297353CC}">
              <c16:uniqueId val="{00000000-F559-4FCD-8F87-1CF0EBE907C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[manufacturing_production_analysis.xlsx]Pivot_Analysis!PivotTable4</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Pivot_Analysis!$B$66</c:f>
              <c:strCache>
                <c:ptCount val="1"/>
                <c:pt idx="0">
                  <c:v>Total Production Target</c:v>
                </c:pt>
              </c:strCache>
            </c:strRef>
          </c:tx>
          <c:spPr>
            <a:solidFill>
              <a:schemeClr val="accent1"/>
            </a:solidFill>
            <a:ln>
              <a:noFill/>
            </a:ln>
            <a:effectLst/>
          </c:spPr>
          <c:invertIfNegative val="0"/>
          <c:cat>
            <c:strRef>
              <c:f>Pivot_Analysis!$A$67:$A$75</c:f>
              <c:strCache>
                <c:ptCount val="8"/>
                <c:pt idx="0">
                  <c:v>Machined Housing</c:v>
                </c:pt>
                <c:pt idx="1">
                  <c:v>Assembly Kit X</c:v>
                </c:pt>
                <c:pt idx="2">
                  <c:v>Composite Panel A</c:v>
                </c:pt>
                <c:pt idx="3">
                  <c:v>Assembly Kit Y</c:v>
                </c:pt>
                <c:pt idx="4">
                  <c:v>Surface Treatment Part</c:v>
                </c:pt>
                <c:pt idx="5">
                  <c:v>Sheet Metal Bracket</c:v>
                </c:pt>
                <c:pt idx="6">
                  <c:v>Composite Panel B</c:v>
                </c:pt>
                <c:pt idx="7">
                  <c:v>Repair Component</c:v>
                </c:pt>
              </c:strCache>
            </c:strRef>
          </c:cat>
          <c:val>
            <c:numRef>
              <c:f>Pivot_Analysis!$B$67:$B$75</c:f>
              <c:numCache>
                <c:formatCode>#,##0</c:formatCode>
                <c:ptCount val="8"/>
                <c:pt idx="0">
                  <c:v>25078</c:v>
                </c:pt>
                <c:pt idx="1">
                  <c:v>27207</c:v>
                </c:pt>
                <c:pt idx="2">
                  <c:v>26739</c:v>
                </c:pt>
                <c:pt idx="3">
                  <c:v>27519</c:v>
                </c:pt>
                <c:pt idx="4">
                  <c:v>29224</c:v>
                </c:pt>
                <c:pt idx="5">
                  <c:v>32748</c:v>
                </c:pt>
                <c:pt idx="6">
                  <c:v>33460</c:v>
                </c:pt>
                <c:pt idx="7">
                  <c:v>34951</c:v>
                </c:pt>
              </c:numCache>
            </c:numRef>
          </c:val>
          <c:extLst>
            <c:ext xmlns:c16="http://schemas.microsoft.com/office/drawing/2014/chart" uri="{C3380CC4-5D6E-409C-BE32-E72D297353CC}">
              <c16:uniqueId val="{00000000-A6D6-4D6A-8E2A-E8C20670E7C9}"/>
            </c:ext>
          </c:extLst>
        </c:ser>
        <c:ser>
          <c:idx val="1"/>
          <c:order val="1"/>
          <c:tx>
            <c:strRef>
              <c:f>Pivot_Analysis!$C$66</c:f>
              <c:strCache>
                <c:ptCount val="1"/>
                <c:pt idx="0">
                  <c:v>Total Actual Production</c:v>
                </c:pt>
              </c:strCache>
            </c:strRef>
          </c:tx>
          <c:spPr>
            <a:solidFill>
              <a:schemeClr val="accent2"/>
            </a:solidFill>
            <a:ln>
              <a:noFill/>
            </a:ln>
            <a:effectLst/>
          </c:spPr>
          <c:invertIfNegative val="0"/>
          <c:cat>
            <c:strRef>
              <c:f>Pivot_Analysis!$A$67:$A$75</c:f>
              <c:strCache>
                <c:ptCount val="8"/>
                <c:pt idx="0">
                  <c:v>Machined Housing</c:v>
                </c:pt>
                <c:pt idx="1">
                  <c:v>Assembly Kit X</c:v>
                </c:pt>
                <c:pt idx="2">
                  <c:v>Composite Panel A</c:v>
                </c:pt>
                <c:pt idx="3">
                  <c:v>Assembly Kit Y</c:v>
                </c:pt>
                <c:pt idx="4">
                  <c:v>Surface Treatment Part</c:v>
                </c:pt>
                <c:pt idx="5">
                  <c:v>Sheet Metal Bracket</c:v>
                </c:pt>
                <c:pt idx="6">
                  <c:v>Composite Panel B</c:v>
                </c:pt>
                <c:pt idx="7">
                  <c:v>Repair Component</c:v>
                </c:pt>
              </c:strCache>
            </c:strRef>
          </c:cat>
          <c:val>
            <c:numRef>
              <c:f>Pivot_Analysis!$C$67:$C$75</c:f>
              <c:numCache>
                <c:formatCode>#,##0</c:formatCode>
                <c:ptCount val="8"/>
                <c:pt idx="0">
                  <c:v>23091</c:v>
                </c:pt>
                <c:pt idx="1">
                  <c:v>25202</c:v>
                </c:pt>
                <c:pt idx="2">
                  <c:v>25288</c:v>
                </c:pt>
                <c:pt idx="3">
                  <c:v>26054</c:v>
                </c:pt>
                <c:pt idx="4">
                  <c:v>26976</c:v>
                </c:pt>
                <c:pt idx="5">
                  <c:v>30708</c:v>
                </c:pt>
                <c:pt idx="6">
                  <c:v>30968</c:v>
                </c:pt>
                <c:pt idx="7">
                  <c:v>32773</c:v>
                </c:pt>
              </c:numCache>
            </c:numRef>
          </c:val>
          <c:extLst>
            <c:ext xmlns:c16="http://schemas.microsoft.com/office/drawing/2014/chart" uri="{C3380CC4-5D6E-409C-BE32-E72D297353CC}">
              <c16:uniqueId val="{00000001-A6D6-4D6A-8E2A-E8C20670E7C9}"/>
            </c:ext>
          </c:extLst>
        </c:ser>
        <c:ser>
          <c:idx val="2"/>
          <c:order val="2"/>
          <c:tx>
            <c:strRef>
              <c:f>Pivot_Analysis!$D$66</c:f>
              <c:strCache>
                <c:ptCount val="1"/>
                <c:pt idx="0">
                  <c:v>Total Defects</c:v>
                </c:pt>
              </c:strCache>
            </c:strRef>
          </c:tx>
          <c:spPr>
            <a:solidFill>
              <a:schemeClr val="accent3"/>
            </a:solidFill>
            <a:ln>
              <a:noFill/>
            </a:ln>
            <a:effectLst/>
          </c:spPr>
          <c:invertIfNegative val="0"/>
          <c:cat>
            <c:strRef>
              <c:f>Pivot_Analysis!$A$67:$A$75</c:f>
              <c:strCache>
                <c:ptCount val="8"/>
                <c:pt idx="0">
                  <c:v>Machined Housing</c:v>
                </c:pt>
                <c:pt idx="1">
                  <c:v>Assembly Kit X</c:v>
                </c:pt>
                <c:pt idx="2">
                  <c:v>Composite Panel A</c:v>
                </c:pt>
                <c:pt idx="3">
                  <c:v>Assembly Kit Y</c:v>
                </c:pt>
                <c:pt idx="4">
                  <c:v>Surface Treatment Part</c:v>
                </c:pt>
                <c:pt idx="5">
                  <c:v>Sheet Metal Bracket</c:v>
                </c:pt>
                <c:pt idx="6">
                  <c:v>Composite Panel B</c:v>
                </c:pt>
                <c:pt idx="7">
                  <c:v>Repair Component</c:v>
                </c:pt>
              </c:strCache>
            </c:strRef>
          </c:cat>
          <c:val>
            <c:numRef>
              <c:f>Pivot_Analysis!$D$67:$D$75</c:f>
              <c:numCache>
                <c:formatCode>#,##0</c:formatCode>
                <c:ptCount val="8"/>
                <c:pt idx="0">
                  <c:v>1112</c:v>
                </c:pt>
                <c:pt idx="1">
                  <c:v>1077</c:v>
                </c:pt>
                <c:pt idx="2">
                  <c:v>1268</c:v>
                </c:pt>
                <c:pt idx="3">
                  <c:v>1312</c:v>
                </c:pt>
                <c:pt idx="4">
                  <c:v>1218</c:v>
                </c:pt>
                <c:pt idx="5">
                  <c:v>1456</c:v>
                </c:pt>
                <c:pt idx="6">
                  <c:v>1538</c:v>
                </c:pt>
                <c:pt idx="7">
                  <c:v>1561</c:v>
                </c:pt>
              </c:numCache>
            </c:numRef>
          </c:val>
          <c:extLst>
            <c:ext xmlns:c16="http://schemas.microsoft.com/office/drawing/2014/chart" uri="{C3380CC4-5D6E-409C-BE32-E72D297353CC}">
              <c16:uniqueId val="{00000002-A6D6-4D6A-8E2A-E8C20670E7C9}"/>
            </c:ext>
          </c:extLst>
        </c:ser>
        <c:dLbls>
          <c:showLegendKey val="0"/>
          <c:showVal val="0"/>
          <c:showCatName val="0"/>
          <c:showSerName val="0"/>
          <c:showPercent val="0"/>
          <c:showBubbleSize val="0"/>
        </c:dLbls>
        <c:gapWidth val="182"/>
        <c:axId val="472879208"/>
        <c:axId val="472883432"/>
      </c:barChart>
      <c:catAx>
        <c:axId val="472879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883432"/>
        <c:crosses val="autoZero"/>
        <c:auto val="1"/>
        <c:lblAlgn val="ctr"/>
        <c:lblOffset val="100"/>
        <c:noMultiLvlLbl val="0"/>
      </c:catAx>
      <c:valAx>
        <c:axId val="47288343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879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[manufacturing_production_analysis.xlsx]Pivot_Analysis!PivotTable5</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26159230096238"/>
          <c:y val="0.23406969962088073"/>
          <c:w val="0.55335761154855645"/>
          <c:h val="0.65853091280256637"/>
        </c:manualLayout>
      </c:layout>
      <c:barChart>
        <c:barDir val="col"/>
        <c:grouping val="clustered"/>
        <c:varyColors val="0"/>
        <c:ser>
          <c:idx val="0"/>
          <c:order val="0"/>
          <c:tx>
            <c:strRef>
              <c:f>Pivot_Analysis!$B$86</c:f>
              <c:strCache>
                <c:ptCount val="1"/>
                <c:pt idx="0">
                  <c:v>Total Production Target</c:v>
                </c:pt>
              </c:strCache>
            </c:strRef>
          </c:tx>
          <c:spPr>
            <a:solidFill>
              <a:schemeClr val="accent1"/>
            </a:solidFill>
            <a:ln>
              <a:noFill/>
            </a:ln>
            <a:effectLst/>
          </c:spPr>
          <c:invertIfNegative val="0"/>
          <c:cat>
            <c:strRef>
              <c:f>Pivot_Analysis!$A$87:$A$90</c:f>
              <c:strCache>
                <c:ptCount val="3"/>
                <c:pt idx="0">
                  <c:v>Day</c:v>
                </c:pt>
                <c:pt idx="1">
                  <c:v>Evening</c:v>
                </c:pt>
                <c:pt idx="2">
                  <c:v>Night</c:v>
                </c:pt>
              </c:strCache>
            </c:strRef>
          </c:cat>
          <c:val>
            <c:numRef>
              <c:f>Pivot_Analysis!$B$87:$B$90</c:f>
              <c:numCache>
                <c:formatCode>#,##0</c:formatCode>
                <c:ptCount val="3"/>
                <c:pt idx="0">
                  <c:v>76713</c:v>
                </c:pt>
                <c:pt idx="1">
                  <c:v>77425</c:v>
                </c:pt>
                <c:pt idx="2">
                  <c:v>82788</c:v>
                </c:pt>
              </c:numCache>
            </c:numRef>
          </c:val>
          <c:extLst>
            <c:ext xmlns:c16="http://schemas.microsoft.com/office/drawing/2014/chart" uri="{C3380CC4-5D6E-409C-BE32-E72D297353CC}">
              <c16:uniqueId val="{00000000-16E8-4DBA-AABE-94CE334F4CFB}"/>
            </c:ext>
          </c:extLst>
        </c:ser>
        <c:ser>
          <c:idx val="1"/>
          <c:order val="1"/>
          <c:tx>
            <c:strRef>
              <c:f>Pivot_Analysis!$C$86</c:f>
              <c:strCache>
                <c:ptCount val="1"/>
                <c:pt idx="0">
                  <c:v>Total Actual Production</c:v>
                </c:pt>
              </c:strCache>
            </c:strRef>
          </c:tx>
          <c:spPr>
            <a:solidFill>
              <a:schemeClr val="accent2"/>
            </a:solidFill>
            <a:ln>
              <a:noFill/>
            </a:ln>
            <a:effectLst/>
          </c:spPr>
          <c:invertIfNegative val="0"/>
          <c:cat>
            <c:strRef>
              <c:f>Pivot_Analysis!$A$87:$A$90</c:f>
              <c:strCache>
                <c:ptCount val="3"/>
                <c:pt idx="0">
                  <c:v>Day</c:v>
                </c:pt>
                <c:pt idx="1">
                  <c:v>Evening</c:v>
                </c:pt>
                <c:pt idx="2">
                  <c:v>Night</c:v>
                </c:pt>
              </c:strCache>
            </c:strRef>
          </c:cat>
          <c:val>
            <c:numRef>
              <c:f>Pivot_Analysis!$C$87:$C$90</c:f>
              <c:numCache>
                <c:formatCode>#,##0</c:formatCode>
                <c:ptCount val="3"/>
                <c:pt idx="0">
                  <c:v>71661</c:v>
                </c:pt>
                <c:pt idx="1">
                  <c:v>72521</c:v>
                </c:pt>
                <c:pt idx="2">
                  <c:v>76878</c:v>
                </c:pt>
              </c:numCache>
            </c:numRef>
          </c:val>
          <c:extLst>
            <c:ext xmlns:c16="http://schemas.microsoft.com/office/drawing/2014/chart" uri="{C3380CC4-5D6E-409C-BE32-E72D297353CC}">
              <c16:uniqueId val="{00000001-16E8-4DBA-AABE-94CE334F4CFB}"/>
            </c:ext>
          </c:extLst>
        </c:ser>
        <c:ser>
          <c:idx val="2"/>
          <c:order val="2"/>
          <c:tx>
            <c:strRef>
              <c:f>Pivot_Analysis!$D$86</c:f>
              <c:strCache>
                <c:ptCount val="1"/>
                <c:pt idx="0">
                  <c:v>Total Defects</c:v>
                </c:pt>
              </c:strCache>
            </c:strRef>
          </c:tx>
          <c:spPr>
            <a:solidFill>
              <a:schemeClr val="accent3"/>
            </a:solidFill>
            <a:ln>
              <a:noFill/>
            </a:ln>
            <a:effectLst/>
          </c:spPr>
          <c:invertIfNegative val="0"/>
          <c:cat>
            <c:strRef>
              <c:f>Pivot_Analysis!$A$87:$A$90</c:f>
              <c:strCache>
                <c:ptCount val="3"/>
                <c:pt idx="0">
                  <c:v>Day</c:v>
                </c:pt>
                <c:pt idx="1">
                  <c:v>Evening</c:v>
                </c:pt>
                <c:pt idx="2">
                  <c:v>Night</c:v>
                </c:pt>
              </c:strCache>
            </c:strRef>
          </c:cat>
          <c:val>
            <c:numRef>
              <c:f>Pivot_Analysis!$D$87:$D$90</c:f>
              <c:numCache>
                <c:formatCode>#,##0</c:formatCode>
                <c:ptCount val="3"/>
                <c:pt idx="0">
                  <c:v>3489</c:v>
                </c:pt>
                <c:pt idx="1">
                  <c:v>3226</c:v>
                </c:pt>
                <c:pt idx="2">
                  <c:v>3827</c:v>
                </c:pt>
              </c:numCache>
            </c:numRef>
          </c:val>
          <c:extLst>
            <c:ext xmlns:c16="http://schemas.microsoft.com/office/drawing/2014/chart" uri="{C3380CC4-5D6E-409C-BE32-E72D297353CC}">
              <c16:uniqueId val="{00000002-16E8-4DBA-AABE-94CE334F4CFB}"/>
            </c:ext>
          </c:extLst>
        </c:ser>
        <c:dLbls>
          <c:showLegendKey val="0"/>
          <c:showVal val="0"/>
          <c:showCatName val="0"/>
          <c:showSerName val="0"/>
          <c:showPercent val="0"/>
          <c:showBubbleSize val="0"/>
        </c:dLbls>
        <c:gapWidth val="219"/>
        <c:overlap val="-27"/>
        <c:axId val="532382584"/>
        <c:axId val="532390680"/>
      </c:barChart>
      <c:catAx>
        <c:axId val="532382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390680"/>
        <c:crosses val="autoZero"/>
        <c:auto val="1"/>
        <c:lblAlgn val="ctr"/>
        <c:lblOffset val="100"/>
        <c:noMultiLvlLbl val="0"/>
      </c:catAx>
      <c:valAx>
        <c:axId val="532390680"/>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532382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18" Type="http://schemas.openxmlformats.org/officeDocument/2006/relationships/image" Target="../media/image13.png"/><Relationship Id="rId3" Type="http://schemas.openxmlformats.org/officeDocument/2006/relationships/image" Target="../media/image3.png"/><Relationship Id="rId21" Type="http://schemas.openxmlformats.org/officeDocument/2006/relationships/image" Target="../media/image16.svg"/><Relationship Id="rId7" Type="http://schemas.openxmlformats.org/officeDocument/2006/relationships/image" Target="../media/image7.png"/><Relationship Id="rId12" Type="http://schemas.openxmlformats.org/officeDocument/2006/relationships/chart" Target="../charts/chart2.xml"/><Relationship Id="rId17" Type="http://schemas.openxmlformats.org/officeDocument/2006/relationships/image" Target="../media/image12.svg"/><Relationship Id="rId2" Type="http://schemas.openxmlformats.org/officeDocument/2006/relationships/image" Target="../media/image2.svg"/><Relationship Id="rId16" Type="http://schemas.openxmlformats.org/officeDocument/2006/relationships/image" Target="../media/image11.png"/><Relationship Id="rId20" Type="http://schemas.openxmlformats.org/officeDocument/2006/relationships/image" Target="../media/image15.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23" Type="http://schemas.openxmlformats.org/officeDocument/2006/relationships/image" Target="../media/image18.svg"/><Relationship Id="rId10" Type="http://schemas.openxmlformats.org/officeDocument/2006/relationships/image" Target="../media/image10.svg"/><Relationship Id="rId19" Type="http://schemas.openxmlformats.org/officeDocument/2006/relationships/image" Target="../media/image14.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 Id="rId22" Type="http://schemas.openxmlformats.org/officeDocument/2006/relationships/image" Target="../media/image17.png"/></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1</xdr:col>
      <xdr:colOff>238123</xdr:colOff>
      <xdr:row>4</xdr:row>
      <xdr:rowOff>161924</xdr:rowOff>
    </xdr:from>
    <xdr:to>
      <xdr:col>1</xdr:col>
      <xdr:colOff>609572</xdr:colOff>
      <xdr:row>6</xdr:row>
      <xdr:rowOff>70484</xdr:rowOff>
    </xdr:to>
    <xdr:pic>
      <xdr:nvPicPr>
        <xdr:cNvPr id="3" name="Graphic 2" descr="Bullseye with solid fill">
          <a:extLst>
            <a:ext uri="{FF2B5EF4-FFF2-40B4-BE49-F238E27FC236}">
              <a16:creationId xmlns:a16="http://schemas.microsoft.com/office/drawing/2014/main" id="{548EE261-B8C2-0D8E-7915-4F6043DF86F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19273" y="914399"/>
          <a:ext cx="371449" cy="365760"/>
        </a:xfrm>
        <a:prstGeom prst="rect">
          <a:avLst/>
        </a:prstGeom>
      </xdr:spPr>
    </xdr:pic>
    <xdr:clientData/>
  </xdr:twoCellAnchor>
  <xdr:twoCellAnchor editAs="oneCell">
    <xdr:from>
      <xdr:col>4</xdr:col>
      <xdr:colOff>150203</xdr:colOff>
      <xdr:row>4</xdr:row>
      <xdr:rowOff>161924</xdr:rowOff>
    </xdr:from>
    <xdr:to>
      <xdr:col>4</xdr:col>
      <xdr:colOff>515963</xdr:colOff>
      <xdr:row>6</xdr:row>
      <xdr:rowOff>70484</xdr:rowOff>
    </xdr:to>
    <xdr:pic>
      <xdr:nvPicPr>
        <xdr:cNvPr id="5" name="Graphic 4" descr="Research with solid fill">
          <a:extLst>
            <a:ext uri="{FF2B5EF4-FFF2-40B4-BE49-F238E27FC236}">
              <a16:creationId xmlns:a16="http://schemas.microsoft.com/office/drawing/2014/main" id="{1A91CDB9-8C59-14CC-B590-4A9B7603660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674453" y="914399"/>
          <a:ext cx="365760" cy="365760"/>
        </a:xfrm>
        <a:prstGeom prst="rect">
          <a:avLst/>
        </a:prstGeom>
      </xdr:spPr>
    </xdr:pic>
    <xdr:clientData/>
  </xdr:twoCellAnchor>
  <xdr:twoCellAnchor editAs="oneCell">
    <xdr:from>
      <xdr:col>7</xdr:col>
      <xdr:colOff>200025</xdr:colOff>
      <xdr:row>4</xdr:row>
      <xdr:rowOff>161924</xdr:rowOff>
    </xdr:from>
    <xdr:to>
      <xdr:col>7</xdr:col>
      <xdr:colOff>563635</xdr:colOff>
      <xdr:row>6</xdr:row>
      <xdr:rowOff>70484</xdr:rowOff>
    </xdr:to>
    <xdr:pic>
      <xdr:nvPicPr>
        <xdr:cNvPr id="7" name="Graphic 6" descr="Upward trend with solid fill">
          <a:extLst>
            <a:ext uri="{FF2B5EF4-FFF2-40B4-BE49-F238E27FC236}">
              <a16:creationId xmlns:a16="http://schemas.microsoft.com/office/drawing/2014/main" id="{B97E7E60-CFBB-ABE2-F2D1-18016765F3B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667375" y="914399"/>
          <a:ext cx="363610" cy="365760"/>
        </a:xfrm>
        <a:prstGeom prst="rect">
          <a:avLst/>
        </a:prstGeom>
      </xdr:spPr>
    </xdr:pic>
    <xdr:clientData/>
  </xdr:twoCellAnchor>
  <xdr:twoCellAnchor editAs="oneCell">
    <xdr:from>
      <xdr:col>10</xdr:col>
      <xdr:colOff>342901</xdr:colOff>
      <xdr:row>4</xdr:row>
      <xdr:rowOff>161924</xdr:rowOff>
    </xdr:from>
    <xdr:to>
      <xdr:col>11</xdr:col>
      <xdr:colOff>60961</xdr:colOff>
      <xdr:row>6</xdr:row>
      <xdr:rowOff>70484</xdr:rowOff>
    </xdr:to>
    <xdr:pic>
      <xdr:nvPicPr>
        <xdr:cNvPr id="9" name="Graphic 8" descr="Hourglass Finished with solid fill">
          <a:extLst>
            <a:ext uri="{FF2B5EF4-FFF2-40B4-BE49-F238E27FC236}">
              <a16:creationId xmlns:a16="http://schemas.microsoft.com/office/drawing/2014/main" id="{E3B7C21B-63ED-455F-E27F-C20D3E6E878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753351" y="914399"/>
          <a:ext cx="365760" cy="365760"/>
        </a:xfrm>
        <a:prstGeom prst="rect">
          <a:avLst/>
        </a:prstGeom>
      </xdr:spPr>
    </xdr:pic>
    <xdr:clientData/>
  </xdr:twoCellAnchor>
  <xdr:twoCellAnchor editAs="oneCell">
    <xdr:from>
      <xdr:col>13</xdr:col>
      <xdr:colOff>231532</xdr:colOff>
      <xdr:row>4</xdr:row>
      <xdr:rowOff>161924</xdr:rowOff>
    </xdr:from>
    <xdr:to>
      <xdr:col>13</xdr:col>
      <xdr:colOff>597292</xdr:colOff>
      <xdr:row>6</xdr:row>
      <xdr:rowOff>70484</xdr:rowOff>
    </xdr:to>
    <xdr:pic>
      <xdr:nvPicPr>
        <xdr:cNvPr id="11" name="Graphic 10" descr="Books with solid fill">
          <a:extLst>
            <a:ext uri="{FF2B5EF4-FFF2-40B4-BE49-F238E27FC236}">
              <a16:creationId xmlns:a16="http://schemas.microsoft.com/office/drawing/2014/main" id="{FCB246B3-C874-F213-D74E-07ED48DD747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670932" y="914399"/>
          <a:ext cx="365760" cy="365760"/>
        </a:xfrm>
        <a:prstGeom prst="rect">
          <a:avLst/>
        </a:prstGeom>
      </xdr:spPr>
    </xdr:pic>
    <xdr:clientData/>
  </xdr:twoCellAnchor>
  <xdr:twoCellAnchor>
    <xdr:from>
      <xdr:col>1</xdr:col>
      <xdr:colOff>0</xdr:colOff>
      <xdr:row>10</xdr:row>
      <xdr:rowOff>2</xdr:rowOff>
    </xdr:from>
    <xdr:to>
      <xdr:col>6</xdr:col>
      <xdr:colOff>57150</xdr:colOff>
      <xdr:row>19</xdr:row>
      <xdr:rowOff>0</xdr:rowOff>
    </xdr:to>
    <xdr:graphicFrame macro="">
      <xdr:nvGraphicFramePr>
        <xdr:cNvPr id="12" name="Chart 11">
          <a:extLst>
            <a:ext uri="{FF2B5EF4-FFF2-40B4-BE49-F238E27FC236}">
              <a16:creationId xmlns:a16="http://schemas.microsoft.com/office/drawing/2014/main" id="{803D80E0-AD57-4938-BF75-B6EA5B8632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209550</xdr:colOff>
      <xdr:row>9</xdr:row>
      <xdr:rowOff>80595</xdr:rowOff>
    </xdr:from>
    <xdr:to>
      <xdr:col>11</xdr:col>
      <xdr:colOff>257175</xdr:colOff>
      <xdr:row>18</xdr:row>
      <xdr:rowOff>121627</xdr:rowOff>
    </xdr:to>
    <xdr:graphicFrame macro="">
      <xdr:nvGraphicFramePr>
        <xdr:cNvPr id="14" name="Chart 13">
          <a:extLst>
            <a:ext uri="{FF2B5EF4-FFF2-40B4-BE49-F238E27FC236}">
              <a16:creationId xmlns:a16="http://schemas.microsoft.com/office/drawing/2014/main" id="{DA02555F-C9B4-4F31-8D73-9817D5EFCD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19050</xdr:colOff>
      <xdr:row>21</xdr:row>
      <xdr:rowOff>104774</xdr:rowOff>
    </xdr:from>
    <xdr:to>
      <xdr:col>6</xdr:col>
      <xdr:colOff>57150</xdr:colOff>
      <xdr:row>31</xdr:row>
      <xdr:rowOff>142875</xdr:rowOff>
    </xdr:to>
    <xdr:graphicFrame macro="">
      <xdr:nvGraphicFramePr>
        <xdr:cNvPr id="15" name="Chart 14">
          <a:extLst>
            <a:ext uri="{FF2B5EF4-FFF2-40B4-BE49-F238E27FC236}">
              <a16:creationId xmlns:a16="http://schemas.microsoft.com/office/drawing/2014/main" id="{42F4F6D9-44FA-4AFF-B164-B1EE24EA90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228600</xdr:colOff>
      <xdr:row>21</xdr:row>
      <xdr:rowOff>76201</xdr:rowOff>
    </xdr:from>
    <xdr:to>
      <xdr:col>11</xdr:col>
      <xdr:colOff>247650</xdr:colOff>
      <xdr:row>31</xdr:row>
      <xdr:rowOff>123825</xdr:rowOff>
    </xdr:to>
    <xdr:graphicFrame macro="">
      <xdr:nvGraphicFramePr>
        <xdr:cNvPr id="16" name="Chart 15">
          <a:extLst>
            <a:ext uri="{FF2B5EF4-FFF2-40B4-BE49-F238E27FC236}">
              <a16:creationId xmlns:a16="http://schemas.microsoft.com/office/drawing/2014/main" id="{51F273C8-AEE8-428F-A066-1E092F1CC3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419100</xdr:colOff>
      <xdr:row>10</xdr:row>
      <xdr:rowOff>9525</xdr:rowOff>
    </xdr:from>
    <xdr:to>
      <xdr:col>16</xdr:col>
      <xdr:colOff>9525</xdr:colOff>
      <xdr:row>18</xdr:row>
      <xdr:rowOff>76200</xdr:rowOff>
    </xdr:to>
    <xdr:graphicFrame macro="">
      <xdr:nvGraphicFramePr>
        <xdr:cNvPr id="17" name="Chart 16">
          <a:extLst>
            <a:ext uri="{FF2B5EF4-FFF2-40B4-BE49-F238E27FC236}">
              <a16:creationId xmlns:a16="http://schemas.microsoft.com/office/drawing/2014/main" id="{45394C49-A713-42F0-A76C-4975AC1BFF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11112</xdr:colOff>
      <xdr:row>3</xdr:row>
      <xdr:rowOff>1</xdr:rowOff>
    </xdr:from>
    <xdr:to>
      <xdr:col>0</xdr:col>
      <xdr:colOff>1474152</xdr:colOff>
      <xdr:row>13</xdr:row>
      <xdr:rowOff>104776</xdr:rowOff>
    </xdr:to>
    <mc:AlternateContent xmlns:mc="http://schemas.openxmlformats.org/markup-compatibility/2006" xmlns:a14="http://schemas.microsoft.com/office/drawing/2010/main">
      <mc:Choice Requires="a14">
        <xdr:graphicFrame macro="">
          <xdr:nvGraphicFramePr>
            <xdr:cNvPr id="18" name="Department">
              <a:extLst>
                <a:ext uri="{FF2B5EF4-FFF2-40B4-BE49-F238E27FC236}">
                  <a16:creationId xmlns:a16="http://schemas.microsoft.com/office/drawing/2014/main" id="{5122E0E0-3BB8-464E-A1F8-56A93D93A50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1112" y="561976"/>
              <a:ext cx="1463040" cy="1981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11112</xdr:colOff>
      <xdr:row>15</xdr:row>
      <xdr:rowOff>19051</xdr:rowOff>
    </xdr:from>
    <xdr:to>
      <xdr:col>0</xdr:col>
      <xdr:colOff>1474152</xdr:colOff>
      <xdr:row>22</xdr:row>
      <xdr:rowOff>190501</xdr:rowOff>
    </xdr:to>
    <mc:AlternateContent xmlns:mc="http://schemas.openxmlformats.org/markup-compatibility/2006" xmlns:a14="http://schemas.microsoft.com/office/drawing/2010/main">
      <mc:Choice Requires="a14">
        <xdr:graphicFrame macro="">
          <xdr:nvGraphicFramePr>
            <xdr:cNvPr id="2" name="Shift">
              <a:extLst>
                <a:ext uri="{FF2B5EF4-FFF2-40B4-BE49-F238E27FC236}">
                  <a16:creationId xmlns:a16="http://schemas.microsoft.com/office/drawing/2014/main" id="{C90C00B8-6EAB-43B9-BA95-C505396A0BDA}"/>
                </a:ext>
              </a:extLst>
            </xdr:cNvPr>
            <xdr:cNvGraphicFramePr/>
          </xdr:nvGraphicFramePr>
          <xdr:xfrm>
            <a:off x="0" y="0"/>
            <a:ext cx="0" cy="0"/>
          </xdr:xfrm>
          <a:graphic>
            <a:graphicData uri="http://schemas.microsoft.com/office/drawing/2010/slicer">
              <sle:slicer xmlns:sle="http://schemas.microsoft.com/office/drawing/2010/slicer" name="Shift"/>
            </a:graphicData>
          </a:graphic>
        </xdr:graphicFrame>
      </mc:Choice>
      <mc:Fallback xmlns="">
        <xdr:sp macro="" textlink="">
          <xdr:nvSpPr>
            <xdr:cNvPr id="0" name=""/>
            <xdr:cNvSpPr>
              <a:spLocks noTextEdit="1"/>
            </xdr:cNvSpPr>
          </xdr:nvSpPr>
          <xdr:spPr>
            <a:xfrm>
              <a:off x="11112" y="2838451"/>
              <a:ext cx="1463040" cy="1276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11112</xdr:colOff>
      <xdr:row>23</xdr:row>
      <xdr:rowOff>184151</xdr:rowOff>
    </xdr:from>
    <xdr:to>
      <xdr:col>0</xdr:col>
      <xdr:colOff>1474152</xdr:colOff>
      <xdr:row>31</xdr:row>
      <xdr:rowOff>133351</xdr:rowOff>
    </xdr:to>
    <mc:AlternateContent xmlns:mc="http://schemas.openxmlformats.org/markup-compatibility/2006" xmlns:a14="http://schemas.microsoft.com/office/drawing/2010/main">
      <mc:Choice Requires="a14">
        <xdr:graphicFrame macro="">
          <xdr:nvGraphicFramePr>
            <xdr:cNvPr id="4" name="Quality_Status">
              <a:extLst>
                <a:ext uri="{FF2B5EF4-FFF2-40B4-BE49-F238E27FC236}">
                  <a16:creationId xmlns:a16="http://schemas.microsoft.com/office/drawing/2014/main" id="{C54DBB85-E703-4CA2-8D66-FC336E69BAE2}"/>
                </a:ext>
              </a:extLst>
            </xdr:cNvPr>
            <xdr:cNvGraphicFramePr/>
          </xdr:nvGraphicFramePr>
          <xdr:xfrm>
            <a:off x="0" y="0"/>
            <a:ext cx="0" cy="0"/>
          </xdr:xfrm>
          <a:graphic>
            <a:graphicData uri="http://schemas.microsoft.com/office/drawing/2010/slicer">
              <sle:slicer xmlns:sle="http://schemas.microsoft.com/office/drawing/2010/slicer" name="Quality_Status"/>
            </a:graphicData>
          </a:graphic>
        </xdr:graphicFrame>
      </mc:Choice>
      <mc:Fallback xmlns="">
        <xdr:sp macro="" textlink="">
          <xdr:nvSpPr>
            <xdr:cNvPr id="0" name=""/>
            <xdr:cNvSpPr>
              <a:spLocks noTextEdit="1"/>
            </xdr:cNvSpPr>
          </xdr:nvSpPr>
          <xdr:spPr>
            <a:xfrm>
              <a:off x="11112" y="4375151"/>
              <a:ext cx="1463040" cy="1473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419100</xdr:colOff>
      <xdr:row>24</xdr:row>
      <xdr:rowOff>9525</xdr:rowOff>
    </xdr:from>
    <xdr:to>
      <xdr:col>12</xdr:col>
      <xdr:colOff>19050</xdr:colOff>
      <xdr:row>25</xdr:row>
      <xdr:rowOff>66675</xdr:rowOff>
    </xdr:to>
    <xdr:pic>
      <xdr:nvPicPr>
        <xdr:cNvPr id="8" name="Graphic 7" descr="Trophy with solid fill">
          <a:extLst>
            <a:ext uri="{FF2B5EF4-FFF2-40B4-BE49-F238E27FC236}">
              <a16:creationId xmlns:a16="http://schemas.microsoft.com/office/drawing/2014/main" id="{31C756CA-96B2-561A-E969-FD35CA8AC34E}"/>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9144000" y="4391025"/>
          <a:ext cx="247650" cy="247650"/>
        </a:xfrm>
        <a:prstGeom prst="rect">
          <a:avLst/>
        </a:prstGeom>
      </xdr:spPr>
    </xdr:pic>
    <xdr:clientData/>
  </xdr:twoCellAnchor>
  <xdr:twoCellAnchor editAs="oneCell">
    <xdr:from>
      <xdr:col>11</xdr:col>
      <xdr:colOff>428625</xdr:colOff>
      <xdr:row>26</xdr:row>
      <xdr:rowOff>0</xdr:rowOff>
    </xdr:from>
    <xdr:to>
      <xdr:col>12</xdr:col>
      <xdr:colOff>19050</xdr:colOff>
      <xdr:row>27</xdr:row>
      <xdr:rowOff>47625</xdr:rowOff>
    </xdr:to>
    <xdr:pic>
      <xdr:nvPicPr>
        <xdr:cNvPr id="13" name="Graphic 12" descr="Warning with solid fill">
          <a:extLst>
            <a:ext uri="{FF2B5EF4-FFF2-40B4-BE49-F238E27FC236}">
              <a16:creationId xmlns:a16="http://schemas.microsoft.com/office/drawing/2014/main" id="{D846BDF7-1DD1-C9F4-586C-CF9300099C57}"/>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9153525" y="4762500"/>
          <a:ext cx="238125" cy="238125"/>
        </a:xfrm>
        <a:prstGeom prst="rect">
          <a:avLst/>
        </a:prstGeom>
      </xdr:spPr>
    </xdr:pic>
    <xdr:clientData/>
  </xdr:twoCellAnchor>
  <xdr:twoCellAnchor editAs="oneCell">
    <xdr:from>
      <xdr:col>11</xdr:col>
      <xdr:colOff>409576</xdr:colOff>
      <xdr:row>27</xdr:row>
      <xdr:rowOff>161925</xdr:rowOff>
    </xdr:from>
    <xdr:to>
      <xdr:col>12</xdr:col>
      <xdr:colOff>57152</xdr:colOff>
      <xdr:row>29</xdr:row>
      <xdr:rowOff>76201</xdr:rowOff>
    </xdr:to>
    <xdr:pic>
      <xdr:nvPicPr>
        <xdr:cNvPr id="20" name="Graphic 19" descr="Stopwatch with solid fill">
          <a:extLst>
            <a:ext uri="{FF2B5EF4-FFF2-40B4-BE49-F238E27FC236}">
              <a16:creationId xmlns:a16="http://schemas.microsoft.com/office/drawing/2014/main" id="{ED568A62-979C-6A3E-91DC-96CF798F5FC0}"/>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9134476" y="5114925"/>
          <a:ext cx="295276" cy="295276"/>
        </a:xfrm>
        <a:prstGeom prst="rect">
          <a:avLst/>
        </a:prstGeom>
      </xdr:spPr>
    </xdr:pic>
    <xdr:clientData/>
  </xdr:twoCellAnchor>
  <xdr:twoCellAnchor editAs="oneCell">
    <xdr:from>
      <xdr:col>11</xdr:col>
      <xdr:colOff>466725</xdr:colOff>
      <xdr:row>30</xdr:row>
      <xdr:rowOff>38100</xdr:rowOff>
    </xdr:from>
    <xdr:to>
      <xdr:col>12</xdr:col>
      <xdr:colOff>9525</xdr:colOff>
      <xdr:row>31</xdr:row>
      <xdr:rowOff>38100</xdr:rowOff>
    </xdr:to>
    <xdr:pic>
      <xdr:nvPicPr>
        <xdr:cNvPr id="22" name="Graphic 21" descr="Checkmark with solid fill">
          <a:extLst>
            <a:ext uri="{FF2B5EF4-FFF2-40B4-BE49-F238E27FC236}">
              <a16:creationId xmlns:a16="http://schemas.microsoft.com/office/drawing/2014/main" id="{7FAA91DA-55F2-334C-20E6-1549EA4D632D}"/>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9191625" y="5562600"/>
          <a:ext cx="190500" cy="190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587375</xdr:colOff>
      <xdr:row>3</xdr:row>
      <xdr:rowOff>171449</xdr:rowOff>
    </xdr:from>
    <xdr:to>
      <xdr:col>12</xdr:col>
      <xdr:colOff>79375</xdr:colOff>
      <xdr:row>18</xdr:row>
      <xdr:rowOff>114300</xdr:rowOff>
    </xdr:to>
    <xdr:graphicFrame macro="">
      <xdr:nvGraphicFramePr>
        <xdr:cNvPr id="2" name="Chart 1">
          <a:extLst>
            <a:ext uri="{FF2B5EF4-FFF2-40B4-BE49-F238E27FC236}">
              <a16:creationId xmlns:a16="http://schemas.microsoft.com/office/drawing/2014/main" id="{416B70B7-E888-CD13-81B3-43368A449B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555625</xdr:colOff>
      <xdr:row>20</xdr:row>
      <xdr:rowOff>7937</xdr:rowOff>
    </xdr:from>
    <xdr:to>
      <xdr:col>13</xdr:col>
      <xdr:colOff>250825</xdr:colOff>
      <xdr:row>33</xdr:row>
      <xdr:rowOff>131762</xdr:rowOff>
    </xdr:to>
    <xdr:graphicFrame macro="">
      <xdr:nvGraphicFramePr>
        <xdr:cNvPr id="4" name="Chart 3">
          <a:extLst>
            <a:ext uri="{FF2B5EF4-FFF2-40B4-BE49-F238E27FC236}">
              <a16:creationId xmlns:a16="http://schemas.microsoft.com/office/drawing/2014/main" id="{0D6C4A39-D891-4C4A-7FC6-C608A41A43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592666</xdr:colOff>
      <xdr:row>46</xdr:row>
      <xdr:rowOff>141817</xdr:rowOff>
    </xdr:from>
    <xdr:to>
      <xdr:col>12</xdr:col>
      <xdr:colOff>365124</xdr:colOff>
      <xdr:row>59</xdr:row>
      <xdr:rowOff>52917</xdr:rowOff>
    </xdr:to>
    <xdr:graphicFrame macro="">
      <xdr:nvGraphicFramePr>
        <xdr:cNvPr id="9" name="Chart 8">
          <a:extLst>
            <a:ext uri="{FF2B5EF4-FFF2-40B4-BE49-F238E27FC236}">
              <a16:creationId xmlns:a16="http://schemas.microsoft.com/office/drawing/2014/main" id="{BA74787E-63E1-03A8-FD41-A9FAF371D1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608541</xdr:colOff>
      <xdr:row>64</xdr:row>
      <xdr:rowOff>14816</xdr:rowOff>
    </xdr:from>
    <xdr:to>
      <xdr:col>13</xdr:col>
      <xdr:colOff>269874</xdr:colOff>
      <xdr:row>78</xdr:row>
      <xdr:rowOff>91016</xdr:rowOff>
    </xdr:to>
    <xdr:graphicFrame macro="">
      <xdr:nvGraphicFramePr>
        <xdr:cNvPr id="10" name="Chart 9">
          <a:extLst>
            <a:ext uri="{FF2B5EF4-FFF2-40B4-BE49-F238E27FC236}">
              <a16:creationId xmlns:a16="http://schemas.microsoft.com/office/drawing/2014/main" id="{EFFB71D9-AD58-5ED8-0AF1-A416D7E6C1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15875</xdr:colOff>
      <xdr:row>83</xdr:row>
      <xdr:rowOff>162983</xdr:rowOff>
    </xdr:from>
    <xdr:to>
      <xdr:col>13</xdr:col>
      <xdr:colOff>63500</xdr:colOff>
      <xdr:row>95</xdr:row>
      <xdr:rowOff>148167</xdr:rowOff>
    </xdr:to>
    <xdr:graphicFrame macro="">
      <xdr:nvGraphicFramePr>
        <xdr:cNvPr id="11" name="Chart 10">
          <a:extLst>
            <a:ext uri="{FF2B5EF4-FFF2-40B4-BE49-F238E27FC236}">
              <a16:creationId xmlns:a16="http://schemas.microsoft.com/office/drawing/2014/main" id="{6F585836-A32E-21DB-014A-BB56B132D8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57.429023842589" createdVersion="8" refreshedVersion="8" minRefreshableVersion="3" recordCount="1195" xr:uid="{7F37432B-2B5F-4F34-9A9F-1465B0E048DF}">
  <cacheSource type="worksheet">
    <worksheetSource name="tblProduction"/>
  </cacheSource>
  <cacheFields count="21">
    <cacheField name="Production_ID" numFmtId="0">
      <sharedItems/>
    </cacheField>
    <cacheField name="Production_Date" numFmtId="165">
      <sharedItems containsSemiMixedTypes="0" containsNonDate="0" containsDate="1" containsString="0" minDate="2026-01-01T00:00:00" maxDate="2026-06-30T00:00:00" count="179">
        <d v="2026-06-13T00:00:00"/>
        <d v="2026-01-07T00:00:00"/>
        <d v="2026-01-24T00:00:00"/>
        <d v="2026-02-19T00:00:00"/>
        <d v="2026-06-05T00:00:00"/>
        <d v="2026-02-24T00:00:00"/>
        <d v="2026-02-05T00:00:00"/>
        <d v="2026-06-24T00:00:00"/>
        <d v="2026-01-21T00:00:00"/>
        <d v="2026-03-21T00:00:00"/>
        <d v="2026-03-26T00:00:00"/>
        <d v="2026-04-01T00:00:00"/>
        <d v="2026-02-16T00:00:00"/>
        <d v="2026-05-19T00:00:00"/>
        <d v="2026-03-05T00:00:00"/>
        <d v="2026-01-03T00:00:00"/>
        <d v="2026-01-14T00:00:00"/>
        <d v="2026-05-20T00:00:00"/>
        <d v="2026-06-08T00:00:00"/>
        <d v="2026-02-26T00:00:00"/>
        <d v="2026-03-08T00:00:00"/>
        <d v="2026-01-01T00:00:00"/>
        <d v="2026-05-22T00:00:00"/>
        <d v="2026-06-17T00:00:00"/>
        <d v="2026-02-27T00:00:00"/>
        <d v="2026-01-28T00:00:00"/>
        <d v="2026-04-20T00:00:00"/>
        <d v="2026-03-11T00:00:00"/>
        <d v="2026-04-10T00:00:00"/>
        <d v="2026-05-05T00:00:00"/>
        <d v="2026-04-29T00:00:00"/>
        <d v="2026-03-31T00:00:00"/>
        <d v="2026-06-29T00:00:00"/>
        <d v="2026-06-01T00:00:00"/>
        <d v="2026-01-04T00:00:00"/>
        <d v="2026-03-10T00:00:00"/>
        <d v="2026-04-25T00:00:00"/>
        <d v="2026-03-01T00:00:00"/>
        <d v="2026-02-28T00:00:00"/>
        <d v="2026-04-23T00:00:00"/>
        <d v="2026-04-17T00:00:00"/>
        <d v="2026-03-03T00:00:00"/>
        <d v="2026-06-19T00:00:00"/>
        <d v="2026-05-13T00:00:00"/>
        <d v="2026-06-09T00:00:00"/>
        <d v="2026-02-18T00:00:00"/>
        <d v="2026-05-07T00:00:00"/>
        <d v="2026-05-16T00:00:00"/>
        <d v="2026-04-30T00:00:00"/>
        <d v="2026-03-02T00:00:00"/>
        <d v="2026-06-12T00:00:00"/>
        <d v="2026-04-05T00:00:00"/>
        <d v="2026-06-16T00:00:00"/>
        <d v="2026-01-16T00:00:00"/>
        <d v="2026-01-18T00:00:00"/>
        <d v="2026-02-03T00:00:00"/>
        <d v="2026-04-26T00:00:00"/>
        <d v="2026-01-08T00:00:00"/>
        <d v="2026-04-07T00:00:00"/>
        <d v="2026-02-22T00:00:00"/>
        <d v="2026-04-22T00:00:00"/>
        <d v="2026-01-23T00:00:00"/>
        <d v="2026-03-24T00:00:00"/>
        <d v="2026-06-15T00:00:00"/>
        <d v="2026-01-27T00:00:00"/>
        <d v="2026-06-02T00:00:00"/>
        <d v="2026-04-06T00:00:00"/>
        <d v="2026-05-01T00:00:00"/>
        <d v="2026-04-02T00:00:00"/>
        <d v="2026-02-04T00:00:00"/>
        <d v="2026-03-15T00:00:00"/>
        <d v="2026-01-22T00:00:00"/>
        <d v="2026-01-09T00:00:00"/>
        <d v="2026-04-12T00:00:00"/>
        <d v="2026-02-21T00:00:00"/>
        <d v="2026-04-03T00:00:00"/>
        <d v="2026-05-15T00:00:00"/>
        <d v="2026-05-17T00:00:00"/>
        <d v="2026-05-12T00:00:00"/>
        <d v="2026-05-21T00:00:00"/>
        <d v="2026-05-06T00:00:00"/>
        <d v="2026-04-08T00:00:00"/>
        <d v="2026-04-15T00:00:00"/>
        <d v="2026-04-13T00:00:00"/>
        <d v="2026-04-27T00:00:00"/>
        <d v="2026-05-25T00:00:00"/>
        <d v="2026-01-15T00:00:00"/>
        <d v="2026-04-28T00:00:00"/>
        <d v="2026-06-03T00:00:00"/>
        <d v="2026-02-25T00:00:00"/>
        <d v="2026-01-05T00:00:00"/>
        <d v="2026-01-20T00:00:00"/>
        <d v="2026-06-23T00:00:00"/>
        <d v="2026-02-13T00:00:00"/>
        <d v="2026-03-22T00:00:00"/>
        <d v="2026-01-19T00:00:00"/>
        <d v="2026-02-12T00:00:00"/>
        <d v="2026-05-02T00:00:00"/>
        <d v="2026-01-30T00:00:00"/>
        <d v="2026-04-04T00:00:00"/>
        <d v="2026-02-23T00:00:00"/>
        <d v="2026-05-27T00:00:00"/>
        <d v="2026-03-12T00:00:00"/>
        <d v="2026-06-07T00:00:00"/>
        <d v="2026-01-31T00:00:00"/>
        <d v="2026-03-07T00:00:00"/>
        <d v="2026-03-13T00:00:00"/>
        <d v="2026-02-09T00:00:00"/>
        <d v="2026-01-11T00:00:00"/>
        <d v="2026-01-25T00:00:00"/>
        <d v="2026-01-06T00:00:00"/>
        <d v="2026-02-10T00:00:00"/>
        <d v="2026-06-21T00:00:00"/>
        <d v="2026-05-30T00:00:00"/>
        <d v="2026-03-14T00:00:00"/>
        <d v="2026-03-17T00:00:00"/>
        <d v="2026-06-18T00:00:00"/>
        <d v="2026-01-02T00:00:00"/>
        <d v="2026-05-09T00:00:00"/>
        <d v="2026-02-11T00:00:00"/>
        <d v="2026-04-16T00:00:00"/>
        <d v="2026-04-21T00:00:00"/>
        <d v="2026-06-22T00:00:00"/>
        <d v="2026-05-14T00:00:00"/>
        <d v="2026-05-18T00:00:00"/>
        <d v="2026-06-11T00:00:00"/>
        <d v="2026-03-06T00:00:00"/>
        <d v="2026-01-17T00:00:00"/>
        <d v="2026-03-09T00:00:00"/>
        <d v="2026-05-03T00:00:00"/>
        <d v="2026-03-20T00:00:00"/>
        <d v="2026-06-28T00:00:00"/>
        <d v="2026-03-29T00:00:00"/>
        <d v="2026-05-23T00:00:00"/>
        <d v="2026-01-13T00:00:00"/>
        <d v="2026-05-31T00:00:00"/>
        <d v="2026-06-26T00:00:00"/>
        <d v="2026-06-20T00:00:00"/>
        <d v="2026-05-26T00:00:00"/>
        <d v="2026-03-25T00:00:00"/>
        <d v="2026-03-16T00:00:00"/>
        <d v="2026-03-27T00:00:00"/>
        <d v="2026-02-15T00:00:00"/>
        <d v="2026-05-11T00:00:00"/>
        <d v="2026-02-07T00:00:00"/>
        <d v="2026-05-28T00:00:00"/>
        <d v="2026-05-29T00:00:00"/>
        <d v="2026-04-11T00:00:00"/>
        <d v="2026-03-04T00:00:00"/>
        <d v="2026-02-14T00:00:00"/>
        <d v="2026-04-24T00:00:00"/>
        <d v="2026-05-10T00:00:00"/>
        <d v="2026-04-09T00:00:00"/>
        <d v="2026-02-17T00:00:00"/>
        <d v="2026-02-01T00:00:00"/>
        <d v="2026-06-27T00:00:00"/>
        <d v="2026-04-19T00:00:00"/>
        <d v="2026-03-19T00:00:00"/>
        <d v="2026-06-25T00:00:00"/>
        <d v="2026-06-10T00:00:00"/>
        <d v="2026-04-18T00:00:00"/>
        <d v="2026-02-06T00:00:00"/>
        <d v="2026-01-12T00:00:00"/>
        <d v="2026-02-02T00:00:00"/>
        <d v="2026-01-10T00:00:00"/>
        <d v="2026-03-28T00:00:00"/>
        <d v="2026-02-20T00:00:00"/>
        <d v="2026-04-14T00:00:00"/>
        <d v="2026-06-06T00:00:00"/>
        <d v="2026-01-26T00:00:00"/>
        <d v="2026-01-29T00:00:00"/>
        <d v="2026-03-23T00:00:00"/>
        <d v="2026-05-24T00:00:00"/>
        <d v="2026-06-04T00:00:00"/>
        <d v="2026-05-08T00:00:00"/>
        <d v="2026-03-18T00:00:00"/>
        <d v="2026-03-30T00:00:00"/>
        <d v="2026-06-14T00:00:00"/>
        <d v="2026-02-08T00:00:00"/>
      </sharedItems>
      <fieldGroup par="20"/>
    </cacheField>
    <cacheField name="Product" numFmtId="0">
      <sharedItems count="8">
        <s v="Composite Panel B"/>
        <s v="Machined Housing"/>
        <s v="Repair Component"/>
        <s v="Sheet Metal Bracket"/>
        <s v="Assembly Kit Y"/>
        <s v="Surface Treatment Part"/>
        <s v="Assembly Kit X"/>
        <s v="Composite Panel A"/>
      </sharedItems>
    </cacheField>
    <cacheField name="Department" numFmtId="0">
      <sharedItems count="6">
        <s v="Composite"/>
        <s v="Machining"/>
        <s v="Spares &amp; Repairs"/>
        <s v="Sheet Metal"/>
        <s v="Assembly"/>
        <s v="Surface Treatment"/>
      </sharedItems>
    </cacheField>
    <cacheField name="Machine" numFmtId="0">
      <sharedItems/>
    </cacheField>
    <cacheField name="Operator_ID" numFmtId="0">
      <sharedItems containsBlank="1"/>
    </cacheField>
    <cacheField name="Shift" numFmtId="0">
      <sharedItems count="3">
        <s v="Night"/>
        <s v="Evening"/>
        <s v="Day"/>
      </sharedItems>
    </cacheField>
    <cacheField name="Production_Target" numFmtId="0">
      <sharedItems containsSemiMixedTypes="0" containsString="0" containsNumber="1" containsInteger="1" minValue="80" maxValue="320"/>
    </cacheField>
    <cacheField name="Actual_Production" numFmtId="0">
      <sharedItems containsSemiMixedTypes="0" containsString="0" containsNumber="1" containsInteger="1" minValue="59" maxValue="365"/>
    </cacheField>
    <cacheField name="Defects" numFmtId="0">
      <sharedItems containsSemiMixedTypes="0" containsString="0" containsNumber="1" containsInteger="1" minValue="0" maxValue="31"/>
    </cacheField>
    <cacheField name="Downtime_Hours" numFmtId="0">
      <sharedItems containsSemiMixedTypes="0" containsString="0" containsNumber="1" minValue="0" maxValue="9"/>
    </cacheField>
    <cacheField name="Material_Cost" numFmtId="0">
      <sharedItems containsSemiMixedTypes="0" containsString="0" containsNumber="1" minValue="6167.18" maxValue="132468.12"/>
    </cacheField>
    <cacheField name="Labour_Hours" numFmtId="0">
      <sharedItems containsSemiMixedTypes="0" containsString="0" containsNumber="1" minValue="1.19" maxValue="14.38"/>
    </cacheField>
    <cacheField name="Labour_Cost" numFmtId="0">
      <sharedItems containsSemiMixedTypes="0" containsString="0" containsNumber="1" minValue="25.6" maxValue="366.34"/>
    </cacheField>
    <cacheField name="Order_Quantity" numFmtId="0">
      <sharedItems containsSemiMixedTypes="0" containsString="0" containsNumber="1" containsInteger="1" minValue="55" maxValue="414"/>
    </cacheField>
    <cacheField name="Due_Date" numFmtId="165">
      <sharedItems containsSemiMixedTypes="0" containsNonDate="0" containsDate="1" containsString="0" minDate="2026-01-04T00:00:00" maxDate="2026-07-11T00:00:00"/>
    </cacheField>
    <cacheField name="Actual_Delivery_Date" numFmtId="165">
      <sharedItems containsSemiMixedTypes="0" containsNonDate="0" containsDate="1" containsString="0" minDate="2026-01-04T00:00:00" maxDate="2026-07-15T00:00:00"/>
    </cacheField>
    <cacheField name="Quality_Status" numFmtId="0">
      <sharedItems count="4">
        <s v="Passed"/>
        <s v="Rejected"/>
        <s v="Rework"/>
        <s v="Not Recorded"/>
      </sharedItems>
    </cacheField>
    <cacheField name="Customer" numFmtId="0">
      <sharedItems containsBlank="1"/>
    </cacheField>
    <cacheField name="Days (Production_Date)" numFmtId="0" databaseField="0">
      <fieldGroup base="1">
        <rangePr groupBy="days" startDate="2026-01-01T00:00:00" endDate="2026-06-30T00:00:00"/>
        <groupItems count="368">
          <s v="&lt;1/1/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6/30/2026"/>
        </groupItems>
      </fieldGroup>
    </cacheField>
    <cacheField name="Months (Production_Date)" numFmtId="0" databaseField="0">
      <fieldGroup base="1">
        <rangePr groupBy="months" startDate="2026-01-01T00:00:00" endDate="2026-06-30T00:00:00"/>
        <groupItems count="14">
          <s v="&lt;1/1/2026"/>
          <s v="Jan"/>
          <s v="Feb"/>
          <s v="Mar"/>
          <s v="Apr"/>
          <s v="May"/>
          <s v="Jun"/>
          <s v="Jul"/>
          <s v="Aug"/>
          <s v="Sep"/>
          <s v="Oct"/>
          <s v="Nov"/>
          <s v="Dec"/>
          <s v="&gt;6/30/2026"/>
        </groupItems>
      </fieldGroup>
    </cacheField>
  </cacheFields>
  <extLst>
    <ext xmlns:x14="http://schemas.microsoft.com/office/spreadsheetml/2009/9/main" uri="{725AE2AE-9491-48be-B2B4-4EB974FC3084}">
      <x14:pivotCacheDefinition pivotCacheId="16723328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5">
  <r>
    <s v="PRD-00001"/>
    <x v="0"/>
    <x v="0"/>
    <x v="0"/>
    <s v="Autoclave-01"/>
    <s v="OP-008"/>
    <x v="0"/>
    <n v="269"/>
    <n v="225"/>
    <n v="5"/>
    <n v="6.6"/>
    <n v="85638.51"/>
    <n v="4.5199999999999996"/>
    <n v="108.48"/>
    <n v="237"/>
    <d v="2026-06-15T00:00:00"/>
    <d v="2026-06-14T00:00:00"/>
    <x v="0"/>
    <s v="Precision Air"/>
  </r>
  <r>
    <s v="PRD-00002"/>
    <x v="1"/>
    <x v="1"/>
    <x v="1"/>
    <s v="CNC-04"/>
    <s v="OP-007"/>
    <x v="1"/>
    <n v="246"/>
    <n v="251"/>
    <n v="10"/>
    <n v="4"/>
    <n v="58016.75"/>
    <n v="9.09"/>
    <n v="181.8"/>
    <n v="314"/>
    <d v="2026-01-14T00:00:00"/>
    <d v="2026-01-14T00:00:00"/>
    <x v="0"/>
    <s v="AeroTech UK"/>
  </r>
  <r>
    <s v="PRD-00003"/>
    <x v="2"/>
    <x v="2"/>
    <x v="2"/>
    <s v="Repair-01"/>
    <s v="OP-029"/>
    <x v="1"/>
    <n v="171"/>
    <n v="185"/>
    <n v="10"/>
    <n v="7.3"/>
    <n v="18621.509999999998"/>
    <n v="7.65"/>
    <n v="183.6"/>
    <n v="151"/>
    <d v="2026-02-03T00:00:00"/>
    <d v="2026-02-03T00:00:00"/>
    <x v="1"/>
    <s v="Precision Air"/>
  </r>
  <r>
    <s v="PRD-00004"/>
    <x v="3"/>
    <x v="0"/>
    <x v="0"/>
    <s v="Autoclave-01"/>
    <s v="OP-022"/>
    <x v="1"/>
    <n v="249"/>
    <n v="203"/>
    <n v="6"/>
    <n v="0.7"/>
    <n v="53070.63"/>
    <n v="5.01"/>
    <n v="110.22"/>
    <n v="250"/>
    <d v="2026-02-26T00:00:00"/>
    <d v="2026-02-27T00:00:00"/>
    <x v="0"/>
    <s v="AeroTech UK"/>
  </r>
  <r>
    <s v="PRD-00005"/>
    <x v="4"/>
    <x v="3"/>
    <x v="3"/>
    <s v="Bender-01"/>
    <s v="OP-013"/>
    <x v="1"/>
    <n v="266"/>
    <n v="219"/>
    <n v="10"/>
    <n v="2.4"/>
    <n v="31161.32"/>
    <n v="5.0999999999999996"/>
    <n v="112.2"/>
    <n v="240"/>
    <d v="2026-06-10T00:00:00"/>
    <d v="2026-06-08T00:00:00"/>
    <x v="0"/>
    <s v="AeroTech UK"/>
  </r>
  <r>
    <s v="PRD-00006"/>
    <x v="5"/>
    <x v="4"/>
    <x v="4"/>
    <s v="Assembly-01"/>
    <s v="OP-013"/>
    <x v="1"/>
    <n v="247"/>
    <n v="230"/>
    <n v="19"/>
    <n v="5.8"/>
    <n v="36223.11"/>
    <n v="8.25"/>
    <n v="214.5"/>
    <n v="274"/>
    <d v="2026-03-07T00:00:00"/>
    <d v="2026-03-09T00:00:00"/>
    <x v="1"/>
    <s v="NorthStar Aviation"/>
  </r>
  <r>
    <s v="PRD-00007"/>
    <x v="6"/>
    <x v="5"/>
    <x v="5"/>
    <s v="Surface-01"/>
    <s v="OP-028"/>
    <x v="2"/>
    <n v="273"/>
    <n v="202"/>
    <n v="3"/>
    <n v="5.6"/>
    <n v="31230.75"/>
    <n v="3.94"/>
    <n v="94.56"/>
    <n v="352"/>
    <d v="2026-02-15T00:00:00"/>
    <d v="2026-02-15T00:00:00"/>
    <x v="1"/>
    <s v="AeroTech UK"/>
  </r>
  <r>
    <s v="PRD-00008"/>
    <x v="7"/>
    <x v="6"/>
    <x v="4"/>
    <s v="Assembly-03"/>
    <s v="OP-027"/>
    <x v="0"/>
    <n v="167"/>
    <n v="128"/>
    <n v="5"/>
    <n v="4.0999999999999996"/>
    <n v="28620.28"/>
    <n v="3.11"/>
    <n v="80.86"/>
    <n v="172"/>
    <d v="2026-07-04T00:00:00"/>
    <d v="2026-07-03T00:00:00"/>
    <x v="0"/>
    <s v="Precision Air"/>
  </r>
  <r>
    <s v="PRD-00009"/>
    <x v="4"/>
    <x v="1"/>
    <x v="1"/>
    <s v="CNC-02"/>
    <s v="OP-002"/>
    <x v="2"/>
    <n v="175"/>
    <n v="183"/>
    <n v="9"/>
    <n v="7"/>
    <n v="36636.42"/>
    <n v="4.72"/>
    <n v="84.96"/>
    <n v="163"/>
    <d v="2026-06-12T00:00:00"/>
    <d v="2026-06-12T00:00:00"/>
    <x v="0"/>
    <s v="Precision Air"/>
  </r>
  <r>
    <s v="PRD-00010"/>
    <x v="8"/>
    <x v="0"/>
    <x v="0"/>
    <s v="CNC-01"/>
    <s v="OP-030"/>
    <x v="0"/>
    <n v="204"/>
    <n v="218"/>
    <n v="20"/>
    <n v="4.8"/>
    <n v="63700.32"/>
    <n v="8.8800000000000008"/>
    <n v="177.6"/>
    <n v="231"/>
    <d v="2026-01-31T00:00:00"/>
    <d v="2026-02-02T00:00:00"/>
    <x v="0"/>
    <s v="NorthStar Aviation"/>
  </r>
  <r>
    <s v="PRD-00011"/>
    <x v="9"/>
    <x v="2"/>
    <x v="2"/>
    <s v="Repair-02"/>
    <s v="OP-008"/>
    <x v="2"/>
    <n v="192"/>
    <n v="212"/>
    <n v="9"/>
    <n v="2.2000000000000002"/>
    <n v="14346.1"/>
    <n v="6.63"/>
    <n v="172.38"/>
    <n v="208"/>
    <d v="2026-03-23T00:00:00"/>
    <d v="2026-03-22T00:00:00"/>
    <x v="0"/>
    <s v="AeroTech UK"/>
  </r>
  <r>
    <s v="PRD-00012"/>
    <x v="10"/>
    <x v="0"/>
    <x v="0"/>
    <s v="CNC-01"/>
    <s v="OP-004"/>
    <x v="0"/>
    <n v="140"/>
    <n v="117"/>
    <n v="5"/>
    <n v="4.9000000000000004"/>
    <n v="45127.85"/>
    <n v="3.72"/>
    <n v="74.400000000000006"/>
    <n v="221"/>
    <d v="2026-04-03T00:00:00"/>
    <d v="2026-04-03T00:00:00"/>
    <x v="0"/>
    <s v="Global Aero Systems"/>
  </r>
  <r>
    <s v="PRD-00013"/>
    <x v="11"/>
    <x v="2"/>
    <x v="2"/>
    <s v="Repair-02"/>
    <s v="OP-015"/>
    <x v="2"/>
    <n v="199"/>
    <n v="217"/>
    <n v="2"/>
    <n v="5.9"/>
    <n v="18557.740000000002"/>
    <n v="7.7"/>
    <n v="138.6"/>
    <n v="222"/>
    <d v="2026-04-06T00:00:00"/>
    <d v="2026-04-06T00:00:00"/>
    <x v="1"/>
    <s v="Global Aero Systems"/>
  </r>
  <r>
    <s v="PRD-00014"/>
    <x v="12"/>
    <x v="6"/>
    <x v="4"/>
    <s v="Assembly-02"/>
    <s v="OP-014"/>
    <x v="1"/>
    <n v="143"/>
    <n v="156"/>
    <n v="1"/>
    <n v="7.3"/>
    <n v="27424.21"/>
    <n v="5.25"/>
    <n v="136.5"/>
    <n v="106"/>
    <d v="2026-02-19T00:00:00"/>
    <d v="2026-02-19T00:00:00"/>
    <x v="0"/>
    <s v="Global Aero Systems"/>
  </r>
  <r>
    <s v="PRD-00015"/>
    <x v="5"/>
    <x v="2"/>
    <x v="2"/>
    <s v="Repair-01"/>
    <s v="OP-007"/>
    <x v="2"/>
    <n v="122"/>
    <n v="107"/>
    <n v="10"/>
    <n v="2.4"/>
    <n v="10728.74"/>
    <n v="3.01"/>
    <n v="78.260000000000005"/>
    <n v="206"/>
    <d v="2026-02-28T00:00:00"/>
    <d v="2026-02-28T00:00:00"/>
    <x v="0"/>
    <s v="Precision Air"/>
  </r>
  <r>
    <s v="PRD-00016"/>
    <x v="13"/>
    <x v="7"/>
    <x v="0"/>
    <s v="CNC-01"/>
    <s v="OP-013"/>
    <x v="2"/>
    <n v="160"/>
    <n v="119"/>
    <n v="6"/>
    <n v="4.5"/>
    <n v="32487.03"/>
    <n v="4.8899999999999997"/>
    <n v="88.02"/>
    <n v="167"/>
    <d v="2026-05-22T00:00:00"/>
    <d v="2026-05-21T00:00:00"/>
    <x v="0"/>
    <s v="Precision Air"/>
  </r>
  <r>
    <s v="PRD-00017"/>
    <x v="14"/>
    <x v="7"/>
    <x v="0"/>
    <s v="CNC-01"/>
    <s v="OP-015"/>
    <x v="1"/>
    <n v="100"/>
    <n v="90"/>
    <n v="5"/>
    <n v="4.7"/>
    <n v="25561.49"/>
    <n v="3.17"/>
    <n v="63.4"/>
    <n v="127"/>
    <d v="2026-03-13T00:00:00"/>
    <d v="2026-03-13T00:00:00"/>
    <x v="0"/>
    <s v="AeroTech UK"/>
  </r>
  <r>
    <s v="PRD-00018"/>
    <x v="15"/>
    <x v="5"/>
    <x v="5"/>
    <s v="Surface-01"/>
    <s v="OP-026"/>
    <x v="0"/>
    <n v="98"/>
    <n v="93"/>
    <n v="4"/>
    <n v="1.2"/>
    <n v="11114.58"/>
    <n v="2.2200000000000002"/>
    <n v="48.84"/>
    <n v="98"/>
    <d v="2026-01-12T00:00:00"/>
    <d v="2026-01-12T00:00:00"/>
    <x v="1"/>
    <s v="Precision Air"/>
  </r>
  <r>
    <s v="PRD-00019"/>
    <x v="15"/>
    <x v="6"/>
    <x v="4"/>
    <s v="Assembly-03"/>
    <s v="OP-017"/>
    <x v="1"/>
    <n v="106"/>
    <n v="119"/>
    <n v="2"/>
    <n v="1"/>
    <n v="18094.849999999999"/>
    <n v="2.92"/>
    <n v="75.92"/>
    <n v="119"/>
    <d v="2026-01-10T00:00:00"/>
    <d v="2026-01-10T00:00:00"/>
    <x v="0"/>
    <s v="SkyWorks"/>
  </r>
  <r>
    <s v="PRD-00020"/>
    <x v="16"/>
    <x v="0"/>
    <x v="0"/>
    <s v="CNC-01"/>
    <s v="OP-003"/>
    <x v="0"/>
    <n v="188"/>
    <n v="202"/>
    <n v="1"/>
    <n v="3"/>
    <n v="64009.47"/>
    <n v="4.42"/>
    <n v="106.08"/>
    <n v="257"/>
    <d v="2026-01-24T00:00:00"/>
    <d v="2026-01-22T00:00:00"/>
    <x v="0"/>
    <s v="NorthStar Aviation"/>
  </r>
  <r>
    <s v="PRD-00021"/>
    <x v="17"/>
    <x v="7"/>
    <x v="0"/>
    <s v="Autoclave-02"/>
    <s v="OP-012"/>
    <x v="0"/>
    <n v="229"/>
    <n v="219"/>
    <n v="9"/>
    <n v="0.4"/>
    <n v="62003.43"/>
    <n v="9.0500000000000007"/>
    <n v="162.9"/>
    <n v="280"/>
    <d v="2026-05-25T00:00:00"/>
    <d v="2026-05-25T00:00:00"/>
    <x v="0"/>
    <s v="Global Aero Systems"/>
  </r>
  <r>
    <s v="PRD-00022"/>
    <x v="18"/>
    <x v="3"/>
    <x v="3"/>
    <s v="Press-01"/>
    <s v="OP-013"/>
    <x v="2"/>
    <n v="301"/>
    <n v="237"/>
    <n v="18"/>
    <n v="1.6"/>
    <n v="24648.03"/>
    <n v="9.52"/>
    <n v="228.48"/>
    <n v="324"/>
    <d v="2026-06-14T00:00:00"/>
    <d v="2026-06-14T00:00:00"/>
    <x v="0"/>
    <s v="Global Aero Systems"/>
  </r>
  <r>
    <s v="PRD-00023"/>
    <x v="19"/>
    <x v="1"/>
    <x v="1"/>
    <s v="CNC-03"/>
    <s v="OP-011"/>
    <x v="2"/>
    <n v="169"/>
    <n v="143"/>
    <n v="10"/>
    <n v="2"/>
    <n v="24859.05"/>
    <n v="3.7"/>
    <n v="66.599999999999994"/>
    <n v="200"/>
    <d v="2026-03-05T00:00:00"/>
    <d v="2026-03-07T00:00:00"/>
    <x v="1"/>
    <s v="AeroTech UK"/>
  </r>
  <r>
    <s v="PRD-00024"/>
    <x v="20"/>
    <x v="3"/>
    <x v="3"/>
    <s v="Bender-01"/>
    <s v="OP-002"/>
    <x v="0"/>
    <n v="147"/>
    <n v="108"/>
    <n v="6"/>
    <n v="3.1"/>
    <n v="13757.22"/>
    <n v="4.5"/>
    <n v="81"/>
    <n v="205"/>
    <d v="2026-03-19T00:00:00"/>
    <d v="2026-03-19T00:00:00"/>
    <x v="0"/>
    <s v="Global Aero Systems"/>
  </r>
  <r>
    <s v="PRD-00025"/>
    <x v="21"/>
    <x v="1"/>
    <x v="1"/>
    <s v="CNC-03"/>
    <s v="OP-013"/>
    <x v="0"/>
    <n v="190"/>
    <n v="142"/>
    <n v="9"/>
    <n v="3"/>
    <n v="33108.400000000001"/>
    <n v="5.01"/>
    <n v="110.22"/>
    <n v="279"/>
    <d v="2026-01-07T00:00:00"/>
    <d v="2026-01-09T00:00:00"/>
    <x v="0"/>
    <s v="SkyWorks"/>
  </r>
  <r>
    <s v="PRD-00026"/>
    <x v="22"/>
    <x v="3"/>
    <x v="3"/>
    <s v="Press-01"/>
    <s v="OP-026"/>
    <x v="0"/>
    <n v="187"/>
    <n v="188"/>
    <n v="7"/>
    <n v="6.7"/>
    <n v="19854.23"/>
    <n v="5.22"/>
    <n v="93.96"/>
    <n v="224"/>
    <d v="2026-05-28T00:00:00"/>
    <d v="2026-05-28T00:00:00"/>
    <x v="2"/>
    <s v="Precision Air"/>
  </r>
  <r>
    <s v="PRD-00027"/>
    <x v="23"/>
    <x v="4"/>
    <x v="4"/>
    <s v="Assembly-02"/>
    <s v="OP-027"/>
    <x v="2"/>
    <n v="193"/>
    <n v="175"/>
    <n v="4"/>
    <n v="4.3"/>
    <n v="43234.66"/>
    <n v="3.86"/>
    <n v="69.48"/>
    <n v="225"/>
    <d v="2026-06-27T00:00:00"/>
    <d v="2026-06-28T00:00:00"/>
    <x v="0"/>
    <s v="SkyWorks"/>
  </r>
  <r>
    <s v="PRD-00028"/>
    <x v="24"/>
    <x v="1"/>
    <x v="1"/>
    <s v="CNC-02"/>
    <s v="OP-008"/>
    <x v="2"/>
    <n v="86"/>
    <n v="63"/>
    <n v="5"/>
    <n v="5.5"/>
    <n v="15605.31"/>
    <n v="2.4700000000000002"/>
    <n v="64.22"/>
    <n v="99"/>
    <d v="2026-03-07T00:00:00"/>
    <d v="2026-03-11T00:00:00"/>
    <x v="2"/>
    <s v="AeroTech UK"/>
  </r>
  <r>
    <s v="PRD-00029"/>
    <x v="25"/>
    <x v="2"/>
    <x v="2"/>
    <s v="Repair-01"/>
    <s v="OP-020"/>
    <x v="0"/>
    <n v="125"/>
    <n v="133"/>
    <n v="8"/>
    <n v="4.2"/>
    <n v="13895.99"/>
    <n v="2.78"/>
    <n v="55.6"/>
    <n v="203"/>
    <d v="2026-02-09T00:00:00"/>
    <d v="2026-02-10T00:00:00"/>
    <x v="2"/>
    <s v="Precision Air"/>
  </r>
  <r>
    <s v="PRD-00030"/>
    <x v="26"/>
    <x v="5"/>
    <x v="5"/>
    <s v="Surface-01"/>
    <s v="OP-023"/>
    <x v="1"/>
    <n v="270"/>
    <n v="294"/>
    <n v="13"/>
    <n v="6.8"/>
    <n v="44333.98"/>
    <n v="10.78"/>
    <n v="258.72000000000003"/>
    <n v="291"/>
    <d v="2026-04-26T00:00:00"/>
    <d v="2026-04-30T00:00:00"/>
    <x v="0"/>
    <s v="NorthStar Aviation"/>
  </r>
  <r>
    <s v="PRD-00031"/>
    <x v="27"/>
    <x v="4"/>
    <x v="4"/>
    <s v="Assembly-02"/>
    <s v="OP-002"/>
    <x v="2"/>
    <n v="308"/>
    <n v="293"/>
    <n v="5"/>
    <n v="2.1"/>
    <n v="66164.28"/>
    <n v="5.73"/>
    <n v="137.52000000000001"/>
    <n v="352"/>
    <d v="2026-03-21T00:00:00"/>
    <d v="2026-03-25T00:00:00"/>
    <x v="2"/>
    <s v="Global Aero Systems"/>
  </r>
  <r>
    <s v="PRD-00032"/>
    <x v="28"/>
    <x v="7"/>
    <x v="0"/>
    <s v="CNC-01"/>
    <s v="OP-008"/>
    <x v="1"/>
    <n v="177"/>
    <n v="163"/>
    <n v="14"/>
    <n v="2.7"/>
    <n v="46127.88"/>
    <n v="6.2"/>
    <n v="161.19999999999999"/>
    <n v="276"/>
    <d v="2026-04-21T00:00:00"/>
    <d v="2026-04-21T00:00:00"/>
    <x v="2"/>
    <s v="Global Aero Systems"/>
  </r>
  <r>
    <s v="PRD-00033"/>
    <x v="29"/>
    <x v="7"/>
    <x v="0"/>
    <s v="Autoclave-02"/>
    <s v="OP-021"/>
    <x v="1"/>
    <n v="166"/>
    <n v="167"/>
    <n v="12"/>
    <n v="6.5"/>
    <n v="55614.32"/>
    <n v="6.94"/>
    <n v="180.44"/>
    <n v="132"/>
    <d v="2026-05-13T00:00:00"/>
    <d v="2026-05-11T00:00:00"/>
    <x v="0"/>
    <s v="NorthStar Aviation"/>
  </r>
  <r>
    <s v="PRD-00034"/>
    <x v="30"/>
    <x v="3"/>
    <x v="3"/>
    <s v="Press-01"/>
    <s v="OP-024"/>
    <x v="0"/>
    <n v="146"/>
    <n v="128"/>
    <n v="3"/>
    <n v="2.9"/>
    <n v="15918.55"/>
    <n v="4.6100000000000003"/>
    <n v="110.64"/>
    <n v="170"/>
    <d v="2026-05-02T00:00:00"/>
    <d v="2026-05-06T00:00:00"/>
    <x v="0"/>
    <s v="AeroTech UK"/>
  </r>
  <r>
    <s v="PRD-00035"/>
    <x v="31"/>
    <x v="1"/>
    <x v="1"/>
    <s v="CNC-04"/>
    <s v="OP-019"/>
    <x v="2"/>
    <n v="97"/>
    <n v="102"/>
    <n v="6"/>
    <n v="6.8"/>
    <n v="24910.85"/>
    <n v="1.89"/>
    <n v="37.799999999999997"/>
    <n v="118"/>
    <d v="2026-04-04T00:00:00"/>
    <d v="2026-04-08T00:00:00"/>
    <x v="0"/>
    <s v="Global Aero Systems"/>
  </r>
  <r>
    <s v="PRD-00036"/>
    <x v="32"/>
    <x v="6"/>
    <x v="4"/>
    <s v="Assembly-02"/>
    <s v="OP-023"/>
    <x v="2"/>
    <n v="122"/>
    <n v="119"/>
    <n v="10"/>
    <n v="6.5"/>
    <n v="20800.900000000001"/>
    <n v="3.03"/>
    <n v="78.78"/>
    <n v="88"/>
    <d v="2026-07-05T00:00:00"/>
    <d v="2026-07-07T00:00:00"/>
    <x v="2"/>
    <m/>
  </r>
  <r>
    <s v="PRD-00037"/>
    <x v="33"/>
    <x v="1"/>
    <x v="1"/>
    <s v="CNC-02"/>
    <s v="OP-017"/>
    <x v="0"/>
    <n v="258"/>
    <n v="271"/>
    <n v="22"/>
    <n v="5.4"/>
    <n v="60429.22"/>
    <n v="9.9700000000000006"/>
    <n v="219.34"/>
    <n v="354"/>
    <d v="2026-06-09T00:00:00"/>
    <d v="2026-06-10T00:00:00"/>
    <x v="0"/>
    <s v="SkyWorks"/>
  </r>
  <r>
    <s v="PRD-00038"/>
    <x v="34"/>
    <x v="2"/>
    <x v="2"/>
    <s v="Repair-02"/>
    <s v="OP-014"/>
    <x v="0"/>
    <n v="107"/>
    <n v="96"/>
    <n v="3"/>
    <n v="8"/>
    <n v="7901.83"/>
    <n v="2.13"/>
    <n v="55.38"/>
    <n v="136"/>
    <d v="2026-01-15T00:00:00"/>
    <d v="2026-01-19T00:00:00"/>
    <x v="2"/>
    <s v="Precision Air"/>
  </r>
  <r>
    <s v="PRD-00039"/>
    <x v="35"/>
    <x v="4"/>
    <x v="4"/>
    <s v="Assembly-01"/>
    <s v="OP-016"/>
    <x v="2"/>
    <n v="292"/>
    <n v="327"/>
    <n v="9"/>
    <n v="4.0999999999999996"/>
    <n v="72639.539999999994"/>
    <n v="11.13"/>
    <n v="244.86"/>
    <n v="259"/>
    <d v="2026-03-19T00:00:00"/>
    <d v="2026-03-20T00:00:00"/>
    <x v="0"/>
    <s v="SkyWorks"/>
  </r>
  <r>
    <s v="PRD-00040"/>
    <x v="20"/>
    <x v="4"/>
    <x v="4"/>
    <s v="Assembly-02"/>
    <s v="OP-021"/>
    <x v="0"/>
    <n v="305"/>
    <n v="297"/>
    <n v="25"/>
    <n v="5"/>
    <n v="54820.07"/>
    <n v="7.07"/>
    <n v="169.68"/>
    <n v="390"/>
    <d v="2026-03-18T00:00:00"/>
    <d v="2026-03-18T00:00:00"/>
    <x v="2"/>
    <s v="Global Aero Systems"/>
  </r>
  <r>
    <s v="PRD-00041"/>
    <x v="36"/>
    <x v="7"/>
    <x v="0"/>
    <s v="Autoclave-01"/>
    <s v="OP-009"/>
    <x v="1"/>
    <n v="155"/>
    <n v="126"/>
    <n v="8"/>
    <n v="2.8"/>
    <n v="34343.199999999997"/>
    <n v="3.87"/>
    <n v="92.88"/>
    <n v="255"/>
    <d v="2026-05-02T00:00:00"/>
    <d v="2026-05-03T00:00:00"/>
    <x v="2"/>
    <s v="SkyWorks"/>
  </r>
  <r>
    <s v="PRD-00042"/>
    <x v="37"/>
    <x v="0"/>
    <x v="0"/>
    <s v="CNC-01"/>
    <s v="OP-027"/>
    <x v="2"/>
    <n v="129"/>
    <n v="110"/>
    <n v="7"/>
    <n v="8.6"/>
    <n v="34919.08"/>
    <n v="3.93"/>
    <n v="86.46"/>
    <n v="223"/>
    <d v="2026-03-12T00:00:00"/>
    <d v="2026-03-12T00:00:00"/>
    <x v="0"/>
    <s v="SkyWorks"/>
  </r>
  <r>
    <s v="PRD-00043"/>
    <x v="38"/>
    <x v="4"/>
    <x v="4"/>
    <s v="Assembly-01"/>
    <s v="OP-010"/>
    <x v="1"/>
    <n v="157"/>
    <n v="113"/>
    <n v="5"/>
    <n v="2.5"/>
    <n v="26840.19"/>
    <n v="3.93"/>
    <n v="78.599999999999994"/>
    <n v="242"/>
    <d v="2026-03-03T00:00:00"/>
    <d v="2026-03-01T00:00:00"/>
    <x v="1"/>
    <s v="Global Aero Systems"/>
  </r>
  <r>
    <s v="PRD-00044"/>
    <x v="39"/>
    <x v="4"/>
    <x v="4"/>
    <s v="Assembly-01"/>
    <s v="OP-008"/>
    <x v="2"/>
    <n v="93"/>
    <n v="77"/>
    <n v="6"/>
    <n v="1"/>
    <n v="12963.18"/>
    <n v="2.4500000000000002"/>
    <n v="44.1"/>
    <n v="91"/>
    <d v="2026-04-27T00:00:00"/>
    <d v="2026-04-27T00:00:00"/>
    <x v="0"/>
    <s v="Precision Air"/>
  </r>
  <r>
    <s v="PRD-00045"/>
    <x v="40"/>
    <x v="1"/>
    <x v="1"/>
    <s v="CNC-04"/>
    <s v="OP-022"/>
    <x v="2"/>
    <n v="177"/>
    <n v="161"/>
    <n v="7"/>
    <n v="7.7"/>
    <n v="41041.43"/>
    <n v="5.3"/>
    <n v="137.80000000000001"/>
    <n v="162"/>
    <d v="2026-04-22T00:00:00"/>
    <d v="2026-04-22T00:00:00"/>
    <x v="0"/>
    <s v="NorthStar Aviation"/>
  </r>
  <r>
    <s v="PRD-00046"/>
    <x v="41"/>
    <x v="3"/>
    <x v="3"/>
    <s v="Bender-01"/>
    <s v="OP-026"/>
    <x v="0"/>
    <n v="99"/>
    <n v="77"/>
    <n v="3"/>
    <n v="6.2"/>
    <n v="7828.07"/>
    <n v="1.92"/>
    <n v="42.24"/>
    <n v="175"/>
    <d v="2026-03-06T00:00:00"/>
    <d v="2026-03-06T00:00:00"/>
    <x v="0"/>
    <s v="Precision Air"/>
  </r>
  <r>
    <s v="PRD-00047"/>
    <x v="42"/>
    <x v="1"/>
    <x v="1"/>
    <s v="CNC-03"/>
    <s v="OP-023"/>
    <x v="1"/>
    <n v="109"/>
    <n v="104"/>
    <n v="6"/>
    <n v="8.1999999999999993"/>
    <n v="23521.31"/>
    <n v="2.29"/>
    <n v="50.38"/>
    <n v="142"/>
    <d v="2026-06-28T00:00:00"/>
    <d v="2026-06-27T00:00:00"/>
    <x v="2"/>
    <s v="Global Aero Systems"/>
  </r>
  <r>
    <s v="PRD-00048"/>
    <x v="27"/>
    <x v="5"/>
    <x v="5"/>
    <s v="Surface-02"/>
    <s v="OP-002"/>
    <x v="2"/>
    <n v="100"/>
    <n v="97"/>
    <n v="8"/>
    <n v="6.6"/>
    <n v="12551.48"/>
    <n v="2.2799999999999998"/>
    <n v="59.28"/>
    <n v="65"/>
    <d v="2026-03-23T00:00:00"/>
    <d v="2026-03-23T00:00:00"/>
    <x v="1"/>
    <s v="Global Aero Systems"/>
  </r>
  <r>
    <s v="PRD-00049"/>
    <x v="43"/>
    <x v="5"/>
    <x v="5"/>
    <s v="Surface-02"/>
    <s v="OP-023"/>
    <x v="1"/>
    <n v="126"/>
    <n v="144"/>
    <n v="6"/>
    <n v="7.3"/>
    <n v="23855.05"/>
    <n v="4"/>
    <n v="88"/>
    <n v="112"/>
    <d v="2026-05-17T00:00:00"/>
    <d v="2026-05-18T00:00:00"/>
    <x v="2"/>
    <s v="SkyWorks"/>
  </r>
  <r>
    <s v="PRD-00050"/>
    <x v="42"/>
    <x v="2"/>
    <x v="2"/>
    <s v="Repair-01"/>
    <s v="OP-007"/>
    <x v="0"/>
    <n v="196"/>
    <n v="148"/>
    <n v="4"/>
    <n v="1"/>
    <n v="16426.04"/>
    <n v="5.59"/>
    <n v="100.62"/>
    <n v="294"/>
    <d v="2026-06-28T00:00:00"/>
    <d v="2026-06-30T00:00:00"/>
    <x v="0"/>
    <s v="SkyWorks"/>
  </r>
  <r>
    <s v="PRD-00051"/>
    <x v="44"/>
    <x v="5"/>
    <x v="5"/>
    <s v="Surface-02"/>
    <s v="OP-001"/>
    <x v="0"/>
    <n v="274"/>
    <n v="203"/>
    <n v="5"/>
    <n v="1.2"/>
    <n v="29521.89"/>
    <n v="6.02"/>
    <n v="108.36"/>
    <n v="295"/>
    <d v="2026-06-13T00:00:00"/>
    <d v="2026-06-13T00:00:00"/>
    <x v="1"/>
    <s v="Global Aero Systems"/>
  </r>
  <r>
    <s v="PRD-00052"/>
    <x v="2"/>
    <x v="1"/>
    <x v="1"/>
    <s v="CNC-02"/>
    <s v="OP-018"/>
    <x v="2"/>
    <n v="198"/>
    <n v="223"/>
    <n v="14"/>
    <n v="1.4"/>
    <n v="55634.83"/>
    <n v="7.79"/>
    <n v="186.96"/>
    <n v="281"/>
    <d v="2026-02-02T00:00:00"/>
    <d v="2026-02-02T00:00:00"/>
    <x v="2"/>
    <s v="Global Aero Systems"/>
  </r>
  <r>
    <s v="PRD-00053"/>
    <x v="45"/>
    <x v="3"/>
    <x v="3"/>
    <s v="Press-01"/>
    <s v="OP-016"/>
    <x v="1"/>
    <n v="150"/>
    <n v="157"/>
    <n v="12"/>
    <n v="3.1"/>
    <n v="19085.23"/>
    <n v="2.84"/>
    <n v="62.48"/>
    <n v="235"/>
    <d v="2026-02-22T00:00:00"/>
    <d v="2026-02-26T00:00:00"/>
    <x v="1"/>
    <s v="SkyWorks"/>
  </r>
  <r>
    <s v="PRD-00054"/>
    <x v="22"/>
    <x v="2"/>
    <x v="2"/>
    <s v="Repair-02"/>
    <s v="OP-022"/>
    <x v="0"/>
    <n v="318"/>
    <n v="272"/>
    <n v="5"/>
    <n v="6.3"/>
    <n v="23859.14"/>
    <n v="9.9600000000000009"/>
    <n v="179.28"/>
    <n v="359"/>
    <d v="2026-05-31T00:00:00"/>
    <d v="2026-06-02T00:00:00"/>
    <x v="2"/>
    <s v="NorthStar Aviation"/>
  </r>
  <r>
    <s v="PRD-00055"/>
    <x v="46"/>
    <x v="7"/>
    <x v="0"/>
    <s v="Autoclave-01"/>
    <s v="OP-016"/>
    <x v="1"/>
    <n v="208"/>
    <n v="236"/>
    <n v="8"/>
    <n v="0.9"/>
    <n v="63176.55"/>
    <n v="9.4"/>
    <n v="169.2"/>
    <n v="204"/>
    <d v="2026-05-15T00:00:00"/>
    <d v="2026-05-15T00:00:00"/>
    <x v="0"/>
    <s v="SkyWorks"/>
  </r>
  <r>
    <s v="PRD-00056"/>
    <x v="44"/>
    <x v="2"/>
    <x v="2"/>
    <s v="Repair-01"/>
    <s v="OP-021"/>
    <x v="0"/>
    <n v="298"/>
    <n v="256"/>
    <n v="16"/>
    <n v="4.8"/>
    <n v="28355.83"/>
    <n v="10.06"/>
    <n v="241.44"/>
    <n v="396"/>
    <d v="2026-06-11T00:00:00"/>
    <d v="2026-06-10T00:00:00"/>
    <x v="0"/>
    <s v="SkyWorks"/>
  </r>
  <r>
    <s v="PRD-00057"/>
    <x v="38"/>
    <x v="0"/>
    <x v="0"/>
    <s v="Autoclave-02"/>
    <s v="OP-014"/>
    <x v="2"/>
    <n v="105"/>
    <n v="109"/>
    <n v="7"/>
    <n v="0.9"/>
    <n v="29392.37"/>
    <n v="2.04"/>
    <n v="44.88"/>
    <n v="79"/>
    <d v="2026-03-06T00:00:00"/>
    <d v="2026-03-07T00:00:00"/>
    <x v="0"/>
    <s v="NorthStar Aviation"/>
  </r>
  <r>
    <s v="PRD-00058"/>
    <x v="47"/>
    <x v="2"/>
    <x v="2"/>
    <s v="Repair-01"/>
    <s v="OP-009"/>
    <x v="0"/>
    <n v="123"/>
    <n v="97"/>
    <n v="5"/>
    <n v="3.4"/>
    <n v="9514.15"/>
    <n v="3.1"/>
    <n v="62"/>
    <n v="201"/>
    <d v="2026-05-28T00:00:00"/>
    <d v="2026-05-28T00:00:00"/>
    <x v="2"/>
    <s v="AeroTech UK"/>
  </r>
  <r>
    <s v="PRD-00059"/>
    <x v="48"/>
    <x v="6"/>
    <x v="4"/>
    <s v="Assembly-03"/>
    <s v="OP-028"/>
    <x v="1"/>
    <n v="219"/>
    <n v="172"/>
    <n v="7"/>
    <n v="3.1"/>
    <n v="32134.82"/>
    <n v="4.8499999999999996"/>
    <n v="106.7"/>
    <n v="295"/>
    <d v="2026-05-06T00:00:00"/>
    <d v="2026-05-06T00:00:00"/>
    <x v="2"/>
    <s v="AeroTech UK"/>
  </r>
  <r>
    <s v="PRD-00060"/>
    <x v="49"/>
    <x v="2"/>
    <x v="2"/>
    <s v="Repair-02"/>
    <s v="OP-026"/>
    <x v="1"/>
    <n v="227"/>
    <n v="192"/>
    <n v="13"/>
    <n v="0.2"/>
    <n v="19227.11"/>
    <n v="3.49"/>
    <n v="62.82"/>
    <n v="314"/>
    <d v="2026-03-08T00:00:00"/>
    <d v="2026-03-08T00:00:00"/>
    <x v="1"/>
    <s v="NorthStar Aviation"/>
  </r>
  <r>
    <s v="PRD-00061"/>
    <x v="50"/>
    <x v="1"/>
    <x v="1"/>
    <s v="CNC-04"/>
    <s v="OP-012"/>
    <x v="0"/>
    <n v="144"/>
    <n v="145"/>
    <n v="10"/>
    <n v="5.9"/>
    <n v="38461.040000000001"/>
    <n v="5.75"/>
    <n v="103.5"/>
    <n v="183"/>
    <d v="2026-06-21T00:00:00"/>
    <d v="2026-06-19T00:00:00"/>
    <x v="1"/>
    <s v="NorthStar Aviation"/>
  </r>
  <r>
    <s v="PRD-00062"/>
    <x v="2"/>
    <x v="6"/>
    <x v="4"/>
    <s v="Assembly-02"/>
    <s v="OP-024"/>
    <x v="1"/>
    <n v="271"/>
    <n v="243"/>
    <n v="5"/>
    <n v="7.1"/>
    <n v="46454.34"/>
    <n v="7.3"/>
    <n v="160.6"/>
    <n v="273"/>
    <d v="2026-01-30T00:00:00"/>
    <d v="2026-02-03T00:00:00"/>
    <x v="0"/>
    <s v="AeroTech UK"/>
  </r>
  <r>
    <s v="PRD-00063"/>
    <x v="48"/>
    <x v="0"/>
    <x v="0"/>
    <s v="Autoclave-01"/>
    <s v="OP-018"/>
    <x v="2"/>
    <n v="273"/>
    <n v="310"/>
    <n v="25"/>
    <n v="6.5"/>
    <n v="132468.12"/>
    <n v="11.57"/>
    <n v="254.54"/>
    <n v="256"/>
    <d v="2026-05-08T00:00:00"/>
    <d v="2026-05-06T00:00:00"/>
    <x v="0"/>
    <s v="Global Aero Systems"/>
  </r>
  <r>
    <s v="PRD-00064"/>
    <x v="51"/>
    <x v="6"/>
    <x v="4"/>
    <s v="Assembly-03"/>
    <s v="OP-021"/>
    <x v="1"/>
    <n v="177"/>
    <n v="190"/>
    <n v="17"/>
    <n v="1"/>
    <n v="26184.74"/>
    <n v="7.45"/>
    <n v="193.7"/>
    <n v="220"/>
    <d v="2026-04-16T00:00:00"/>
    <d v="2026-04-16T00:00:00"/>
    <x v="0"/>
    <s v="SkyWorks"/>
  </r>
  <r>
    <s v="PRD-00065"/>
    <x v="52"/>
    <x v="2"/>
    <x v="2"/>
    <s v="Repair-01"/>
    <s v="OP-024"/>
    <x v="0"/>
    <n v="115"/>
    <n v="85"/>
    <n v="0"/>
    <n v="9"/>
    <n v="6265.93"/>
    <n v="2.63"/>
    <n v="63.12"/>
    <n v="191"/>
    <d v="2026-06-23T00:00:00"/>
    <d v="2026-06-25T00:00:00"/>
    <x v="1"/>
    <s v="NorthStar Aviation"/>
  </r>
  <r>
    <s v="PRD-00066"/>
    <x v="40"/>
    <x v="0"/>
    <x v="0"/>
    <s v="Autoclave-02"/>
    <s v="OP-029"/>
    <x v="0"/>
    <n v="237"/>
    <n v="212"/>
    <n v="19"/>
    <n v="0.3"/>
    <n v="64464.05"/>
    <n v="8.65"/>
    <n v="190.3"/>
    <n v="222"/>
    <d v="2026-04-29T00:00:00"/>
    <d v="2026-04-30T00:00:00"/>
    <x v="1"/>
    <s v="SkyWorks"/>
  </r>
  <r>
    <s v="PRD-00067"/>
    <x v="53"/>
    <x v="2"/>
    <x v="2"/>
    <s v="Repair-02"/>
    <s v="OP-026"/>
    <x v="0"/>
    <n v="128"/>
    <n v="145"/>
    <n v="13"/>
    <n v="7.4"/>
    <n v="10510.58"/>
    <n v="4.84"/>
    <n v="87.12"/>
    <n v="100"/>
    <d v="2026-01-23T00:00:00"/>
    <d v="2026-01-23T00:00:00"/>
    <x v="0"/>
    <s v="NorthStar Aviation"/>
  </r>
  <r>
    <s v="PRD-00068"/>
    <x v="54"/>
    <x v="1"/>
    <x v="1"/>
    <s v="CNC-04"/>
    <s v="OP-004"/>
    <x v="0"/>
    <n v="135"/>
    <n v="144"/>
    <n v="3"/>
    <n v="7"/>
    <n v="37272.769999999997"/>
    <n v="3.55"/>
    <n v="71"/>
    <n v="128"/>
    <d v="2026-01-28T00:00:00"/>
    <d v="2026-01-28T00:00:00"/>
    <x v="0"/>
    <s v="AeroTech UK"/>
  </r>
  <r>
    <s v="PRD-00069"/>
    <x v="55"/>
    <x v="7"/>
    <x v="0"/>
    <s v="Autoclave-02"/>
    <s v="OP-017"/>
    <x v="0"/>
    <n v="282"/>
    <n v="298"/>
    <n v="17"/>
    <n v="0.1"/>
    <n v="65492.66"/>
    <n v="8.3699999999999992"/>
    <n v="150.66"/>
    <n v="258"/>
    <d v="2026-02-12T00:00:00"/>
    <d v="2026-02-16T00:00:00"/>
    <x v="0"/>
    <s v="AeroTech UK"/>
  </r>
  <r>
    <s v="PRD-00070"/>
    <x v="56"/>
    <x v="1"/>
    <x v="1"/>
    <s v="CNC-04"/>
    <s v="OP-023"/>
    <x v="1"/>
    <n v="91"/>
    <n v="93"/>
    <n v="8"/>
    <n v="5.9"/>
    <n v="20499.150000000001"/>
    <n v="1.74"/>
    <n v="41.76"/>
    <n v="153"/>
    <d v="2026-05-04T00:00:00"/>
    <d v="2026-05-03T00:00:00"/>
    <x v="2"/>
    <s v="AeroTech UK"/>
  </r>
  <r>
    <s v="PRD-00071"/>
    <x v="8"/>
    <x v="4"/>
    <x v="4"/>
    <s v="Assembly-03"/>
    <s v="OP-026"/>
    <x v="0"/>
    <n v="117"/>
    <n v="87"/>
    <n v="2"/>
    <n v="5.7"/>
    <n v="16876.5"/>
    <n v="3.64"/>
    <n v="94.64"/>
    <n v="152"/>
    <d v="2026-01-30T00:00:00"/>
    <d v="2026-02-01T00:00:00"/>
    <x v="0"/>
    <s v="AeroTech UK"/>
  </r>
  <r>
    <s v="PRD-00072"/>
    <x v="23"/>
    <x v="1"/>
    <x v="1"/>
    <s v="CNC-03"/>
    <s v="OP-003"/>
    <x v="2"/>
    <n v="195"/>
    <n v="214"/>
    <n v="9"/>
    <n v="7.4"/>
    <n v="50034.46"/>
    <n v="5.46"/>
    <n v="120.12"/>
    <n v="220"/>
    <d v="2026-06-24T00:00:00"/>
    <d v="2026-06-24T00:00:00"/>
    <x v="2"/>
    <s v="AeroTech UK"/>
  </r>
  <r>
    <s v="PRD-00073"/>
    <x v="2"/>
    <x v="2"/>
    <x v="2"/>
    <s v="Repair-01"/>
    <s v="OP-010"/>
    <x v="0"/>
    <n v="270"/>
    <n v="280"/>
    <n v="21"/>
    <n v="5"/>
    <n v="27021.8"/>
    <n v="7.26"/>
    <n v="130.68"/>
    <n v="335"/>
    <d v="2026-01-31T00:00:00"/>
    <d v="2026-02-02T00:00:00"/>
    <x v="0"/>
    <s v="SkyWorks"/>
  </r>
  <r>
    <s v="PRD-00074"/>
    <x v="11"/>
    <x v="0"/>
    <x v="0"/>
    <s v="CNC-01"/>
    <s v="OP-030"/>
    <x v="0"/>
    <n v="209"/>
    <n v="169"/>
    <n v="10"/>
    <n v="2"/>
    <n v="51358.14"/>
    <n v="4.53"/>
    <n v="99.66"/>
    <n v="226"/>
    <d v="2026-04-09T00:00:00"/>
    <d v="2026-04-07T00:00:00"/>
    <x v="1"/>
    <s v="SkyWorks"/>
  </r>
  <r>
    <s v="PRD-00075"/>
    <x v="57"/>
    <x v="3"/>
    <x v="3"/>
    <s v="Laser-01"/>
    <s v="OP-024"/>
    <x v="0"/>
    <n v="259"/>
    <n v="271"/>
    <n v="23"/>
    <n v="3.2"/>
    <n v="25492.54"/>
    <n v="9.15"/>
    <n v="164.7"/>
    <n v="255"/>
    <d v="2026-01-20T00:00:00"/>
    <d v="2026-01-18T00:00:00"/>
    <x v="0"/>
    <s v="NorthStar Aviation"/>
  </r>
  <r>
    <s v="PRD-00076"/>
    <x v="58"/>
    <x v="2"/>
    <x v="2"/>
    <s v="Repair-02"/>
    <s v="OP-009"/>
    <x v="1"/>
    <n v="167"/>
    <n v="131"/>
    <n v="4"/>
    <n v="2.9"/>
    <n v="14338.63"/>
    <n v="5.14"/>
    <n v="102.8"/>
    <n v="167"/>
    <d v="2026-04-18T00:00:00"/>
    <d v="2026-04-16T00:00:00"/>
    <x v="0"/>
    <s v="Global Aero Systems"/>
  </r>
  <r>
    <s v="PRD-00077"/>
    <x v="29"/>
    <x v="5"/>
    <x v="5"/>
    <s v="Surface-02"/>
    <s v="OP-020"/>
    <x v="2"/>
    <n v="149"/>
    <n v="121"/>
    <n v="6"/>
    <n v="3.1"/>
    <n v="15575.49"/>
    <n v="3.9"/>
    <n v="101.4"/>
    <n v="187"/>
    <d v="2026-05-07T00:00:00"/>
    <d v="2026-05-07T00:00:00"/>
    <x v="2"/>
    <s v="AeroTech UK"/>
  </r>
  <r>
    <s v="PRD-00078"/>
    <x v="59"/>
    <x v="6"/>
    <x v="4"/>
    <s v="Assembly-01"/>
    <s v="OP-013"/>
    <x v="0"/>
    <n v="276"/>
    <n v="215"/>
    <n v="6"/>
    <n v="3"/>
    <n v="32933.67"/>
    <n v="4.78"/>
    <n v="114.72"/>
    <n v="372"/>
    <d v="2026-02-27T00:00:00"/>
    <d v="2026-02-28T00:00:00"/>
    <x v="0"/>
    <s v="AeroTech UK"/>
  </r>
  <r>
    <s v="PRD-00079"/>
    <x v="60"/>
    <x v="7"/>
    <x v="0"/>
    <s v="Autoclave-02"/>
    <s v="OP-015"/>
    <x v="0"/>
    <n v="315"/>
    <n v="237"/>
    <n v="7"/>
    <n v="3.9"/>
    <n v="63322.91"/>
    <n v="5.91"/>
    <n v="141.84"/>
    <n v="280"/>
    <d v="2026-04-29T00:00:00"/>
    <d v="2026-04-29T00:00:00"/>
    <x v="1"/>
    <s v="SkyWorks"/>
  </r>
  <r>
    <s v="PRD-00080"/>
    <x v="61"/>
    <x v="2"/>
    <x v="2"/>
    <s v="Repair-01"/>
    <s v="OP-017"/>
    <x v="2"/>
    <n v="142"/>
    <n v="128"/>
    <n v="5"/>
    <n v="0.7"/>
    <n v="14236.68"/>
    <n v="2.98"/>
    <n v="59.6"/>
    <n v="121"/>
    <d v="2026-02-02T00:00:00"/>
    <d v="2026-02-01T00:00:00"/>
    <x v="1"/>
    <s v="SkyWorks"/>
  </r>
  <r>
    <s v="PRD-00081"/>
    <x v="31"/>
    <x v="3"/>
    <x v="3"/>
    <s v="Press-01"/>
    <s v="OP-021"/>
    <x v="0"/>
    <n v="106"/>
    <n v="82"/>
    <n v="1"/>
    <n v="5.4"/>
    <n v="10973.95"/>
    <n v="1.82"/>
    <n v="43.68"/>
    <n v="184"/>
    <d v="2026-04-11T00:00:00"/>
    <d v="2026-04-15T00:00:00"/>
    <x v="1"/>
    <s v="Precision Air"/>
  </r>
  <r>
    <s v="PRD-00082"/>
    <x v="62"/>
    <x v="4"/>
    <x v="4"/>
    <s v="Assembly-01"/>
    <s v="OP-012"/>
    <x v="1"/>
    <n v="192"/>
    <n v="143"/>
    <n v="6"/>
    <n v="2.7"/>
    <n v="23160.34"/>
    <n v="4.32"/>
    <n v="95.04"/>
    <n v="270"/>
    <d v="2026-04-02T00:00:00"/>
    <d v="2026-03-31T00:00:00"/>
    <x v="0"/>
    <s v="AeroTech UK"/>
  </r>
  <r>
    <s v="PRD-00083"/>
    <x v="63"/>
    <x v="0"/>
    <x v="0"/>
    <s v="CNC-01"/>
    <s v="OP-005"/>
    <x v="2"/>
    <n v="232"/>
    <n v="217"/>
    <n v="10"/>
    <n v="5"/>
    <n v="85888.63"/>
    <n v="6.25"/>
    <n v="162.5"/>
    <n v="240"/>
    <d v="2026-06-22T00:00:00"/>
    <d v="2026-06-26T00:00:00"/>
    <x v="1"/>
    <s v="Global Aero Systems"/>
  </r>
  <r>
    <s v="PRD-00084"/>
    <x v="64"/>
    <x v="4"/>
    <x v="4"/>
    <s v="Assembly-03"/>
    <s v="OP-014"/>
    <x v="1"/>
    <n v="101"/>
    <n v="94"/>
    <n v="1"/>
    <n v="2.2000000000000002"/>
    <n v="18082.95"/>
    <n v="2.87"/>
    <n v="57.4"/>
    <n v="154"/>
    <d v="2026-02-03T00:00:00"/>
    <d v="2026-02-03T00:00:00"/>
    <x v="2"/>
    <s v="Precision Air"/>
  </r>
  <r>
    <s v="PRD-00085"/>
    <x v="16"/>
    <x v="4"/>
    <x v="4"/>
    <s v="Assembly-01"/>
    <s v="OP-010"/>
    <x v="0"/>
    <n v="164"/>
    <n v="124"/>
    <n v="8"/>
    <n v="2.6"/>
    <n v="27924.2"/>
    <n v="4.93"/>
    <n v="98.6"/>
    <n v="209"/>
    <d v="2026-01-17T00:00:00"/>
    <d v="2026-01-17T00:00:00"/>
    <x v="0"/>
    <s v="Global Aero Systems"/>
  </r>
  <r>
    <s v="PRD-00086"/>
    <x v="55"/>
    <x v="0"/>
    <x v="0"/>
    <s v="Autoclave-02"/>
    <s v="OP-012"/>
    <x v="2"/>
    <n v="223"/>
    <n v="196"/>
    <n v="14"/>
    <n v="7.3"/>
    <n v="73294.320000000007"/>
    <n v="7"/>
    <n v="182"/>
    <n v="206"/>
    <d v="2026-02-15T00:00:00"/>
    <d v="2026-02-17T00:00:00"/>
    <x v="1"/>
    <s v="SkyWorks"/>
  </r>
  <r>
    <s v="PRD-00087"/>
    <x v="9"/>
    <x v="3"/>
    <x v="3"/>
    <s v="Press-01"/>
    <s v="OP-029"/>
    <x v="0"/>
    <n v="167"/>
    <n v="188"/>
    <n v="9"/>
    <n v="2"/>
    <n v="17029.830000000002"/>
    <n v="7.19"/>
    <n v="129.41999999999999"/>
    <n v="256"/>
    <d v="2026-03-31T00:00:00"/>
    <d v="2026-03-29T00:00:00"/>
    <x v="0"/>
    <s v="NorthStar Aviation"/>
  </r>
  <r>
    <s v="PRD-00088"/>
    <x v="65"/>
    <x v="2"/>
    <x v="2"/>
    <s v="Repair-01"/>
    <s v="OP-008"/>
    <x v="0"/>
    <n v="121"/>
    <n v="96"/>
    <n v="6"/>
    <n v="5.6"/>
    <n v="10719.78"/>
    <n v="1.83"/>
    <n v="40.26"/>
    <n v="141"/>
    <d v="2026-06-11T00:00:00"/>
    <d v="2026-06-11T00:00:00"/>
    <x v="2"/>
    <s v="NorthStar Aviation"/>
  </r>
  <r>
    <s v="PRD-00089"/>
    <x v="9"/>
    <x v="5"/>
    <x v="5"/>
    <s v="Surface-01"/>
    <s v="OP-002"/>
    <x v="0"/>
    <n v="174"/>
    <n v="176"/>
    <n v="9"/>
    <n v="4"/>
    <n v="29639.05"/>
    <n v="5.29"/>
    <n v="126.96"/>
    <n v="175"/>
    <d v="2026-03-26T00:00:00"/>
    <d v="2026-03-26T00:00:00"/>
    <x v="0"/>
    <s v="Global Aero Systems"/>
  </r>
  <r>
    <s v="PRD-00090"/>
    <x v="66"/>
    <x v="0"/>
    <x v="0"/>
    <s v="CNC-01"/>
    <s v="OP-030"/>
    <x v="2"/>
    <n v="296"/>
    <n v="278"/>
    <n v="4"/>
    <n v="0.8"/>
    <n v="77948.55"/>
    <n v="8.43"/>
    <n v="202.32"/>
    <n v="279"/>
    <d v="2026-04-11T00:00:00"/>
    <d v="2026-04-15T00:00:00"/>
    <x v="0"/>
    <s v="Global Aero Systems"/>
  </r>
  <r>
    <s v="PRD-00091"/>
    <x v="16"/>
    <x v="2"/>
    <x v="2"/>
    <s v="Repair-02"/>
    <s v="OP-030"/>
    <x v="1"/>
    <n v="140"/>
    <n v="124"/>
    <n v="1"/>
    <n v="2"/>
    <n v="9526.6"/>
    <n v="4.3600000000000003"/>
    <n v="95.92"/>
    <n v="137"/>
    <d v="2026-01-18T00:00:00"/>
    <d v="2026-01-16T00:00:00"/>
    <x v="0"/>
    <s v="NorthStar Aviation"/>
  </r>
  <r>
    <s v="PRD-00092"/>
    <x v="67"/>
    <x v="5"/>
    <x v="5"/>
    <s v="Surface-01"/>
    <s v="OP-002"/>
    <x v="2"/>
    <n v="311"/>
    <n v="234"/>
    <n v="6"/>
    <n v="7.5"/>
    <n v="36089.75"/>
    <n v="7.18"/>
    <n v="129.24"/>
    <n v="344"/>
    <d v="2026-05-06T00:00:00"/>
    <d v="2026-05-06T00:00:00"/>
    <x v="0"/>
    <s v="Global Aero Systems"/>
  </r>
  <r>
    <s v="PRD-00093"/>
    <x v="0"/>
    <x v="5"/>
    <x v="5"/>
    <s v="Surface-01"/>
    <s v="OP-019"/>
    <x v="1"/>
    <n v="108"/>
    <n v="116"/>
    <n v="5"/>
    <n v="4.8"/>
    <n v="17709.61"/>
    <n v="4.09"/>
    <n v="89.98"/>
    <n v="177"/>
    <d v="2026-06-15T00:00:00"/>
    <d v="2026-06-16T00:00:00"/>
    <x v="0"/>
    <s v="NorthStar Aviation"/>
  </r>
  <r>
    <s v="PRD-00095"/>
    <x v="68"/>
    <x v="0"/>
    <x v="0"/>
    <s v="Autoclave-02"/>
    <s v="OP-023"/>
    <x v="1"/>
    <n v="141"/>
    <n v="145"/>
    <n v="8"/>
    <n v="6.9"/>
    <n v="48650.32"/>
    <n v="2.76"/>
    <n v="71.760000000000005"/>
    <n v="187"/>
    <d v="2026-04-14T00:00:00"/>
    <d v="2026-04-14T00:00:00"/>
    <x v="2"/>
    <s v="NorthStar Aviation"/>
  </r>
  <r>
    <s v="PRD-00096"/>
    <x v="69"/>
    <x v="0"/>
    <x v="0"/>
    <s v="CNC-01"/>
    <s v="OP-002"/>
    <x v="0"/>
    <n v="278"/>
    <n v="312"/>
    <n v="2"/>
    <n v="1.8"/>
    <n v="123159.7"/>
    <n v="7.98"/>
    <n v="175.56"/>
    <n v="369"/>
    <d v="2026-02-12T00:00:00"/>
    <d v="2026-02-16T00:00:00"/>
    <x v="0"/>
    <s v="NorthStar Aviation"/>
  </r>
  <r>
    <s v="PRD-00097"/>
    <x v="70"/>
    <x v="4"/>
    <x v="4"/>
    <s v="Assembly-01"/>
    <s v="OP-012"/>
    <x v="0"/>
    <n v="301"/>
    <n v="301"/>
    <n v="8"/>
    <n v="7.2"/>
    <n v="57266.04"/>
    <n v="8.59"/>
    <n v="206.16"/>
    <n v="347"/>
    <d v="2026-03-19T00:00:00"/>
    <d v="2026-03-23T00:00:00"/>
    <x v="2"/>
    <s v="SkyWorks"/>
  </r>
  <r>
    <s v="PRD-00098"/>
    <x v="71"/>
    <x v="2"/>
    <x v="2"/>
    <s v="Repair-01"/>
    <s v="OP-023"/>
    <x v="1"/>
    <n v="190"/>
    <n v="186"/>
    <n v="14"/>
    <n v="4.9000000000000004"/>
    <n v="14222.24"/>
    <n v="6.3"/>
    <n v="138.6"/>
    <n v="264"/>
    <d v="2026-02-02T00:00:00"/>
    <d v="2026-02-04T00:00:00"/>
    <x v="0"/>
    <s v="SkyWorks"/>
  </r>
  <r>
    <s v="PRD-00099"/>
    <x v="36"/>
    <x v="7"/>
    <x v="0"/>
    <s v="CNC-01"/>
    <s v="OP-005"/>
    <x v="0"/>
    <n v="302"/>
    <n v="335"/>
    <n v="20"/>
    <n v="3.9"/>
    <n v="101152.3"/>
    <n v="6.49"/>
    <n v="155.76"/>
    <n v="355"/>
    <d v="2026-05-05T00:00:00"/>
    <d v="2026-05-05T00:00:00"/>
    <x v="0"/>
    <s v="Global Aero Systems"/>
  </r>
  <r>
    <s v="PRD-00100"/>
    <x v="72"/>
    <x v="3"/>
    <x v="3"/>
    <s v="Press-01"/>
    <s v="OP-005"/>
    <x v="0"/>
    <n v="140"/>
    <n v="147"/>
    <n v="5"/>
    <n v="3.4"/>
    <n v="18184.5"/>
    <n v="5.04"/>
    <n v="110.88"/>
    <n v="195"/>
    <d v="2026-01-18T00:00:00"/>
    <d v="2026-01-17T00:00:00"/>
    <x v="1"/>
    <s v="SkyWorks"/>
  </r>
  <r>
    <s v="PRD-00101"/>
    <x v="73"/>
    <x v="4"/>
    <x v="4"/>
    <s v="Assembly-03"/>
    <s v="OP-010"/>
    <x v="0"/>
    <n v="151"/>
    <n v="124"/>
    <n v="1"/>
    <n v="6.6"/>
    <n v="24044.400000000001"/>
    <n v="3.9"/>
    <n v="85.8"/>
    <n v="177"/>
    <d v="2026-04-21T00:00:00"/>
    <d v="2026-04-21T00:00:00"/>
    <x v="1"/>
    <s v="Global Aero Systems"/>
  </r>
  <r>
    <s v="PRD-00102"/>
    <x v="74"/>
    <x v="0"/>
    <x v="0"/>
    <s v="Autoclave-01"/>
    <s v="OP-028"/>
    <x v="2"/>
    <n v="298"/>
    <n v="224"/>
    <n v="4"/>
    <n v="6.4"/>
    <n v="92638.49"/>
    <n v="9.23"/>
    <n v="203.06"/>
    <n v="346"/>
    <d v="2026-02-24T00:00:00"/>
    <d v="2026-02-24T00:00:00"/>
    <x v="0"/>
    <s v="NorthStar Aviation"/>
  </r>
  <r>
    <s v="PRD-00103"/>
    <x v="75"/>
    <x v="1"/>
    <x v="1"/>
    <s v="CNC-02"/>
    <s v="OP-010"/>
    <x v="1"/>
    <n v="131"/>
    <n v="138"/>
    <n v="3"/>
    <n v="4.4000000000000004"/>
    <n v="30546.880000000001"/>
    <n v="4.03"/>
    <n v="104.78"/>
    <n v="124"/>
    <d v="2026-04-14T00:00:00"/>
    <d v="2026-04-13T00:00:00"/>
    <x v="0"/>
    <s v="Global Aero Systems"/>
  </r>
  <r>
    <s v="PRD-00104"/>
    <x v="76"/>
    <x v="2"/>
    <x v="2"/>
    <s v="Repair-02"/>
    <s v="OP-030"/>
    <x v="2"/>
    <n v="290"/>
    <n v="280"/>
    <n v="4"/>
    <n v="2.9"/>
    <n v="21629.09"/>
    <n v="8.52"/>
    <n v="170.4"/>
    <n v="296"/>
    <d v="2026-05-19T00:00:00"/>
    <d v="2026-05-21T00:00:00"/>
    <x v="1"/>
    <s v="AeroTech UK"/>
  </r>
  <r>
    <s v="PRD-00105"/>
    <x v="43"/>
    <x v="3"/>
    <x v="3"/>
    <s v="Laser-01"/>
    <s v="OP-021"/>
    <x v="1"/>
    <n v="122"/>
    <n v="96"/>
    <n v="8"/>
    <n v="2"/>
    <n v="13160.6"/>
    <n v="2.38"/>
    <n v="42.84"/>
    <n v="146"/>
    <d v="2026-05-18T00:00:00"/>
    <d v="2026-05-18T00:00:00"/>
    <x v="0"/>
    <s v="Precision Air"/>
  </r>
  <r>
    <s v="PRD-00106"/>
    <x v="77"/>
    <x v="0"/>
    <x v="0"/>
    <s v="CNC-01"/>
    <s v="OP-021"/>
    <x v="0"/>
    <n v="244"/>
    <n v="193"/>
    <n v="17"/>
    <n v="1.4"/>
    <n v="69977.55"/>
    <n v="6.28"/>
    <n v="163.28"/>
    <n v="214"/>
    <d v="2026-05-19T00:00:00"/>
    <d v="2026-05-18T00:00:00"/>
    <x v="0"/>
    <s v="SkyWorks"/>
  </r>
  <r>
    <s v="PRD-00107"/>
    <x v="52"/>
    <x v="1"/>
    <x v="1"/>
    <s v="CNC-04"/>
    <s v="OP-023"/>
    <x v="2"/>
    <n v="186"/>
    <n v="183"/>
    <n v="1"/>
    <n v="8"/>
    <n v="44135.59"/>
    <n v="4.62"/>
    <n v="92.4"/>
    <n v="249"/>
    <d v="2026-06-22T00:00:00"/>
    <d v="2026-06-26T00:00:00"/>
    <x v="0"/>
    <s v="NorthStar Aviation"/>
  </r>
  <r>
    <s v="PRD-00108"/>
    <x v="39"/>
    <x v="2"/>
    <x v="2"/>
    <s v="Repair-02"/>
    <s v="OP-008"/>
    <x v="1"/>
    <n v="198"/>
    <n v="159"/>
    <n v="9"/>
    <n v="2.8"/>
    <n v="16780.849999999999"/>
    <n v="6.15"/>
    <n v="147.6"/>
    <n v="191"/>
    <d v="2026-04-30T00:00:00"/>
    <d v="2026-04-29T00:00:00"/>
    <x v="0"/>
    <s v="AeroTech UK"/>
  </r>
  <r>
    <s v="PRD-00109"/>
    <x v="35"/>
    <x v="5"/>
    <x v="5"/>
    <s v="Surface-01"/>
    <s v="OP-025"/>
    <x v="2"/>
    <n v="116"/>
    <n v="88"/>
    <n v="2"/>
    <n v="3.5"/>
    <n v="12212.71"/>
    <n v="3.41"/>
    <n v="68.2"/>
    <n v="159"/>
    <d v="2026-03-21T00:00:00"/>
    <d v="2026-03-22T00:00:00"/>
    <x v="0"/>
    <s v="Global Aero Systems"/>
  </r>
  <r>
    <s v="PRD-00110"/>
    <x v="78"/>
    <x v="5"/>
    <x v="5"/>
    <s v="Surface-02"/>
    <s v="OP-020"/>
    <x v="0"/>
    <n v="305"/>
    <n v="260"/>
    <n v="1"/>
    <n v="8.5"/>
    <n v="41870.6"/>
    <n v="6.02"/>
    <n v="132.44"/>
    <n v="277"/>
    <d v="2026-05-14T00:00:00"/>
    <d v="2026-05-14T00:00:00"/>
    <x v="2"/>
    <s v="Global Aero Systems"/>
  </r>
  <r>
    <s v="PRD-00111"/>
    <x v="70"/>
    <x v="7"/>
    <x v="0"/>
    <s v="Autoclave-01"/>
    <s v="OP-013"/>
    <x v="0"/>
    <n v="190"/>
    <n v="147"/>
    <n v="4"/>
    <n v="3.3"/>
    <n v="33232.639999999999"/>
    <n v="2.83"/>
    <n v="73.58"/>
    <n v="199"/>
    <d v="2026-03-22T00:00:00"/>
    <d v="2026-03-22T00:00:00"/>
    <x v="0"/>
    <s v="Global Aero Systems"/>
  </r>
  <r>
    <s v="PRD-00112"/>
    <x v="79"/>
    <x v="6"/>
    <x v="4"/>
    <s v="Assembly-03"/>
    <s v="OP-002"/>
    <x v="2"/>
    <n v="254"/>
    <n v="249"/>
    <n v="4"/>
    <n v="0.9"/>
    <n v="46904.65"/>
    <n v="7.82"/>
    <n v="172.04"/>
    <n v="250"/>
    <d v="2026-05-26T00:00:00"/>
    <d v="2026-05-28T00:00:00"/>
    <x v="1"/>
    <s v="AeroTech UK"/>
  </r>
  <r>
    <s v="PRD-00113"/>
    <x v="6"/>
    <x v="4"/>
    <x v="4"/>
    <s v="Assembly-02"/>
    <s v="OP-027"/>
    <x v="0"/>
    <n v="212"/>
    <n v="194"/>
    <n v="11"/>
    <n v="4.5999999999999996"/>
    <n v="37503.46"/>
    <n v="4.25"/>
    <n v="110.5"/>
    <n v="248"/>
    <d v="2026-02-16T00:00:00"/>
    <d v="2026-02-17T00:00:00"/>
    <x v="1"/>
    <s v="Precision Air"/>
  </r>
  <r>
    <s v="PRD-00114"/>
    <x v="80"/>
    <x v="6"/>
    <x v="4"/>
    <s v="Assembly-02"/>
    <s v="OP-019"/>
    <x v="1"/>
    <n v="288"/>
    <n v="209"/>
    <n v="7"/>
    <n v="1"/>
    <n v="33577.39"/>
    <n v="8.27"/>
    <n v="148.86000000000001"/>
    <n v="369"/>
    <d v="2026-05-12T00:00:00"/>
    <d v="2026-05-12T00:00:00"/>
    <x v="0"/>
    <s v="NorthStar Aviation"/>
  </r>
  <r>
    <s v="PRD-00115"/>
    <x v="76"/>
    <x v="2"/>
    <x v="2"/>
    <s v="Repair-01"/>
    <s v="OP-025"/>
    <x v="0"/>
    <n v="290"/>
    <n v="293"/>
    <n v="2"/>
    <n v="8.5"/>
    <n v="20202.75"/>
    <n v="7.48"/>
    <n v="149.6"/>
    <n v="355"/>
    <d v="2026-05-20T00:00:00"/>
    <d v="2026-05-22T00:00:00"/>
    <x v="1"/>
    <s v="Global Aero Systems"/>
  </r>
  <r>
    <s v="PRD-00116"/>
    <x v="53"/>
    <x v="3"/>
    <x v="3"/>
    <s v="Bender-01"/>
    <s v="OP-020"/>
    <x v="1"/>
    <n v="133"/>
    <n v="127"/>
    <n v="12"/>
    <n v="4.3"/>
    <n v="16000.94"/>
    <n v="3.69"/>
    <n v="95.94"/>
    <n v="180"/>
    <d v="2026-01-26T00:00:00"/>
    <d v="2026-01-27T00:00:00"/>
    <x v="0"/>
    <s v="NorthStar Aviation"/>
  </r>
  <r>
    <s v="PRD-00117"/>
    <x v="14"/>
    <x v="6"/>
    <x v="4"/>
    <s v="Assembly-03"/>
    <s v="OP-004"/>
    <x v="0"/>
    <n v="156"/>
    <n v="127"/>
    <n v="11"/>
    <n v="2.7"/>
    <n v="18886.86"/>
    <n v="4.43"/>
    <n v="97.46"/>
    <n v="238"/>
    <d v="2026-03-12T00:00:00"/>
    <d v="2026-03-12T00:00:00"/>
    <x v="0"/>
    <s v="Precision Air"/>
  </r>
  <r>
    <s v="PRD-00118"/>
    <x v="81"/>
    <x v="2"/>
    <x v="2"/>
    <s v="Repair-02"/>
    <s v="OP-009"/>
    <x v="0"/>
    <n v="277"/>
    <n v="295"/>
    <n v="9"/>
    <n v="2.6"/>
    <n v="28052.74"/>
    <n v="8.44"/>
    <n v="185.68"/>
    <n v="359"/>
    <d v="2026-04-13T00:00:00"/>
    <d v="2026-04-13T00:00:00"/>
    <x v="1"/>
    <s v="SkyWorks"/>
  </r>
  <r>
    <s v="PRD-00119"/>
    <x v="6"/>
    <x v="0"/>
    <x v="0"/>
    <s v="CNC-01"/>
    <s v="OP-001"/>
    <x v="0"/>
    <n v="269"/>
    <n v="261"/>
    <n v="7"/>
    <n v="6"/>
    <n v="88625.8"/>
    <n v="5.03"/>
    <n v="120.72"/>
    <n v="313"/>
    <d v="2026-02-14T00:00:00"/>
    <d v="2026-02-13T00:00:00"/>
    <x v="0"/>
    <s v="NorthStar Aviation"/>
  </r>
  <r>
    <s v="PRD-00120"/>
    <x v="82"/>
    <x v="5"/>
    <x v="5"/>
    <s v="Surface-02"/>
    <s v="OP-014"/>
    <x v="2"/>
    <n v="246"/>
    <n v="198"/>
    <n v="18"/>
    <n v="2.9"/>
    <n v="33026.879999999997"/>
    <n v="3.99"/>
    <n v="103.74"/>
    <n v="265"/>
    <d v="2026-04-25T00:00:00"/>
    <d v="2026-04-23T00:00:00"/>
    <x v="0"/>
    <s v="AeroTech UK"/>
  </r>
  <r>
    <s v="PRD-00121"/>
    <x v="73"/>
    <x v="5"/>
    <x v="5"/>
    <s v="Surface-01"/>
    <s v="OP-028"/>
    <x v="0"/>
    <n v="319"/>
    <n v="332"/>
    <n v="27"/>
    <n v="2.6"/>
    <n v="37402.17"/>
    <n v="10.78"/>
    <n v="237.16"/>
    <n v="351"/>
    <d v="2026-04-21T00:00:00"/>
    <d v="2026-04-25T00:00:00"/>
    <x v="0"/>
    <s v="Global Aero Systems"/>
  </r>
  <r>
    <s v="PRD-00122"/>
    <x v="27"/>
    <x v="1"/>
    <x v="1"/>
    <s v="CNC-02"/>
    <s v="OP-017"/>
    <x v="1"/>
    <n v="164"/>
    <n v="129"/>
    <n v="5"/>
    <n v="2.2999999999999998"/>
    <n v="27815.05"/>
    <n v="4.7699999999999996"/>
    <n v="124.02"/>
    <n v="173"/>
    <d v="2026-03-15T00:00:00"/>
    <d v="2026-03-17T00:00:00"/>
    <x v="2"/>
    <s v="AeroTech UK"/>
  </r>
  <r>
    <s v="PRD-00123"/>
    <x v="83"/>
    <x v="0"/>
    <x v="0"/>
    <s v="Autoclave-01"/>
    <s v="OP-021"/>
    <x v="1"/>
    <n v="115"/>
    <n v="106"/>
    <n v="9"/>
    <n v="0.1"/>
    <n v="32420.3"/>
    <n v="2.59"/>
    <n v="56.98"/>
    <n v="152"/>
    <d v="2026-04-24T00:00:00"/>
    <d v="2026-04-22T00:00:00"/>
    <x v="0"/>
    <s v="NorthStar Aviation"/>
  </r>
  <r>
    <s v="PRD-00124"/>
    <x v="53"/>
    <x v="0"/>
    <x v="0"/>
    <s v="Autoclave-02"/>
    <s v="OP-005"/>
    <x v="1"/>
    <n v="158"/>
    <n v="124"/>
    <n v="8"/>
    <n v="8.3000000000000007"/>
    <n v="49069.73"/>
    <n v="4.29"/>
    <n v="94.38"/>
    <n v="212"/>
    <d v="2026-01-27T00:00:00"/>
    <d v="2026-01-27T00:00:00"/>
    <x v="0"/>
    <s v="NorthStar Aviation"/>
  </r>
  <r>
    <s v="PRD-00125"/>
    <x v="84"/>
    <x v="4"/>
    <x v="4"/>
    <s v="Assembly-02"/>
    <s v="OP-023"/>
    <x v="1"/>
    <n v="259"/>
    <n v="247"/>
    <n v="11"/>
    <n v="4.8"/>
    <n v="48380.25"/>
    <n v="5.91"/>
    <n v="153.66"/>
    <n v="239"/>
    <d v="2026-05-07T00:00:00"/>
    <d v="2026-05-11T00:00:00"/>
    <x v="1"/>
    <s v="AeroTech UK"/>
  </r>
  <r>
    <s v="PRD-00126"/>
    <x v="85"/>
    <x v="0"/>
    <x v="0"/>
    <s v="Autoclave-01"/>
    <s v="OP-029"/>
    <x v="0"/>
    <n v="292"/>
    <n v="279"/>
    <n v="14"/>
    <n v="5.2"/>
    <n v="75331.100000000006"/>
    <n v="8.51"/>
    <n v="153.18"/>
    <n v="304"/>
    <d v="2026-06-05T00:00:00"/>
    <d v="2026-06-09T00:00:00"/>
    <x v="0"/>
    <s v="Global Aero Systems"/>
  </r>
  <r>
    <s v="PRD-00127"/>
    <x v="86"/>
    <x v="5"/>
    <x v="5"/>
    <s v="Surface-01"/>
    <s v="OP-014"/>
    <x v="1"/>
    <n v="211"/>
    <n v="189"/>
    <n v="10"/>
    <n v="5"/>
    <n v="27209.84"/>
    <n v="3.5"/>
    <n v="77"/>
    <n v="171"/>
    <d v="2026-01-20T00:00:00"/>
    <d v="2026-01-19T00:00:00"/>
    <x v="0"/>
    <s v="AeroTech UK"/>
  </r>
  <r>
    <s v="PRD-00128"/>
    <x v="13"/>
    <x v="7"/>
    <x v="0"/>
    <s v="Autoclave-01"/>
    <s v="OP-013"/>
    <x v="2"/>
    <n v="319"/>
    <n v="294"/>
    <n v="9"/>
    <n v="1.6"/>
    <n v="70699.789999999994"/>
    <n v="10.44"/>
    <n v="250.56"/>
    <n v="374"/>
    <d v="2026-05-27T00:00:00"/>
    <d v="2026-05-31T00:00:00"/>
    <x v="2"/>
    <s v="Precision Air"/>
  </r>
  <r>
    <s v="PRD-00129"/>
    <x v="69"/>
    <x v="4"/>
    <x v="4"/>
    <s v="Assembly-01"/>
    <s v="OP-013"/>
    <x v="2"/>
    <n v="125"/>
    <n v="143"/>
    <n v="5"/>
    <n v="1.1000000000000001"/>
    <n v="36538.959999999999"/>
    <n v="5.17"/>
    <n v="113.74"/>
    <n v="203"/>
    <d v="2026-02-16T00:00:00"/>
    <d v="2026-02-18T00:00:00"/>
    <x v="1"/>
    <s v="NorthStar Aviation"/>
  </r>
  <r>
    <s v="PRD-00130"/>
    <x v="87"/>
    <x v="4"/>
    <x v="4"/>
    <s v="Assembly-01"/>
    <s v="OP-020"/>
    <x v="2"/>
    <n v="150"/>
    <n v="120"/>
    <n v="10"/>
    <n v="6.9"/>
    <n v="20816.919999999998"/>
    <n v="3.93"/>
    <n v="70.739999999999995"/>
    <n v="171"/>
    <d v="2026-05-03T00:00:00"/>
    <d v="2026-05-02T00:00:00"/>
    <x v="0"/>
    <s v="Global Aero Systems"/>
  </r>
  <r>
    <s v="PRD-00131"/>
    <x v="88"/>
    <x v="7"/>
    <x v="0"/>
    <s v="Autoclave-01"/>
    <s v="OP-020"/>
    <x v="0"/>
    <n v="269"/>
    <n v="198"/>
    <n v="8"/>
    <n v="4.9000000000000004"/>
    <n v="61902.75"/>
    <n v="4.2300000000000004"/>
    <n v="93.06"/>
    <n v="288"/>
    <d v="2026-06-14T00:00:00"/>
    <d v="2026-06-15T00:00:00"/>
    <x v="1"/>
    <m/>
  </r>
  <r>
    <s v="PRD-00132"/>
    <x v="49"/>
    <x v="6"/>
    <x v="4"/>
    <s v="Assembly-01"/>
    <s v="OP-012"/>
    <x v="0"/>
    <n v="249"/>
    <n v="235"/>
    <n v="9"/>
    <n v="2.5"/>
    <n v="42902.43"/>
    <n v="8.3800000000000008"/>
    <n v="167.6"/>
    <n v="318"/>
    <d v="2026-03-12T00:00:00"/>
    <d v="2026-03-16T00:00:00"/>
    <x v="0"/>
    <s v="Global Aero Systems"/>
  </r>
  <r>
    <s v="PRD-00133"/>
    <x v="76"/>
    <x v="4"/>
    <x v="4"/>
    <s v="Assembly-03"/>
    <s v="OP-018"/>
    <x v="0"/>
    <n v="186"/>
    <n v="166"/>
    <n v="5"/>
    <n v="1.7"/>
    <n v="31323.47"/>
    <n v="3.89"/>
    <n v="77.8"/>
    <n v="264"/>
    <d v="2026-05-17T00:00:00"/>
    <d v="2026-05-19T00:00:00"/>
    <x v="2"/>
    <s v="NorthStar Aviation"/>
  </r>
  <r>
    <s v="PRD-00134"/>
    <x v="28"/>
    <x v="1"/>
    <x v="1"/>
    <s v="CNC-03"/>
    <s v="OP-007"/>
    <x v="0"/>
    <n v="132"/>
    <n v="113"/>
    <n v="1"/>
    <n v="4"/>
    <n v="24867.9"/>
    <n v="4.28"/>
    <n v="77.040000000000006"/>
    <n v="160"/>
    <d v="2026-04-18T00:00:00"/>
    <d v="2026-04-16T00:00:00"/>
    <x v="0"/>
    <s v="Precision Air"/>
  </r>
  <r>
    <s v="PRD-00135"/>
    <x v="89"/>
    <x v="5"/>
    <x v="5"/>
    <s v="Surface-01"/>
    <s v="OP-030"/>
    <x v="2"/>
    <n v="302"/>
    <n v="335"/>
    <n v="10"/>
    <n v="8.1999999999999993"/>
    <n v="39337.49"/>
    <n v="11.99"/>
    <n v="287.76"/>
    <n v="324"/>
    <d v="2026-03-08T00:00:00"/>
    <d v="2026-03-08T00:00:00"/>
    <x v="2"/>
    <s v="Precision Air"/>
  </r>
  <r>
    <s v="PRD-00136"/>
    <x v="62"/>
    <x v="6"/>
    <x v="4"/>
    <s v="Assembly-02"/>
    <s v="OP-014"/>
    <x v="2"/>
    <n v="199"/>
    <n v="188"/>
    <n v="7"/>
    <n v="2.4"/>
    <n v="32956.93"/>
    <n v="3.83"/>
    <n v="91.92"/>
    <n v="240"/>
    <d v="2026-03-29T00:00:00"/>
    <d v="2026-03-30T00:00:00"/>
    <x v="0"/>
    <s v="Precision Air"/>
  </r>
  <r>
    <s v="PRD-00137"/>
    <x v="19"/>
    <x v="3"/>
    <x v="3"/>
    <s v="Press-01"/>
    <s v="OP-025"/>
    <x v="1"/>
    <n v="146"/>
    <n v="139"/>
    <n v="8"/>
    <n v="6.5"/>
    <n v="13894.88"/>
    <n v="3.27"/>
    <n v="85.02"/>
    <n v="168"/>
    <d v="2026-03-07T00:00:00"/>
    <d v="2026-03-08T00:00:00"/>
    <x v="0"/>
    <s v="Global Aero Systems"/>
  </r>
  <r>
    <s v="PRD-00138"/>
    <x v="87"/>
    <x v="3"/>
    <x v="3"/>
    <s v="Bender-01"/>
    <s v="OP-025"/>
    <x v="2"/>
    <n v="283"/>
    <n v="246"/>
    <n v="4"/>
    <n v="4.9000000000000004"/>
    <n v="28281.57"/>
    <n v="10.27"/>
    <n v="184.86"/>
    <n v="377"/>
    <d v="2026-04-30T00:00:00"/>
    <d v="2026-04-29T00:00:00"/>
    <x v="0"/>
    <s v="Global Aero Systems"/>
  </r>
  <r>
    <s v="PRD-00139"/>
    <x v="6"/>
    <x v="1"/>
    <x v="1"/>
    <s v="CNC-02"/>
    <s v="OP-018"/>
    <x v="1"/>
    <n v="261"/>
    <n v="204"/>
    <n v="5"/>
    <n v="4.0999999999999996"/>
    <n v="40702.49"/>
    <n v="8.24"/>
    <n v="197.76"/>
    <n v="345"/>
    <d v="2026-02-07T00:00:00"/>
    <d v="2026-02-05T00:00:00"/>
    <x v="1"/>
    <s v="AeroTech UK"/>
  </r>
  <r>
    <s v="PRD-00140"/>
    <x v="90"/>
    <x v="6"/>
    <x v="4"/>
    <s v="Assembly-03"/>
    <s v="OP-020"/>
    <x v="0"/>
    <n v="153"/>
    <n v="111"/>
    <n v="8"/>
    <n v="6.1"/>
    <n v="23880.61"/>
    <n v="2.2799999999999998"/>
    <n v="41.04"/>
    <n v="247"/>
    <d v="2026-01-09T00:00:00"/>
    <d v="2026-01-09T00:00:00"/>
    <x v="0"/>
    <s v="SkyWorks"/>
  </r>
  <r>
    <s v="PRD-00141"/>
    <x v="11"/>
    <x v="6"/>
    <x v="4"/>
    <s v="Assembly-02"/>
    <s v="OP-013"/>
    <x v="0"/>
    <n v="100"/>
    <n v="88"/>
    <n v="3"/>
    <n v="5.0999999999999996"/>
    <n v="16752.16"/>
    <n v="3.03"/>
    <n v="54.54"/>
    <n v="68"/>
    <d v="2026-04-04T00:00:00"/>
    <d v="2026-04-06T00:00:00"/>
    <x v="2"/>
    <s v="Global Aero Systems"/>
  </r>
  <r>
    <s v="PRD-00142"/>
    <x v="86"/>
    <x v="7"/>
    <x v="0"/>
    <s v="CNC-01"/>
    <s v="OP-016"/>
    <x v="1"/>
    <n v="123"/>
    <n v="92"/>
    <n v="7"/>
    <n v="5.8"/>
    <n v="25991.02"/>
    <n v="3.81"/>
    <n v="99.06"/>
    <n v="93"/>
    <d v="2026-01-20T00:00:00"/>
    <d v="2026-01-20T00:00:00"/>
    <x v="1"/>
    <s v="AeroTech UK"/>
  </r>
  <r>
    <s v="PRD-00143"/>
    <x v="91"/>
    <x v="6"/>
    <x v="4"/>
    <s v="Assembly-03"/>
    <s v="OP-008"/>
    <x v="0"/>
    <n v="224"/>
    <n v="224"/>
    <n v="4"/>
    <n v="7.7"/>
    <n v="29763.68"/>
    <n v="4.8099999999999996"/>
    <n v="115.44"/>
    <n v="203"/>
    <d v="2026-01-26T00:00:00"/>
    <d v="2026-01-26T00:00:00"/>
    <x v="1"/>
    <s v="Global Aero Systems"/>
  </r>
  <r>
    <s v="PRD-00144"/>
    <x v="92"/>
    <x v="4"/>
    <x v="4"/>
    <s v="Assembly-02"/>
    <s v="OP-020"/>
    <x v="0"/>
    <n v="273"/>
    <n v="283"/>
    <n v="21"/>
    <n v="6.2"/>
    <n v="51171.31"/>
    <n v="7.44"/>
    <n v="133.91999999999999"/>
    <n v="344"/>
    <d v="2026-06-28T00:00:00"/>
    <d v="2026-06-27T00:00:00"/>
    <x v="0"/>
    <s v="Precision Air"/>
  </r>
  <r>
    <s v="PRD-00145"/>
    <x v="73"/>
    <x v="4"/>
    <x v="4"/>
    <s v="Assembly-01"/>
    <s v="OP-023"/>
    <x v="2"/>
    <n v="242"/>
    <n v="202"/>
    <n v="19"/>
    <n v="4.4000000000000004"/>
    <n v="42831.89"/>
    <n v="5.73"/>
    <n v="148.97999999999999"/>
    <n v="299"/>
    <d v="2026-04-15T00:00:00"/>
    <d v="2026-04-15T00:00:00"/>
    <x v="0"/>
    <s v="AeroTech UK"/>
  </r>
  <r>
    <s v="PRD-00146"/>
    <x v="35"/>
    <x v="3"/>
    <x v="3"/>
    <s v="Laser-01"/>
    <s v="OP-003"/>
    <x v="2"/>
    <n v="262"/>
    <n v="276"/>
    <n v="5"/>
    <n v="3.5"/>
    <n v="27429.27"/>
    <n v="11.21"/>
    <n v="269.04000000000002"/>
    <n v="314"/>
    <d v="2026-03-16T00:00:00"/>
    <d v="2026-03-15T00:00:00"/>
    <x v="0"/>
    <s v="Global Aero Systems"/>
  </r>
  <r>
    <s v="PRD-00147"/>
    <x v="36"/>
    <x v="2"/>
    <x v="2"/>
    <s v="Repair-01"/>
    <s v="OP-017"/>
    <x v="2"/>
    <n v="86"/>
    <n v="65"/>
    <n v="3"/>
    <n v="5.4"/>
    <n v="7240.16"/>
    <n v="1.19"/>
    <n v="28.56"/>
    <n v="149"/>
    <d v="2026-04-28T00:00:00"/>
    <d v="2026-04-28T00:00:00"/>
    <x v="1"/>
    <s v="Global Aero Systems"/>
  </r>
  <r>
    <s v="PRD-00148"/>
    <x v="93"/>
    <x v="3"/>
    <x v="3"/>
    <s v="Laser-01"/>
    <s v="OP-020"/>
    <x v="2"/>
    <n v="157"/>
    <n v="131"/>
    <n v="2"/>
    <n v="1.5"/>
    <n v="13389.56"/>
    <n v="4.82"/>
    <n v="106.04"/>
    <n v="181"/>
    <d v="2026-02-18T00:00:00"/>
    <d v="2026-02-22T00:00:00"/>
    <x v="1"/>
    <s v="Global Aero Systems"/>
  </r>
  <r>
    <s v="PRD-00149"/>
    <x v="25"/>
    <x v="3"/>
    <x v="3"/>
    <s v="Laser-01"/>
    <s v="OP-023"/>
    <x v="2"/>
    <n v="81"/>
    <n v="91"/>
    <n v="3"/>
    <n v="5.6"/>
    <n v="11319.21"/>
    <n v="2.37"/>
    <n v="61.62"/>
    <n v="84"/>
    <d v="2026-02-03T00:00:00"/>
    <d v="2026-02-04T00:00:00"/>
    <x v="1"/>
    <s v="Global Aero Systems"/>
  </r>
  <r>
    <s v="PRD-00150"/>
    <x v="94"/>
    <x v="3"/>
    <x v="3"/>
    <s v="Laser-01"/>
    <s v="OP-018"/>
    <x v="2"/>
    <n v="161"/>
    <n v="136"/>
    <n v="9"/>
    <n v="4.4000000000000004"/>
    <n v="15281.23"/>
    <n v="3.68"/>
    <n v="88.32"/>
    <n v="214"/>
    <d v="2026-03-25T00:00:00"/>
    <d v="2026-03-25T00:00:00"/>
    <x v="1"/>
    <s v="Precision Air"/>
  </r>
  <r>
    <s v="PRD-00151"/>
    <x v="1"/>
    <x v="5"/>
    <x v="5"/>
    <s v="Surface-01"/>
    <s v="OP-023"/>
    <x v="1"/>
    <n v="192"/>
    <n v="204"/>
    <n v="16"/>
    <n v="0.6"/>
    <n v="35386.239999999998"/>
    <n v="6.97"/>
    <n v="139.4"/>
    <n v="229"/>
    <d v="2026-01-12T00:00:00"/>
    <d v="2026-01-12T00:00:00"/>
    <x v="0"/>
    <s v="Global Aero Systems"/>
  </r>
  <r>
    <s v="PRD-00152"/>
    <x v="95"/>
    <x v="5"/>
    <x v="5"/>
    <s v="Surface-02"/>
    <s v="OP-025"/>
    <x v="2"/>
    <n v="229"/>
    <n v="204"/>
    <n v="10"/>
    <n v="8.3000000000000007"/>
    <n v="31522.12"/>
    <n v="7.54"/>
    <n v="165.88"/>
    <n v="326"/>
    <d v="2026-01-30T00:00:00"/>
    <d v="2026-01-29T00:00:00"/>
    <x v="0"/>
    <s v="SkyWorks"/>
  </r>
  <r>
    <s v="PRD-00153"/>
    <x v="96"/>
    <x v="7"/>
    <x v="0"/>
    <s v="CNC-01"/>
    <s v="OP-012"/>
    <x v="1"/>
    <n v="245"/>
    <n v="247"/>
    <n v="10"/>
    <n v="6.8"/>
    <n v="75487.259999999995"/>
    <n v="4.51"/>
    <n v="99.22"/>
    <n v="261"/>
    <d v="2026-02-22T00:00:00"/>
    <d v="2026-02-22T00:00:00"/>
    <x v="2"/>
    <s v="Global Aero Systems"/>
  </r>
  <r>
    <s v="PRD-00154"/>
    <x v="92"/>
    <x v="3"/>
    <x v="3"/>
    <s v="Laser-01"/>
    <s v="OP-017"/>
    <x v="1"/>
    <n v="86"/>
    <n v="79"/>
    <n v="2"/>
    <n v="8.3000000000000007"/>
    <n v="8597.32"/>
    <n v="2.81"/>
    <n v="61.82"/>
    <n v="129"/>
    <d v="2026-06-30T00:00:00"/>
    <d v="2026-07-04T00:00:00"/>
    <x v="0"/>
    <m/>
  </r>
  <r>
    <s v="PRD-00155"/>
    <x v="97"/>
    <x v="0"/>
    <x v="0"/>
    <s v="Autoclave-02"/>
    <s v="OP-006"/>
    <x v="1"/>
    <n v="264"/>
    <n v="269"/>
    <n v="9"/>
    <n v="2.7"/>
    <n v="86864.05"/>
    <n v="10.32"/>
    <n v="185.76"/>
    <n v="266"/>
    <d v="2026-05-07T00:00:00"/>
    <d v="2026-05-07T00:00:00"/>
    <x v="1"/>
    <s v="Precision Air"/>
  </r>
  <r>
    <s v="PRD-00156"/>
    <x v="26"/>
    <x v="5"/>
    <x v="5"/>
    <s v="Surface-01"/>
    <s v="OP-001"/>
    <x v="0"/>
    <n v="284"/>
    <n v="253"/>
    <n v="5"/>
    <n v="5.8"/>
    <n v="30819.43"/>
    <n v="8.2799999999999994"/>
    <n v="165.6"/>
    <n v="359"/>
    <d v="2026-05-01T00:00:00"/>
    <d v="2026-05-03T00:00:00"/>
    <x v="2"/>
    <s v="NorthStar Aviation"/>
  </r>
  <r>
    <s v="PRD-00157"/>
    <x v="59"/>
    <x v="6"/>
    <x v="4"/>
    <s v="Assembly-03"/>
    <s v="OP-021"/>
    <x v="1"/>
    <n v="287"/>
    <n v="304"/>
    <n v="17"/>
    <n v="7.2"/>
    <n v="51858.31"/>
    <n v="6.91"/>
    <n v="124.38"/>
    <n v="314"/>
    <d v="2026-03-06T00:00:00"/>
    <d v="2026-03-10T00:00:00"/>
    <x v="1"/>
    <s v="Precision Air"/>
  </r>
  <r>
    <s v="PRD-00158"/>
    <x v="28"/>
    <x v="2"/>
    <x v="2"/>
    <s v="Repair-01"/>
    <s v="OP-004"/>
    <x v="2"/>
    <n v="169"/>
    <n v="147"/>
    <n v="6"/>
    <n v="1.6"/>
    <n v="15538.22"/>
    <n v="5.89"/>
    <n v="153.13999999999999"/>
    <n v="150"/>
    <d v="2026-04-22T00:00:00"/>
    <d v="2026-04-22T00:00:00"/>
    <x v="0"/>
    <s v="SkyWorks"/>
  </r>
  <r>
    <s v="PRD-00159"/>
    <x v="98"/>
    <x v="3"/>
    <x v="3"/>
    <s v="Laser-01"/>
    <s v="OP-010"/>
    <x v="2"/>
    <n v="257"/>
    <n v="200"/>
    <n v="7"/>
    <n v="5.4"/>
    <n v="23630.6"/>
    <n v="5.94"/>
    <n v="154.44"/>
    <n v="261"/>
    <d v="2026-02-09T00:00:00"/>
    <d v="2026-02-09T00:00:00"/>
    <x v="2"/>
    <s v="NorthStar Aviation"/>
  </r>
  <r>
    <s v="PRD-00160"/>
    <x v="94"/>
    <x v="5"/>
    <x v="5"/>
    <s v="Surface-01"/>
    <s v="OP-023"/>
    <x v="1"/>
    <n v="301"/>
    <n v="263"/>
    <n v="1"/>
    <n v="1.2"/>
    <n v="47035.67"/>
    <n v="7.92"/>
    <n v="190.08"/>
    <n v="365"/>
    <d v="2026-04-03T00:00:00"/>
    <d v="2026-04-07T00:00:00"/>
    <x v="2"/>
    <s v="Global Aero Systems"/>
  </r>
  <r>
    <s v="PRD-00161"/>
    <x v="96"/>
    <x v="0"/>
    <x v="0"/>
    <s v="CNC-01"/>
    <s v="OP-004"/>
    <x v="1"/>
    <n v="87"/>
    <n v="92"/>
    <n v="2"/>
    <n v="0.3"/>
    <n v="25324.22"/>
    <n v="3.38"/>
    <n v="87.88"/>
    <n v="176"/>
    <d v="2026-02-22T00:00:00"/>
    <d v="2026-02-21T00:00:00"/>
    <x v="1"/>
    <s v="Precision Air"/>
  </r>
  <r>
    <s v="PRD-00162"/>
    <x v="99"/>
    <x v="7"/>
    <x v="0"/>
    <s v="CNC-01"/>
    <s v="OP-015"/>
    <x v="2"/>
    <n v="192"/>
    <n v="183"/>
    <n v="17"/>
    <n v="0.9"/>
    <n v="58279.88"/>
    <n v="4.5999999999999996"/>
    <n v="82.8"/>
    <n v="267"/>
    <d v="2026-04-10T00:00:00"/>
    <d v="2026-04-11T00:00:00"/>
    <x v="0"/>
    <s v="NorthStar Aviation"/>
  </r>
  <r>
    <s v="PRD-00163"/>
    <x v="100"/>
    <x v="4"/>
    <x v="4"/>
    <s v="Assembly-03"/>
    <s v="OP-023"/>
    <x v="1"/>
    <n v="236"/>
    <n v="234"/>
    <n v="4"/>
    <n v="1.3"/>
    <n v="38578"/>
    <n v="4.55"/>
    <n v="100.1"/>
    <n v="332"/>
    <d v="2026-03-01T00:00:00"/>
    <d v="2026-03-01T00:00:00"/>
    <x v="0"/>
    <s v="SkyWorks"/>
  </r>
  <r>
    <s v="PRD-00164"/>
    <x v="101"/>
    <x v="6"/>
    <x v="4"/>
    <s v="Assembly-03"/>
    <s v="OP-027"/>
    <x v="2"/>
    <n v="310"/>
    <n v="313"/>
    <n v="4"/>
    <n v="8.6999999999999993"/>
    <n v="67037.06"/>
    <n v="13.09"/>
    <n v="261.8"/>
    <n v="303"/>
    <d v="2026-06-01T00:00:00"/>
    <d v="2026-06-01T00:00:00"/>
    <x v="0"/>
    <s v="Global Aero Systems"/>
  </r>
  <r>
    <s v="PRD-00165"/>
    <x v="80"/>
    <x v="3"/>
    <x v="3"/>
    <s v="Bender-01"/>
    <s v="OP-011"/>
    <x v="0"/>
    <n v="241"/>
    <n v="201"/>
    <n v="8"/>
    <n v="4.0999999999999996"/>
    <n v="27266.91"/>
    <n v="4.07"/>
    <n v="105.82"/>
    <n v="272"/>
    <d v="2026-05-13T00:00:00"/>
    <d v="2026-05-17T00:00:00"/>
    <x v="2"/>
    <s v="AeroTech UK"/>
  </r>
  <r>
    <s v="PRD-00166"/>
    <x v="2"/>
    <x v="5"/>
    <x v="5"/>
    <s v="Surface-02"/>
    <s v="OP-028"/>
    <x v="1"/>
    <n v="297"/>
    <n v="221"/>
    <n v="11"/>
    <n v="2"/>
    <n v="28401.52"/>
    <n v="5.4"/>
    <n v="118.8"/>
    <n v="343"/>
    <d v="2026-02-03T00:00:00"/>
    <d v="2026-02-03T00:00:00"/>
    <x v="1"/>
    <s v="SkyWorks"/>
  </r>
  <r>
    <s v="PRD-00167"/>
    <x v="7"/>
    <x v="7"/>
    <x v="0"/>
    <s v="Autoclave-01"/>
    <s v="OP-028"/>
    <x v="1"/>
    <n v="105"/>
    <n v="103"/>
    <n v="8"/>
    <n v="0.1"/>
    <n v="28812.76"/>
    <n v="2.98"/>
    <n v="71.52"/>
    <n v="116"/>
    <d v="2026-06-28T00:00:00"/>
    <d v="2026-06-28T00:00:00"/>
    <x v="0"/>
    <s v="AeroTech UK"/>
  </r>
  <r>
    <s v="PRD-00168"/>
    <x v="23"/>
    <x v="4"/>
    <x v="4"/>
    <s v="Assembly-02"/>
    <s v="OP-001"/>
    <x v="2"/>
    <n v="101"/>
    <n v="88"/>
    <n v="7"/>
    <n v="1.5"/>
    <n v="16063.02"/>
    <n v="3.06"/>
    <n v="61.2"/>
    <n v="170"/>
    <d v="2026-06-29T00:00:00"/>
    <d v="2026-06-28T00:00:00"/>
    <x v="0"/>
    <s v="Global Aero Systems"/>
  </r>
  <r>
    <s v="PRD-00169"/>
    <x v="91"/>
    <x v="3"/>
    <x v="3"/>
    <s v="Bender-01"/>
    <s v="OP-003"/>
    <x v="0"/>
    <n v="137"/>
    <n v="129"/>
    <n v="5"/>
    <n v="0.1"/>
    <n v="12848.3"/>
    <n v="4.99"/>
    <n v="99.8"/>
    <n v="219"/>
    <d v="2026-01-23T00:00:00"/>
    <d v="2026-01-23T00:00:00"/>
    <x v="2"/>
    <s v="AeroTech UK"/>
  </r>
  <r>
    <s v="PRD-00170"/>
    <x v="64"/>
    <x v="4"/>
    <x v="4"/>
    <s v="Assembly-02"/>
    <s v="OP-021"/>
    <x v="2"/>
    <n v="305"/>
    <n v="258"/>
    <n v="10"/>
    <n v="7.3"/>
    <n v="60783.69"/>
    <n v="8.84"/>
    <n v="159.12"/>
    <n v="400"/>
    <d v="2026-02-07T00:00:00"/>
    <d v="2026-02-05T00:00:00"/>
    <x v="1"/>
    <s v="Global Aero Systems"/>
  </r>
  <r>
    <s v="PRD-00171"/>
    <x v="31"/>
    <x v="1"/>
    <x v="1"/>
    <s v="CNC-04"/>
    <s v="OP-026"/>
    <x v="2"/>
    <n v="271"/>
    <n v="212"/>
    <n v="8"/>
    <n v="6.2"/>
    <n v="48686"/>
    <n v="4.33"/>
    <n v="77.94"/>
    <n v="329"/>
    <d v="2026-04-07T00:00:00"/>
    <d v="2026-04-09T00:00:00"/>
    <x v="0"/>
    <s v="NorthStar Aviation"/>
  </r>
  <r>
    <s v="PRD-00172"/>
    <x v="102"/>
    <x v="0"/>
    <x v="0"/>
    <s v="Autoclave-01"/>
    <s v="OP-010"/>
    <x v="0"/>
    <n v="221"/>
    <n v="216"/>
    <n v="15"/>
    <n v="2.6"/>
    <n v="70795.19"/>
    <n v="8.2799999999999994"/>
    <n v="182.16"/>
    <n v="233"/>
    <d v="2026-03-22T00:00:00"/>
    <d v="2026-03-22T00:00:00"/>
    <x v="2"/>
    <s v="AeroTech UK"/>
  </r>
  <r>
    <s v="PRD-00173"/>
    <x v="41"/>
    <x v="5"/>
    <x v="5"/>
    <s v="Surface-02"/>
    <s v="OP-018"/>
    <x v="0"/>
    <n v="108"/>
    <n v="88"/>
    <n v="5"/>
    <n v="0.6"/>
    <n v="12460.26"/>
    <n v="2.35"/>
    <n v="51.7"/>
    <n v="101"/>
    <d v="2026-03-11T00:00:00"/>
    <d v="2026-03-13T00:00:00"/>
    <x v="0"/>
    <s v="NorthStar Aviation"/>
  </r>
  <r>
    <s v="PRD-00174"/>
    <x v="67"/>
    <x v="0"/>
    <x v="0"/>
    <s v="Autoclave-01"/>
    <s v="OP-021"/>
    <x v="0"/>
    <n v="230"/>
    <n v="172"/>
    <n v="4"/>
    <n v="0.4"/>
    <n v="50519.77"/>
    <n v="5.19"/>
    <n v="134.94"/>
    <n v="296"/>
    <d v="2026-05-09T00:00:00"/>
    <d v="2026-05-11T00:00:00"/>
    <x v="0"/>
    <s v="Precision Air"/>
  </r>
  <r>
    <s v="PRD-00175"/>
    <x v="103"/>
    <x v="3"/>
    <x v="3"/>
    <s v="Laser-01"/>
    <s v="OP-008"/>
    <x v="2"/>
    <n v="101"/>
    <n v="86"/>
    <n v="4"/>
    <n v="1.8"/>
    <n v="11332.61"/>
    <n v="2.35"/>
    <n v="42.3"/>
    <n v="140"/>
    <d v="2026-06-15T00:00:00"/>
    <d v="2026-06-15T00:00:00"/>
    <x v="0"/>
    <s v="Global Aero Systems"/>
  </r>
  <r>
    <s v="PRD-00176"/>
    <x v="98"/>
    <x v="5"/>
    <x v="5"/>
    <s v="Surface-01"/>
    <s v="OP-012"/>
    <x v="2"/>
    <n v="159"/>
    <n v="160"/>
    <n v="10"/>
    <n v="1.6"/>
    <n v="17018.689999999999"/>
    <n v="2.92"/>
    <n v="70.08"/>
    <n v="207"/>
    <d v="2026-02-09T00:00:00"/>
    <d v="2026-02-09T00:00:00"/>
    <x v="0"/>
    <s v="SkyWorks"/>
  </r>
  <r>
    <s v="PRD-00177"/>
    <x v="104"/>
    <x v="7"/>
    <x v="0"/>
    <s v="Autoclave-02"/>
    <s v="OP-006"/>
    <x v="1"/>
    <n v="286"/>
    <n v="258"/>
    <n v="13"/>
    <n v="2.4"/>
    <n v="83327.210000000006"/>
    <n v="7.72"/>
    <n v="200.72"/>
    <n v="338"/>
    <d v="2026-02-02T00:00:00"/>
    <d v="2026-02-06T00:00:00"/>
    <x v="1"/>
    <s v="NorthStar Aviation"/>
  </r>
  <r>
    <s v="PRD-00178"/>
    <x v="105"/>
    <x v="0"/>
    <x v="0"/>
    <s v="CNC-01"/>
    <s v="OP-030"/>
    <x v="2"/>
    <n v="252"/>
    <n v="259"/>
    <n v="6"/>
    <n v="4.5999999999999996"/>
    <n v="76920.95"/>
    <n v="6.18"/>
    <n v="148.32"/>
    <n v="305"/>
    <d v="2026-03-15T00:00:00"/>
    <d v="2026-03-15T00:00:00"/>
    <x v="0"/>
    <s v="Precision Air"/>
  </r>
  <r>
    <s v="PRD-00179"/>
    <x v="23"/>
    <x v="2"/>
    <x v="2"/>
    <s v="Repair-01"/>
    <s v="OP-003"/>
    <x v="1"/>
    <n v="162"/>
    <n v="133"/>
    <n v="11"/>
    <n v="2.9"/>
    <n v="13945.2"/>
    <n v="2.78"/>
    <n v="50.04"/>
    <n v="167"/>
    <d v="2026-06-22T00:00:00"/>
    <d v="2026-06-20T00:00:00"/>
    <x v="2"/>
    <s v="SkyWorks"/>
  </r>
  <r>
    <s v="PRD-00180"/>
    <x v="9"/>
    <x v="4"/>
    <x v="4"/>
    <s v="Assembly-01"/>
    <s v="OP-001"/>
    <x v="1"/>
    <n v="221"/>
    <n v="202"/>
    <n v="7"/>
    <n v="2.6"/>
    <n v="47400.39"/>
    <n v="4.8099999999999996"/>
    <n v="105.82"/>
    <n v="307"/>
    <d v="2026-03-26T00:00:00"/>
    <d v="2026-03-26T00:00:00"/>
    <x v="0"/>
    <s v="AeroTech UK"/>
  </r>
  <r>
    <s v="PRD-00181"/>
    <x v="37"/>
    <x v="4"/>
    <x v="4"/>
    <s v="Assembly-03"/>
    <s v="OP-016"/>
    <x v="2"/>
    <n v="294"/>
    <n v="299"/>
    <n v="1"/>
    <n v="3"/>
    <n v="63216.72"/>
    <n v="10.68"/>
    <n v="234.96"/>
    <n v="280"/>
    <d v="2026-03-06T00:00:00"/>
    <d v="2026-03-06T00:00:00"/>
    <x v="2"/>
    <s v="NorthStar Aviation"/>
  </r>
  <r>
    <s v="PRD-00182"/>
    <x v="106"/>
    <x v="0"/>
    <x v="0"/>
    <s v="Autoclave-01"/>
    <s v="OP-003"/>
    <x v="0"/>
    <n v="315"/>
    <n v="258"/>
    <n v="20"/>
    <n v="3.7"/>
    <n v="94390.399999999994"/>
    <n v="9.27"/>
    <n v="241.02"/>
    <n v="299"/>
    <d v="2026-03-23T00:00:00"/>
    <d v="2026-03-23T00:00:00"/>
    <x v="2"/>
    <s v="Precision Air"/>
  </r>
  <r>
    <s v="PRD-00183"/>
    <x v="53"/>
    <x v="2"/>
    <x v="2"/>
    <s v="Repair-01"/>
    <s v="OP-005"/>
    <x v="0"/>
    <n v="140"/>
    <n v="118"/>
    <n v="9"/>
    <n v="8.3000000000000007"/>
    <n v="11374.34"/>
    <n v="3.05"/>
    <n v="73.2"/>
    <n v="169"/>
    <d v="2026-01-21T00:00:00"/>
    <d v="2026-01-20T00:00:00"/>
    <x v="0"/>
    <s v="AeroTech UK"/>
  </r>
  <r>
    <s v="PRD-00184"/>
    <x v="107"/>
    <x v="0"/>
    <x v="0"/>
    <s v="Autoclave-01"/>
    <s v="OP-027"/>
    <x v="0"/>
    <n v="195"/>
    <n v="179"/>
    <n v="7"/>
    <n v="4.8"/>
    <n v="62369.34"/>
    <n v="4.55"/>
    <n v="100.1"/>
    <n v="185"/>
    <d v="2026-02-12T00:00:00"/>
    <d v="2026-02-12T00:00:00"/>
    <x v="0"/>
    <s v="Precision Air"/>
  </r>
  <r>
    <s v="PRD-00185"/>
    <x v="108"/>
    <x v="1"/>
    <x v="1"/>
    <s v="CNC-03"/>
    <s v="OP-024"/>
    <x v="0"/>
    <n v="117"/>
    <n v="88"/>
    <n v="2"/>
    <n v="3.2"/>
    <n v="21173.14"/>
    <n v="2.13"/>
    <n v="42.6"/>
    <n v="84"/>
    <d v="2026-01-19T00:00:00"/>
    <d v="2026-01-23T00:00:00"/>
    <x v="1"/>
    <s v="NorthStar Aviation"/>
  </r>
  <r>
    <s v="PRD-00186"/>
    <x v="109"/>
    <x v="5"/>
    <x v="5"/>
    <s v="Surface-01"/>
    <s v="OP-019"/>
    <x v="1"/>
    <n v="285"/>
    <n v="302"/>
    <n v="4"/>
    <n v="0.6"/>
    <n v="43980.04"/>
    <n v="6.87"/>
    <n v="164.88"/>
    <n v="340"/>
    <d v="2026-02-06T00:00:00"/>
    <d v="2026-02-05T00:00:00"/>
    <x v="1"/>
    <s v="AeroTech UK"/>
  </r>
  <r>
    <s v="PRD-00187"/>
    <x v="110"/>
    <x v="0"/>
    <x v="0"/>
    <s v="Autoclave-01"/>
    <s v="OP-016"/>
    <x v="2"/>
    <n v="311"/>
    <n v="310"/>
    <n v="24"/>
    <n v="0.8"/>
    <n v="122284.48"/>
    <n v="6.49"/>
    <n v="155.76"/>
    <n v="283"/>
    <d v="2026-01-10T00:00:00"/>
    <d v="2026-01-12T00:00:00"/>
    <x v="2"/>
    <s v="Global Aero Systems"/>
  </r>
  <r>
    <s v="PRD-00188"/>
    <x v="7"/>
    <x v="2"/>
    <x v="2"/>
    <s v="Repair-01"/>
    <s v="OP-016"/>
    <x v="2"/>
    <n v="170"/>
    <n v="138"/>
    <n v="3"/>
    <n v="2.5"/>
    <n v="12658.75"/>
    <n v="4.53"/>
    <n v="90.6"/>
    <n v="205"/>
    <d v="2026-07-03T00:00:00"/>
    <d v="2026-07-05T00:00:00"/>
    <x v="1"/>
    <s v="AeroTech UK"/>
  </r>
  <r>
    <s v="PRD-00189"/>
    <x v="106"/>
    <x v="2"/>
    <x v="2"/>
    <s v="Repair-01"/>
    <s v="OP-030"/>
    <x v="0"/>
    <n v="187"/>
    <n v="150"/>
    <n v="12"/>
    <n v="4.7"/>
    <n v="15631.23"/>
    <n v="5.56"/>
    <n v="133.44"/>
    <n v="238"/>
    <d v="2026-03-22T00:00:00"/>
    <d v="2026-03-26T00:00:00"/>
    <x v="0"/>
    <s v="Precision Air"/>
  </r>
  <r>
    <s v="PRD-00190"/>
    <x v="62"/>
    <x v="2"/>
    <x v="2"/>
    <s v="Repair-02"/>
    <s v="OP-004"/>
    <x v="2"/>
    <n v="126"/>
    <n v="92"/>
    <n v="5"/>
    <n v="0.3"/>
    <n v="8865.99"/>
    <n v="3.44"/>
    <n v="82.56"/>
    <n v="221"/>
    <d v="2026-03-31T00:00:00"/>
    <d v="2026-03-31T00:00:00"/>
    <x v="0"/>
    <s v="NorthStar Aviation"/>
  </r>
  <r>
    <s v="PRD-00191"/>
    <x v="35"/>
    <x v="7"/>
    <x v="0"/>
    <s v="Autoclave-01"/>
    <s v="OP-019"/>
    <x v="0"/>
    <n v="227"/>
    <n v="246"/>
    <n v="18"/>
    <n v="3.2"/>
    <n v="80424.36"/>
    <n v="5.47"/>
    <n v="142.22"/>
    <n v="268"/>
    <d v="2026-03-17T00:00:00"/>
    <d v="2026-03-15T00:00:00"/>
    <x v="0"/>
    <s v="NorthStar Aviation"/>
  </r>
  <r>
    <s v="PRD-00192"/>
    <x v="85"/>
    <x v="1"/>
    <x v="1"/>
    <s v="CNC-03"/>
    <s v="OP-011"/>
    <x v="0"/>
    <n v="218"/>
    <n v="185"/>
    <n v="9"/>
    <n v="0.8"/>
    <n v="35343.050000000003"/>
    <n v="5.67"/>
    <n v="102.06"/>
    <n v="262"/>
    <d v="2026-06-05T00:00:00"/>
    <d v="2026-06-05T00:00:00"/>
    <x v="0"/>
    <s v="NorthStar Aviation"/>
  </r>
  <r>
    <s v="PRD-00193"/>
    <x v="62"/>
    <x v="7"/>
    <x v="0"/>
    <s v="Autoclave-01"/>
    <s v="OP-010"/>
    <x v="1"/>
    <n v="117"/>
    <n v="113"/>
    <n v="9"/>
    <n v="7"/>
    <n v="37169.120000000003"/>
    <n v="4.6399999999999997"/>
    <n v="102.08"/>
    <n v="178"/>
    <d v="2026-04-04T00:00:00"/>
    <d v="2026-04-03T00:00:00"/>
    <x v="0"/>
    <s v="NorthStar Aviation"/>
  </r>
  <r>
    <s v="PRD-00194"/>
    <x v="111"/>
    <x v="2"/>
    <x v="2"/>
    <s v="Repair-02"/>
    <s v="OP-005"/>
    <x v="2"/>
    <n v="246"/>
    <n v="210"/>
    <n v="14"/>
    <n v="5.0999999999999996"/>
    <n v="22718.880000000001"/>
    <n v="5.58"/>
    <n v="145.08000000000001"/>
    <n v="250"/>
    <d v="2026-02-18T00:00:00"/>
    <d v="2026-02-18T00:00:00"/>
    <x v="0"/>
    <s v="AeroTech UK"/>
  </r>
  <r>
    <s v="PRD-00195"/>
    <x v="32"/>
    <x v="2"/>
    <x v="2"/>
    <s v="Repair-01"/>
    <s v="OP-011"/>
    <x v="2"/>
    <n v="126"/>
    <n v="123"/>
    <n v="10"/>
    <n v="8.6999999999999993"/>
    <n v="10366.07"/>
    <n v="4.9800000000000004"/>
    <n v="99.6"/>
    <n v="170"/>
    <d v="2026-07-02T00:00:00"/>
    <d v="2026-07-02T00:00:00"/>
    <x v="0"/>
    <s v="AeroTech UK"/>
  </r>
  <r>
    <s v="PRD-00196"/>
    <x v="112"/>
    <x v="4"/>
    <x v="4"/>
    <s v="Assembly-02"/>
    <s v="OP-016"/>
    <x v="1"/>
    <n v="82"/>
    <n v="68"/>
    <n v="1"/>
    <n v="0.6"/>
    <n v="11107.88"/>
    <n v="1.23"/>
    <n v="29.52"/>
    <n v="162"/>
    <d v="2026-06-29T00:00:00"/>
    <d v="2026-06-29T00:00:00"/>
    <x v="2"/>
    <s v="SkyWorks"/>
  </r>
  <r>
    <s v="PRD-00197"/>
    <x v="17"/>
    <x v="2"/>
    <x v="2"/>
    <s v="Repair-01"/>
    <s v="OP-004"/>
    <x v="2"/>
    <n v="292"/>
    <n v="270"/>
    <n v="22"/>
    <n v="5.9"/>
    <n v="24138.81"/>
    <n v="5.34"/>
    <n v="96.12"/>
    <n v="327"/>
    <d v="2026-05-22T00:00:00"/>
    <d v="2026-05-23T00:00:00"/>
    <x v="0"/>
    <s v="SkyWorks"/>
  </r>
  <r>
    <s v="PRD-00198"/>
    <x v="93"/>
    <x v="2"/>
    <x v="2"/>
    <s v="Repair-01"/>
    <s v="OP-029"/>
    <x v="1"/>
    <n v="267"/>
    <n v="200"/>
    <n v="17"/>
    <n v="8.8000000000000007"/>
    <n v="19593.55"/>
    <n v="7.89"/>
    <n v="142.02000000000001"/>
    <n v="337"/>
    <d v="2026-02-25T00:00:00"/>
    <d v="2026-02-25T00:00:00"/>
    <x v="1"/>
    <s v="NorthStar Aviation"/>
  </r>
  <r>
    <s v="PRD-00199"/>
    <x v="16"/>
    <x v="0"/>
    <x v="0"/>
    <s v="Autoclave-02"/>
    <s v="OP-019"/>
    <x v="0"/>
    <n v="132"/>
    <n v="150"/>
    <n v="6"/>
    <n v="5"/>
    <n v="56621.67"/>
    <n v="5.08"/>
    <n v="111.76"/>
    <n v="152"/>
    <d v="2026-01-17T00:00:00"/>
    <d v="2026-01-15T00:00:00"/>
    <x v="2"/>
    <s v="Global Aero Systems"/>
  </r>
  <r>
    <s v="PRD-00200"/>
    <x v="107"/>
    <x v="7"/>
    <x v="0"/>
    <s v="Autoclave-02"/>
    <s v="OP-010"/>
    <x v="1"/>
    <n v="80"/>
    <n v="72"/>
    <n v="2"/>
    <n v="6"/>
    <n v="18295.560000000001"/>
    <n v="1.34"/>
    <n v="26.8"/>
    <n v="124"/>
    <d v="2026-02-12T00:00:00"/>
    <d v="2026-02-16T00:00:00"/>
    <x v="0"/>
    <s v="Global Aero Systems"/>
  </r>
  <r>
    <s v="PRD-00201"/>
    <x v="80"/>
    <x v="6"/>
    <x v="4"/>
    <s v="Assembly-01"/>
    <s v="OP-002"/>
    <x v="2"/>
    <n v="244"/>
    <n v="232"/>
    <n v="5"/>
    <n v="8"/>
    <n v="38047.79"/>
    <n v="5.64"/>
    <n v="135.36000000000001"/>
    <n v="271"/>
    <d v="2026-05-11T00:00:00"/>
    <d v="2026-05-11T00:00:00"/>
    <x v="1"/>
    <s v="AeroTech UK"/>
  </r>
  <r>
    <s v="PRD-00202"/>
    <x v="71"/>
    <x v="4"/>
    <x v="4"/>
    <s v="Assembly-03"/>
    <s v="OP-010"/>
    <x v="2"/>
    <n v="185"/>
    <n v="210"/>
    <n v="12"/>
    <n v="5"/>
    <n v="51178.67"/>
    <n v="5.89"/>
    <n v="153.13999999999999"/>
    <n v="266"/>
    <d v="2026-02-02T00:00:00"/>
    <d v="2026-02-02T00:00:00"/>
    <x v="2"/>
    <s v="Global Aero Systems"/>
  </r>
  <r>
    <s v="PRD-00203"/>
    <x v="72"/>
    <x v="3"/>
    <x v="3"/>
    <s v="Press-01"/>
    <s v="OP-009"/>
    <x v="1"/>
    <n v="273"/>
    <n v="249"/>
    <n v="22"/>
    <n v="1.5"/>
    <n v="24060.65"/>
    <n v="4.74"/>
    <n v="85.32"/>
    <n v="344"/>
    <d v="2026-01-14T00:00:00"/>
    <d v="2026-01-14T00:00:00"/>
    <x v="1"/>
    <s v="AeroTech UK"/>
  </r>
  <r>
    <s v="PRD-00204"/>
    <x v="61"/>
    <x v="2"/>
    <x v="2"/>
    <s v="Repair-02"/>
    <s v="OP-005"/>
    <x v="0"/>
    <n v="221"/>
    <n v="190"/>
    <n v="5"/>
    <n v="4.0999999999999996"/>
    <n v="21368.81"/>
    <n v="6.26"/>
    <n v="162.76"/>
    <n v="288"/>
    <d v="2026-01-26T00:00:00"/>
    <d v="2026-01-28T00:00:00"/>
    <x v="0"/>
    <s v="Precision Air"/>
  </r>
  <r>
    <s v="PRD-00205"/>
    <x v="113"/>
    <x v="0"/>
    <x v="0"/>
    <s v="Autoclave-01"/>
    <s v="OP-013"/>
    <x v="2"/>
    <n v="224"/>
    <n v="236"/>
    <n v="17"/>
    <n v="7.8"/>
    <n v="95678.06"/>
    <n v="5.74"/>
    <n v="137.76"/>
    <n v="305"/>
    <d v="2026-06-01T00:00:00"/>
    <d v="2026-06-01T00:00:00"/>
    <x v="0"/>
    <s v="Precision Air"/>
  </r>
  <r>
    <s v="PRD-00206"/>
    <x v="4"/>
    <x v="2"/>
    <x v="2"/>
    <s v="Repair-01"/>
    <s v="OP-027"/>
    <x v="1"/>
    <n v="181"/>
    <n v="199"/>
    <n v="6"/>
    <n v="2.1"/>
    <n v="22190.93"/>
    <n v="7.87"/>
    <n v="141.66"/>
    <n v="227"/>
    <d v="2026-06-11T00:00:00"/>
    <d v="2026-06-11T00:00:00"/>
    <x v="0"/>
    <s v="AeroTech UK"/>
  </r>
  <r>
    <s v="PRD-00207"/>
    <x v="38"/>
    <x v="3"/>
    <x v="3"/>
    <s v="Laser-01"/>
    <s v="OP-017"/>
    <x v="2"/>
    <n v="270"/>
    <n v="245"/>
    <n v="19"/>
    <n v="2.4"/>
    <n v="29006.97"/>
    <n v="5.52"/>
    <n v="110.4"/>
    <n v="334"/>
    <d v="2026-03-09T00:00:00"/>
    <d v="2026-03-10T00:00:00"/>
    <x v="0"/>
    <s v="AeroTech UK"/>
  </r>
  <r>
    <s v="PRD-00208"/>
    <x v="9"/>
    <x v="2"/>
    <x v="2"/>
    <s v="Repair-01"/>
    <s v="OP-023"/>
    <x v="2"/>
    <n v="279"/>
    <n v="303"/>
    <n v="25"/>
    <n v="0.3"/>
    <n v="27024.58"/>
    <n v="11.54"/>
    <n v="230.8"/>
    <n v="247"/>
    <d v="2026-03-30T00:00:00"/>
    <d v="2026-03-28T00:00:00"/>
    <x v="0"/>
    <s v="SkyWorks"/>
  </r>
  <r>
    <s v="PRD-00209"/>
    <x v="51"/>
    <x v="5"/>
    <x v="5"/>
    <s v="Surface-02"/>
    <s v="OP-024"/>
    <x v="0"/>
    <n v="242"/>
    <n v="270"/>
    <n v="17"/>
    <n v="2.2000000000000002"/>
    <n v="37866.160000000003"/>
    <n v="11.08"/>
    <n v="265.92"/>
    <n v="291"/>
    <d v="2026-04-12T00:00:00"/>
    <d v="2026-04-12T00:00:00"/>
    <x v="0"/>
    <s v="AeroTech UK"/>
  </r>
  <r>
    <s v="PRD-00210"/>
    <x v="114"/>
    <x v="7"/>
    <x v="0"/>
    <s v="Autoclave-02"/>
    <s v="OP-016"/>
    <x v="2"/>
    <n v="92"/>
    <n v="72"/>
    <n v="4"/>
    <n v="8.6999999999999993"/>
    <n v="22526.12"/>
    <n v="2.4700000000000002"/>
    <n v="54.34"/>
    <n v="156"/>
    <d v="2026-03-24T00:00:00"/>
    <d v="2026-03-22T00:00:00"/>
    <x v="0"/>
    <s v="NorthStar Aviation"/>
  </r>
  <r>
    <s v="PRD-00211"/>
    <x v="88"/>
    <x v="7"/>
    <x v="0"/>
    <s v="Autoclave-01"/>
    <s v="OP-010"/>
    <x v="0"/>
    <n v="144"/>
    <n v="141"/>
    <n v="12"/>
    <n v="6.4"/>
    <n v="38007.26"/>
    <n v="5.57"/>
    <n v="122.54"/>
    <n v="221"/>
    <d v="2026-06-09T00:00:00"/>
    <d v="2026-06-09T00:00:00"/>
    <x v="2"/>
    <s v="Precision Air"/>
  </r>
  <r>
    <s v="PRD-00212"/>
    <x v="44"/>
    <x v="2"/>
    <x v="2"/>
    <s v="Repair-01"/>
    <s v="OP-009"/>
    <x v="0"/>
    <n v="81"/>
    <n v="76"/>
    <n v="4"/>
    <n v="7.6"/>
    <n v="6944.4"/>
    <n v="2.48"/>
    <n v="54.56"/>
    <n v="77"/>
    <d v="2026-06-18T00:00:00"/>
    <d v="2026-06-17T00:00:00"/>
    <x v="0"/>
    <s v="SkyWorks"/>
  </r>
  <r>
    <s v="PRD-00213"/>
    <x v="102"/>
    <x v="6"/>
    <x v="4"/>
    <s v="Assembly-03"/>
    <s v="OP-024"/>
    <x v="2"/>
    <n v="262"/>
    <n v="295"/>
    <n v="18"/>
    <n v="1.7"/>
    <n v="48231.23"/>
    <n v="5.71"/>
    <n v="148.46"/>
    <n v="325"/>
    <d v="2026-03-24T00:00:00"/>
    <d v="2026-03-25T00:00:00"/>
    <x v="0"/>
    <s v="Global Aero Systems"/>
  </r>
  <r>
    <s v="PRD-00214"/>
    <x v="115"/>
    <x v="6"/>
    <x v="4"/>
    <s v="Assembly-02"/>
    <s v="OP-017"/>
    <x v="1"/>
    <n v="183"/>
    <n v="162"/>
    <n v="1"/>
    <n v="6.4"/>
    <n v="26613.599999999999"/>
    <n v="5.74"/>
    <n v="114.8"/>
    <n v="279"/>
    <d v="2026-03-29T00:00:00"/>
    <d v="2026-04-02T00:00:00"/>
    <x v="0"/>
    <s v="NorthStar Aviation"/>
  </r>
  <r>
    <s v="PRD-00215"/>
    <x v="116"/>
    <x v="3"/>
    <x v="3"/>
    <s v="Laser-01"/>
    <s v="OP-024"/>
    <x v="1"/>
    <n v="104"/>
    <n v="95"/>
    <n v="6"/>
    <n v="6.5"/>
    <n v="12656.31"/>
    <n v="3.87"/>
    <n v="85.14"/>
    <n v="86"/>
    <d v="2026-06-23T00:00:00"/>
    <d v="2026-06-24T00:00:00"/>
    <x v="0"/>
    <s v="Global Aero Systems"/>
  </r>
  <r>
    <s v="PRD-00216"/>
    <x v="10"/>
    <x v="4"/>
    <x v="4"/>
    <s v="Assembly-02"/>
    <s v="OP-017"/>
    <x v="1"/>
    <n v="229"/>
    <n v="193"/>
    <n v="15"/>
    <n v="4.2"/>
    <n v="44674.55"/>
    <n v="7.85"/>
    <n v="141.30000000000001"/>
    <n v="309"/>
    <d v="2026-03-31T00:00:00"/>
    <d v="2026-03-30T00:00:00"/>
    <x v="2"/>
    <s v="Global Aero Systems"/>
  </r>
  <r>
    <s v="PRD-00217"/>
    <x v="16"/>
    <x v="3"/>
    <x v="3"/>
    <s v="Press-01"/>
    <s v="OP-011"/>
    <x v="0"/>
    <n v="131"/>
    <n v="113"/>
    <n v="10"/>
    <n v="8"/>
    <n v="14110.25"/>
    <n v="4.37"/>
    <n v="87.4"/>
    <n v="111"/>
    <d v="2026-01-23T00:00:00"/>
    <d v="2026-01-24T00:00:00"/>
    <x v="0"/>
    <s v="AeroTech UK"/>
  </r>
  <r>
    <s v="PRD-00218"/>
    <x v="117"/>
    <x v="5"/>
    <x v="5"/>
    <s v="Surface-02"/>
    <s v="OP-014"/>
    <x v="1"/>
    <n v="133"/>
    <n v="139"/>
    <n v="2"/>
    <n v="6.9"/>
    <n v="21181.18"/>
    <n v="2.8"/>
    <n v="72.8"/>
    <n v="204"/>
    <d v="2026-01-14T00:00:00"/>
    <d v="2026-01-16T00:00:00"/>
    <x v="2"/>
    <s v="Global Aero Systems"/>
  </r>
  <r>
    <s v="PRD-00219"/>
    <x v="117"/>
    <x v="7"/>
    <x v="0"/>
    <s v="CNC-01"/>
    <s v="OP-005"/>
    <x v="2"/>
    <n v="131"/>
    <n v="135"/>
    <n v="12"/>
    <n v="8"/>
    <n v="39660.46"/>
    <n v="2.4900000000000002"/>
    <n v="44.82"/>
    <n v="154"/>
    <d v="2026-01-07T00:00:00"/>
    <d v="2026-01-08T00:00:00"/>
    <x v="0"/>
    <s v="Global Aero Systems"/>
  </r>
  <r>
    <s v="PRD-00220"/>
    <x v="118"/>
    <x v="6"/>
    <x v="4"/>
    <s v="Assembly-01"/>
    <s v="OP-006"/>
    <x v="1"/>
    <n v="96"/>
    <n v="103"/>
    <n v="3"/>
    <n v="2.6"/>
    <n v="19963.71"/>
    <n v="2.69"/>
    <n v="53.8"/>
    <n v="143"/>
    <d v="2026-05-18T00:00:00"/>
    <d v="2026-05-19T00:00:00"/>
    <x v="0"/>
    <s v="AeroTech UK"/>
  </r>
  <r>
    <s v="PRD-00221"/>
    <x v="38"/>
    <x v="1"/>
    <x v="1"/>
    <s v="CNC-04"/>
    <s v="OP-002"/>
    <x v="0"/>
    <n v="113"/>
    <n v="91"/>
    <n v="0"/>
    <n v="4.5"/>
    <n v="18996.7"/>
    <n v="3.37"/>
    <n v="80.88"/>
    <n v="138"/>
    <d v="2026-03-10T00:00:00"/>
    <d v="2026-03-08T00:00:00"/>
    <x v="1"/>
    <s v="AeroTech UK"/>
  </r>
  <r>
    <s v="PRD-00222"/>
    <x v="23"/>
    <x v="7"/>
    <x v="0"/>
    <s v="Autoclave-01"/>
    <s v="OP-009"/>
    <x v="0"/>
    <n v="256"/>
    <n v="197"/>
    <n v="8"/>
    <n v="1.1000000000000001"/>
    <n v="50449.79"/>
    <n v="4.5199999999999996"/>
    <n v="81.36"/>
    <n v="293"/>
    <d v="2026-06-25T00:00:00"/>
    <d v="2026-06-24T00:00:00"/>
    <x v="1"/>
    <s v="Precision Air"/>
  </r>
  <r>
    <s v="PRD-00223"/>
    <x v="32"/>
    <x v="3"/>
    <x v="3"/>
    <s v="Laser-01"/>
    <s v="OP-023"/>
    <x v="1"/>
    <n v="292"/>
    <n v="323"/>
    <n v="16"/>
    <n v="5.6"/>
    <n v="37642.61"/>
    <n v="9.67"/>
    <n v="251.42"/>
    <n v="303"/>
    <d v="2026-07-05T00:00:00"/>
    <d v="2026-07-05T00:00:00"/>
    <x v="0"/>
    <s v="SkyWorks"/>
  </r>
  <r>
    <s v="PRD-00224"/>
    <x v="119"/>
    <x v="7"/>
    <x v="0"/>
    <s v="CNC-01"/>
    <s v="OP-003"/>
    <x v="0"/>
    <n v="207"/>
    <n v="230"/>
    <n v="15"/>
    <n v="4.3"/>
    <n v="48241.29"/>
    <n v="4.63"/>
    <n v="83.34"/>
    <n v="293"/>
    <d v="2026-02-15T00:00:00"/>
    <d v="2026-02-14T00:00:00"/>
    <x v="1"/>
    <s v="AeroTech UK"/>
  </r>
  <r>
    <s v="PRD-00225"/>
    <x v="105"/>
    <x v="1"/>
    <x v="1"/>
    <s v="CNC-03"/>
    <s v="OP-001"/>
    <x v="2"/>
    <n v="155"/>
    <n v="129"/>
    <n v="1"/>
    <n v="7.3"/>
    <n v="36616.839999999997"/>
    <n v="3.44"/>
    <n v="75.680000000000007"/>
    <n v="224"/>
    <d v="2026-03-10T00:00:00"/>
    <d v="2026-03-09T00:00:00"/>
    <x v="0"/>
    <s v="NorthStar Aviation"/>
  </r>
  <r>
    <s v="PRD-00226"/>
    <x v="10"/>
    <x v="4"/>
    <x v="4"/>
    <s v="Assembly-02"/>
    <s v="OP-021"/>
    <x v="2"/>
    <n v="239"/>
    <n v="199"/>
    <n v="14"/>
    <n v="3.4"/>
    <n v="33669.050000000003"/>
    <n v="5.49"/>
    <n v="131.76"/>
    <n v="268"/>
    <d v="2026-04-03T00:00:00"/>
    <d v="2026-04-07T00:00:00"/>
    <x v="2"/>
    <s v="AeroTech UK"/>
  </r>
  <r>
    <s v="PRD-00227"/>
    <x v="55"/>
    <x v="7"/>
    <x v="0"/>
    <s v="Autoclave-01"/>
    <s v="OP-030"/>
    <x v="1"/>
    <n v="106"/>
    <n v="95"/>
    <n v="5"/>
    <n v="7.2"/>
    <n v="24662.79"/>
    <n v="2.58"/>
    <n v="56.76"/>
    <n v="73"/>
    <d v="2026-02-15T00:00:00"/>
    <d v="2026-02-15T00:00:00"/>
    <x v="2"/>
    <s v="AeroTech UK"/>
  </r>
  <r>
    <s v="PRD-00228"/>
    <x v="120"/>
    <x v="5"/>
    <x v="5"/>
    <s v="Surface-01"/>
    <s v="OP-017"/>
    <x v="0"/>
    <n v="96"/>
    <n v="79"/>
    <n v="2"/>
    <n v="6.3"/>
    <n v="12870.3"/>
    <n v="2.52"/>
    <n v="65.52"/>
    <n v="113"/>
    <d v="2026-04-28T00:00:00"/>
    <d v="2026-04-29T00:00:00"/>
    <x v="1"/>
    <s v="Precision Air"/>
  </r>
  <r>
    <s v="PRD-00229"/>
    <x v="109"/>
    <x v="2"/>
    <x v="2"/>
    <s v="Repair-01"/>
    <m/>
    <x v="1"/>
    <n v="203"/>
    <n v="176"/>
    <n v="11"/>
    <n v="3.5"/>
    <n v="18467.09"/>
    <n v="7.34"/>
    <n v="132.12"/>
    <n v="165"/>
    <d v="2026-02-06T00:00:00"/>
    <d v="2026-02-06T00:00:00"/>
    <x v="1"/>
    <s v="Global Aero Systems"/>
  </r>
  <r>
    <s v="PRD-00230"/>
    <x v="96"/>
    <x v="0"/>
    <x v="0"/>
    <s v="Autoclave-02"/>
    <s v="OP-015"/>
    <x v="2"/>
    <n v="162"/>
    <n v="133"/>
    <n v="12"/>
    <n v="0.5"/>
    <n v="40259.99"/>
    <n v="3.68"/>
    <n v="73.599999999999994"/>
    <n v="142"/>
    <d v="2026-02-21T00:00:00"/>
    <d v="2026-02-25T00:00:00"/>
    <x v="1"/>
    <s v="Global Aero Systems"/>
  </r>
  <r>
    <s v="PRD-00231"/>
    <x v="36"/>
    <x v="4"/>
    <x v="4"/>
    <s v="Assembly-01"/>
    <s v="OP-011"/>
    <x v="1"/>
    <n v="207"/>
    <n v="215"/>
    <n v="1"/>
    <n v="3.6"/>
    <n v="36289.980000000003"/>
    <n v="8.1300000000000008"/>
    <n v="211.38"/>
    <n v="244"/>
    <d v="2026-05-05T00:00:00"/>
    <d v="2026-05-05T00:00:00"/>
    <x v="3"/>
    <s v="AeroTech UK"/>
  </r>
  <r>
    <s v="PRD-00232"/>
    <x v="24"/>
    <x v="5"/>
    <x v="5"/>
    <s v="Surface-02"/>
    <s v="OP-018"/>
    <x v="0"/>
    <n v="223"/>
    <n v="234"/>
    <n v="13"/>
    <n v="6.4"/>
    <n v="31383.439999999999"/>
    <n v="4.76"/>
    <n v="95.2"/>
    <n v="183"/>
    <d v="2026-03-06T00:00:00"/>
    <d v="2026-03-07T00:00:00"/>
    <x v="0"/>
    <s v="SkyWorks"/>
  </r>
  <r>
    <s v="PRD-00233"/>
    <x v="32"/>
    <x v="0"/>
    <x v="0"/>
    <s v="Autoclave-01"/>
    <s v="OP-027"/>
    <x v="2"/>
    <n v="309"/>
    <n v="244"/>
    <n v="4"/>
    <n v="6.5"/>
    <n v="76344.25"/>
    <n v="7.97"/>
    <n v="159.4"/>
    <n v="299"/>
    <d v="2026-07-07T00:00:00"/>
    <d v="2026-07-07T00:00:00"/>
    <x v="2"/>
    <s v="SkyWorks"/>
  </r>
  <r>
    <s v="PRD-00234"/>
    <x v="25"/>
    <x v="2"/>
    <x v="2"/>
    <s v="Repair-01"/>
    <s v="OP-024"/>
    <x v="2"/>
    <n v="317"/>
    <n v="314"/>
    <n v="20"/>
    <n v="1.1000000000000001"/>
    <n v="32612.65"/>
    <n v="10.09"/>
    <n v="262.33999999999997"/>
    <n v="311"/>
    <d v="2026-02-06T00:00:00"/>
    <d v="2026-02-04T00:00:00"/>
    <x v="1"/>
    <s v="Precision Air"/>
  </r>
  <r>
    <s v="PRD-00235"/>
    <x v="121"/>
    <x v="5"/>
    <x v="5"/>
    <s v="Surface-01"/>
    <s v="OP-013"/>
    <x v="1"/>
    <n v="257"/>
    <n v="248"/>
    <n v="17"/>
    <n v="1.2"/>
    <n v="34911.879999999997"/>
    <n v="9.7200000000000006"/>
    <n v="252.72"/>
    <n v="315"/>
    <d v="2026-04-29T00:00:00"/>
    <d v="2026-04-29T00:00:00"/>
    <x v="0"/>
    <s v="SkyWorks"/>
  </r>
  <r>
    <s v="PRD-00236"/>
    <x v="56"/>
    <x v="3"/>
    <x v="3"/>
    <s v="Press-01"/>
    <s v="OP-023"/>
    <x v="1"/>
    <n v="185"/>
    <n v="181"/>
    <n v="15"/>
    <n v="4.5999999999999996"/>
    <n v="24194.84"/>
    <n v="4.62"/>
    <n v="120.12"/>
    <n v="200"/>
    <d v="2026-05-01T00:00:00"/>
    <d v="2026-05-01T00:00:00"/>
    <x v="1"/>
    <s v="SkyWorks"/>
  </r>
  <r>
    <s v="PRD-00237"/>
    <x v="122"/>
    <x v="3"/>
    <x v="3"/>
    <s v="Bender-01"/>
    <s v="OP-010"/>
    <x v="1"/>
    <n v="246"/>
    <n v="280"/>
    <n v="5"/>
    <n v="4.9000000000000004"/>
    <n v="36457.47"/>
    <n v="10.15"/>
    <n v="263.89999999999998"/>
    <n v="328"/>
    <d v="2026-07-03T00:00:00"/>
    <d v="2026-07-05T00:00:00"/>
    <x v="1"/>
    <s v="AeroTech UK"/>
  </r>
  <r>
    <s v="PRD-00238"/>
    <x v="123"/>
    <x v="0"/>
    <x v="0"/>
    <s v="Autoclave-01"/>
    <s v="OP-025"/>
    <x v="0"/>
    <n v="177"/>
    <n v="138"/>
    <n v="9"/>
    <n v="1.8"/>
    <n v="44294.34"/>
    <n v="3.43"/>
    <n v="75.459999999999994"/>
    <n v="174"/>
    <d v="2026-05-16T00:00:00"/>
    <d v="2026-05-16T00:00:00"/>
    <x v="0"/>
    <s v="AeroTech UK"/>
  </r>
  <r>
    <s v="PRD-00239"/>
    <x v="68"/>
    <x v="5"/>
    <x v="5"/>
    <s v="Surface-01"/>
    <s v="OP-026"/>
    <x v="0"/>
    <n v="237"/>
    <n v="259"/>
    <n v="18"/>
    <n v="7.8"/>
    <n v="40893.93"/>
    <n v="6.14"/>
    <n v="135.08000000000001"/>
    <n v="209"/>
    <d v="2026-04-10T00:00:00"/>
    <d v="2026-04-12T00:00:00"/>
    <x v="2"/>
    <s v="SkyWorks"/>
  </r>
  <r>
    <s v="PRD-00240"/>
    <x v="22"/>
    <x v="7"/>
    <x v="0"/>
    <s v="Autoclave-01"/>
    <s v="OP-010"/>
    <x v="1"/>
    <n v="270"/>
    <n v="223"/>
    <n v="13"/>
    <n v="7"/>
    <n v="73352.710000000006"/>
    <n v="8.89"/>
    <n v="195.58"/>
    <n v="369"/>
    <d v="2026-06-02T00:00:00"/>
    <d v="2026-06-02T00:00:00"/>
    <x v="0"/>
    <s v="NorthStar Aviation"/>
  </r>
  <r>
    <s v="PRD-00241"/>
    <x v="7"/>
    <x v="0"/>
    <x v="0"/>
    <s v="Autoclave-01"/>
    <s v="OP-002"/>
    <x v="2"/>
    <n v="124"/>
    <n v="128"/>
    <n v="2"/>
    <n v="0.4"/>
    <n v="35748.17"/>
    <n v="2.8"/>
    <n v="61.6"/>
    <n v="85"/>
    <d v="2026-07-01T00:00:00"/>
    <d v="2026-07-05T00:00:00"/>
    <x v="0"/>
    <s v="SkyWorks"/>
  </r>
  <r>
    <s v="PRD-00242"/>
    <x v="65"/>
    <x v="7"/>
    <x v="0"/>
    <s v="CNC-01"/>
    <s v="OP-006"/>
    <x v="1"/>
    <n v="237"/>
    <n v="256"/>
    <n v="8"/>
    <n v="7.1"/>
    <n v="61560.06"/>
    <n v="8.9600000000000009"/>
    <n v="232.96"/>
    <n v="253"/>
    <d v="2026-06-06T00:00:00"/>
    <d v="2026-06-05T00:00:00"/>
    <x v="1"/>
    <s v="Precision Air"/>
  </r>
  <r>
    <s v="PRD-00243"/>
    <x v="124"/>
    <x v="2"/>
    <x v="2"/>
    <s v="Repair-01"/>
    <s v="OP-022"/>
    <x v="1"/>
    <n v="169"/>
    <n v="137"/>
    <n v="3"/>
    <n v="3"/>
    <n v="11078.96"/>
    <n v="4.9400000000000004"/>
    <n v="128.44"/>
    <n v="250"/>
    <d v="2026-05-28T00:00:00"/>
    <d v="2026-05-26T00:00:00"/>
    <x v="0"/>
    <s v="Global Aero Systems"/>
  </r>
  <r>
    <s v="PRD-00244"/>
    <x v="41"/>
    <x v="1"/>
    <x v="1"/>
    <s v="CNC-02"/>
    <s v="OP-002"/>
    <x v="1"/>
    <n v="254"/>
    <n v="279"/>
    <n v="10"/>
    <n v="7.2"/>
    <n v="51324.55"/>
    <n v="9.8699999999999992"/>
    <n v="177.66"/>
    <n v="346"/>
    <d v="2026-03-10T00:00:00"/>
    <d v="2026-03-14T00:00:00"/>
    <x v="2"/>
    <s v="NorthStar Aviation"/>
  </r>
  <r>
    <s v="PRD-00245"/>
    <x v="62"/>
    <x v="0"/>
    <x v="0"/>
    <s v="Autoclave-01"/>
    <s v="OP-027"/>
    <x v="0"/>
    <n v="122"/>
    <n v="138"/>
    <n v="10"/>
    <n v="4.8"/>
    <n v="43115"/>
    <n v="4.57"/>
    <n v="91.4"/>
    <n v="190"/>
    <d v="2026-03-27T00:00:00"/>
    <d v="2026-03-27T00:00:00"/>
    <x v="1"/>
    <s v="Global Aero Systems"/>
  </r>
  <r>
    <s v="PRD-00246"/>
    <x v="63"/>
    <x v="0"/>
    <x v="0"/>
    <s v="CNC-01"/>
    <s v="OP-014"/>
    <x v="1"/>
    <n v="255"/>
    <n v="200"/>
    <n v="9"/>
    <n v="3"/>
    <n v="48570.85"/>
    <n v="7.41"/>
    <n v="192.66"/>
    <n v="233"/>
    <d v="2026-06-26T00:00:00"/>
    <d v="2026-06-26T00:00:00"/>
    <x v="0"/>
    <s v="Global Aero Systems"/>
  </r>
  <r>
    <s v="PRD-00247"/>
    <x v="125"/>
    <x v="2"/>
    <x v="2"/>
    <s v="Repair-02"/>
    <s v="OP-004"/>
    <x v="1"/>
    <n v="160"/>
    <n v="116"/>
    <n v="7"/>
    <n v="4.8"/>
    <n v="11580.12"/>
    <n v="4.1900000000000004"/>
    <n v="108.94"/>
    <n v="131"/>
    <d v="2026-06-14T00:00:00"/>
    <d v="2026-06-15T00:00:00"/>
    <x v="1"/>
    <s v="SkyWorks"/>
  </r>
  <r>
    <s v="PRD-00248"/>
    <x v="4"/>
    <x v="0"/>
    <x v="0"/>
    <s v="Autoclave-02"/>
    <s v="OP-022"/>
    <x v="0"/>
    <n v="275"/>
    <n v="307"/>
    <n v="12"/>
    <n v="7.4"/>
    <n v="75026.55"/>
    <n v="7.15"/>
    <n v="171.6"/>
    <n v="374"/>
    <d v="2026-06-11T00:00:00"/>
    <d v="2026-06-11T00:00:00"/>
    <x v="0"/>
    <s v="SkyWorks"/>
  </r>
  <r>
    <s v="PRD-00249"/>
    <x v="15"/>
    <x v="3"/>
    <x v="3"/>
    <s v="Press-01"/>
    <s v="OP-006"/>
    <x v="2"/>
    <n v="90"/>
    <n v="64"/>
    <n v="3"/>
    <n v="4.8"/>
    <n v="8271.83"/>
    <n v="2.2999999999999998"/>
    <n v="50.6"/>
    <n v="104"/>
    <d v="2026-01-11T00:00:00"/>
    <d v="2026-01-11T00:00:00"/>
    <x v="0"/>
    <s v="Precision Air"/>
  </r>
  <r>
    <s v="PRD-00250"/>
    <x v="126"/>
    <x v="1"/>
    <x v="1"/>
    <s v="CNC-02"/>
    <s v="OP-004"/>
    <x v="2"/>
    <n v="126"/>
    <n v="127"/>
    <n v="7"/>
    <n v="0.5"/>
    <n v="35809.300000000003"/>
    <n v="3.96"/>
    <n v="102.96"/>
    <n v="104"/>
    <d v="2026-03-12T00:00:00"/>
    <d v="2026-03-11T00:00:00"/>
    <x v="0"/>
    <s v="Precision Air"/>
  </r>
  <r>
    <s v="PRD-00251"/>
    <x v="29"/>
    <x v="4"/>
    <x v="4"/>
    <s v="Assembly-02"/>
    <s v="OP-019"/>
    <x v="1"/>
    <n v="112"/>
    <n v="112"/>
    <n v="2"/>
    <n v="2.6"/>
    <n v="17379.72"/>
    <n v="3.32"/>
    <n v="73.040000000000006"/>
    <n v="150"/>
    <d v="2026-05-16T00:00:00"/>
    <d v="2026-05-16T00:00:00"/>
    <x v="1"/>
    <s v="SkyWorks"/>
  </r>
  <r>
    <s v="PRD-00252"/>
    <x v="26"/>
    <x v="3"/>
    <x v="3"/>
    <s v="Press-01"/>
    <s v="OP-025"/>
    <x v="1"/>
    <n v="160"/>
    <n v="132"/>
    <n v="3"/>
    <n v="6.7"/>
    <n v="16529.580000000002"/>
    <n v="2.8"/>
    <n v="61.6"/>
    <n v="242"/>
    <d v="2026-04-29T00:00:00"/>
    <d v="2026-05-03T00:00:00"/>
    <x v="0"/>
    <s v="Global Aero Systems"/>
  </r>
  <r>
    <s v="PRD-00253"/>
    <x v="22"/>
    <x v="0"/>
    <x v="0"/>
    <s v="Autoclave-01"/>
    <s v="OP-019"/>
    <x v="1"/>
    <n v="245"/>
    <n v="240"/>
    <n v="19"/>
    <n v="7.7"/>
    <n v="68350.44"/>
    <n v="5.84"/>
    <n v="105.12"/>
    <n v="224"/>
    <d v="2026-05-24T00:00:00"/>
    <d v="2026-05-22T00:00:00"/>
    <x v="1"/>
    <s v="Precision Air"/>
  </r>
  <r>
    <s v="PRD-00254"/>
    <x v="5"/>
    <x v="7"/>
    <x v="0"/>
    <s v="CNC-01"/>
    <s v="OP-017"/>
    <x v="2"/>
    <n v="146"/>
    <n v="139"/>
    <n v="13"/>
    <n v="4.2"/>
    <n v="39280.36"/>
    <n v="3.25"/>
    <n v="84.5"/>
    <n v="180"/>
    <d v="2026-02-28T00:00:00"/>
    <d v="2026-03-04T00:00:00"/>
    <x v="1"/>
    <s v="Global Aero Systems"/>
  </r>
  <r>
    <s v="PRD-00255"/>
    <x v="99"/>
    <x v="7"/>
    <x v="0"/>
    <s v="CNC-01"/>
    <s v="OP-008"/>
    <x v="1"/>
    <n v="141"/>
    <n v="152"/>
    <n v="11"/>
    <n v="5.5"/>
    <n v="35796.75"/>
    <n v="4.3600000000000003"/>
    <n v="87.2"/>
    <n v="138"/>
    <d v="2026-04-13T00:00:00"/>
    <d v="2026-04-14T00:00:00"/>
    <x v="0"/>
    <s v="NorthStar Aviation"/>
  </r>
  <r>
    <s v="PRD-00256"/>
    <x v="127"/>
    <x v="6"/>
    <x v="4"/>
    <s v="Assembly-02"/>
    <s v="OP-023"/>
    <x v="0"/>
    <n v="139"/>
    <n v="102"/>
    <n v="2"/>
    <n v="8.1999999999999993"/>
    <n v="16784.68"/>
    <n v="2.95"/>
    <n v="53.1"/>
    <n v="109"/>
    <d v="2026-01-29T00:00:00"/>
    <d v="2026-01-30T00:00:00"/>
    <x v="0"/>
    <s v="SkyWorks"/>
  </r>
  <r>
    <s v="PRD-00257"/>
    <x v="128"/>
    <x v="3"/>
    <x v="3"/>
    <s v="Laser-01"/>
    <s v="OP-016"/>
    <x v="1"/>
    <n v="247"/>
    <n v="218"/>
    <n v="12"/>
    <n v="8.1"/>
    <n v="20273.14"/>
    <n v="9.01"/>
    <n v="180.2"/>
    <n v="339"/>
    <d v="2026-03-17T00:00:00"/>
    <d v="2026-03-18T00:00:00"/>
    <x v="0"/>
    <s v="Precision Air"/>
  </r>
  <r>
    <s v="PRD-00258"/>
    <x v="117"/>
    <x v="3"/>
    <x v="3"/>
    <s v="Laser-01"/>
    <s v="OP-016"/>
    <x v="0"/>
    <n v="122"/>
    <n v="99"/>
    <n v="5"/>
    <n v="2.5"/>
    <n v="9233.14"/>
    <n v="3.21"/>
    <n v="57.78"/>
    <n v="140"/>
    <d v="2026-01-10T00:00:00"/>
    <d v="2026-01-11T00:00:00"/>
    <x v="0"/>
    <s v="Global Aero Systems"/>
  </r>
  <r>
    <s v="PRD-00259"/>
    <x v="129"/>
    <x v="1"/>
    <x v="1"/>
    <s v="CNC-04"/>
    <s v="OP-006"/>
    <x v="1"/>
    <n v="121"/>
    <n v="120"/>
    <n v="5"/>
    <n v="2.2000000000000002"/>
    <n v="24344.52"/>
    <n v="2.5499999999999998"/>
    <n v="66.3"/>
    <n v="91"/>
    <d v="2026-05-14T00:00:00"/>
    <d v="2026-05-14T00:00:00"/>
    <x v="0"/>
    <s v="NorthStar Aviation"/>
  </r>
  <r>
    <s v="PRD-00260"/>
    <x v="43"/>
    <x v="2"/>
    <x v="2"/>
    <s v="Repair-01"/>
    <s v="OP-005"/>
    <x v="0"/>
    <n v="304"/>
    <n v="312"/>
    <n v="20"/>
    <n v="2.6"/>
    <n v="24110.86"/>
    <n v="13.05"/>
    <n v="313.2"/>
    <n v="307"/>
    <d v="2026-05-18T00:00:00"/>
    <d v="2026-05-20T00:00:00"/>
    <x v="1"/>
    <s v="NorthStar Aviation"/>
  </r>
  <r>
    <s v="PRD-00261"/>
    <x v="44"/>
    <x v="6"/>
    <x v="4"/>
    <s v="Assembly-01"/>
    <s v="OP-020"/>
    <x v="2"/>
    <n v="265"/>
    <n v="268"/>
    <n v="23"/>
    <n v="5.4"/>
    <n v="38246.400000000001"/>
    <n v="5.67"/>
    <n v="102.06"/>
    <n v="276"/>
    <d v="2026-06-19T00:00:00"/>
    <d v="2026-06-21T00:00:00"/>
    <x v="0"/>
    <s v="NorthStar Aviation"/>
  </r>
  <r>
    <s v="PRD-00262"/>
    <x v="97"/>
    <x v="7"/>
    <x v="0"/>
    <s v="CNC-01"/>
    <s v="OP-023"/>
    <x v="0"/>
    <n v="208"/>
    <n v="217"/>
    <n v="2"/>
    <n v="5.9"/>
    <n v="66945.87"/>
    <n v="3.91"/>
    <n v="93.84"/>
    <n v="301"/>
    <d v="2026-05-10T00:00:00"/>
    <d v="2026-05-11T00:00:00"/>
    <x v="0"/>
    <s v="Global Aero Systems"/>
  </r>
  <r>
    <s v="PRD-00263"/>
    <x v="38"/>
    <x v="5"/>
    <x v="5"/>
    <s v="Surface-02"/>
    <s v="OP-029"/>
    <x v="0"/>
    <n v="169"/>
    <n v="164"/>
    <n v="11"/>
    <n v="6.9"/>
    <n v="22388.57"/>
    <n v="3.48"/>
    <n v="83.52"/>
    <n v="188"/>
    <d v="2026-03-03T00:00:00"/>
    <d v="2026-03-03T00:00:00"/>
    <x v="1"/>
    <s v="Global Aero Systems"/>
  </r>
  <r>
    <s v="PRD-00264"/>
    <x v="105"/>
    <x v="1"/>
    <x v="1"/>
    <s v="CNC-02"/>
    <s v="OP-014"/>
    <x v="0"/>
    <n v="261"/>
    <n v="271"/>
    <n v="1"/>
    <n v="4.7"/>
    <n v="60303.93"/>
    <n v="6.21"/>
    <n v="136.62"/>
    <n v="325"/>
    <d v="2026-03-14T00:00:00"/>
    <d v="2026-03-13T00:00:00"/>
    <x v="0"/>
    <s v="Precision Air"/>
  </r>
  <r>
    <s v="PRD-00265"/>
    <x v="126"/>
    <x v="6"/>
    <x v="4"/>
    <s v="Assembly-03"/>
    <s v="OP-018"/>
    <x v="1"/>
    <n v="188"/>
    <n v="181"/>
    <n v="10"/>
    <n v="8.9"/>
    <n v="28025.59"/>
    <n v="5.66"/>
    <n v="147.16"/>
    <n v="271"/>
    <d v="2026-03-10T00:00:00"/>
    <d v="2026-03-11T00:00:00"/>
    <x v="1"/>
    <s v="SkyWorks"/>
  </r>
  <r>
    <s v="PRD-00266"/>
    <x v="130"/>
    <x v="4"/>
    <x v="4"/>
    <s v="Assembly-03"/>
    <s v="OP-026"/>
    <x v="0"/>
    <n v="181"/>
    <n v="187"/>
    <n v="15"/>
    <n v="5.9"/>
    <n v="40159.160000000003"/>
    <n v="6.5"/>
    <n v="130"/>
    <n v="166"/>
    <d v="2026-03-25T00:00:00"/>
    <d v="2026-03-27T00:00:00"/>
    <x v="0"/>
    <s v="Precision Air"/>
  </r>
  <r>
    <s v="PRD-00267"/>
    <x v="131"/>
    <x v="7"/>
    <x v="0"/>
    <s v="Autoclave-01"/>
    <s v="OP-020"/>
    <x v="2"/>
    <n v="179"/>
    <n v="203"/>
    <n v="1"/>
    <n v="0.8"/>
    <n v="52611.8"/>
    <n v="5.78"/>
    <n v="104.04"/>
    <n v="206"/>
    <d v="2026-07-03T00:00:00"/>
    <d v="2026-07-04T00:00:00"/>
    <x v="0"/>
    <s v="Global Aero Systems"/>
  </r>
  <r>
    <s v="PRD-00268"/>
    <x v="83"/>
    <x v="6"/>
    <x v="4"/>
    <s v="Assembly-03"/>
    <s v="OP-017"/>
    <x v="0"/>
    <n v="232"/>
    <n v="172"/>
    <n v="12"/>
    <n v="1.6"/>
    <n v="26048.21"/>
    <n v="6.61"/>
    <n v="171.86"/>
    <n v="265"/>
    <d v="2026-04-18T00:00:00"/>
    <d v="2026-04-16T00:00:00"/>
    <x v="1"/>
    <s v="NorthStar Aviation"/>
  </r>
  <r>
    <s v="PRD-00269"/>
    <x v="103"/>
    <x v="3"/>
    <x v="3"/>
    <s v="Bender-01"/>
    <s v="OP-001"/>
    <x v="0"/>
    <n v="89"/>
    <n v="77"/>
    <n v="4"/>
    <n v="8.8000000000000007"/>
    <n v="7238.27"/>
    <n v="2.12"/>
    <n v="50.88"/>
    <n v="153"/>
    <d v="2026-06-18T00:00:00"/>
    <d v="2026-06-18T00:00:00"/>
    <x v="1"/>
    <s v="AeroTech UK"/>
  </r>
  <r>
    <s v="PRD-00270"/>
    <x v="2"/>
    <x v="6"/>
    <x v="4"/>
    <s v="Assembly-03"/>
    <s v="OP-006"/>
    <x v="1"/>
    <n v="292"/>
    <n v="280"/>
    <n v="16"/>
    <n v="3.1"/>
    <n v="50459.01"/>
    <n v="11.51"/>
    <n v="276.24"/>
    <n v="355"/>
    <d v="2026-02-04T00:00:00"/>
    <d v="2026-02-02T00:00:00"/>
    <x v="0"/>
    <s v="Precision Air"/>
  </r>
  <r>
    <s v="PRD-00271"/>
    <x v="25"/>
    <x v="0"/>
    <x v="0"/>
    <s v="CNC-01"/>
    <s v="OP-025"/>
    <x v="1"/>
    <n v="155"/>
    <n v="134"/>
    <n v="2"/>
    <n v="4.5999999999999996"/>
    <n v="40012.400000000001"/>
    <n v="4.96"/>
    <n v="109.12"/>
    <n v="228"/>
    <d v="2026-02-05T00:00:00"/>
    <d v="2026-02-09T00:00:00"/>
    <x v="0"/>
    <s v="Global Aero Systems"/>
  </r>
  <r>
    <s v="PRD-00272"/>
    <x v="7"/>
    <x v="5"/>
    <x v="5"/>
    <s v="Surface-01"/>
    <s v="OP-008"/>
    <x v="1"/>
    <n v="203"/>
    <n v="156"/>
    <n v="1"/>
    <n v="5.7"/>
    <n v="27497.33"/>
    <n v="3.67"/>
    <n v="80.739999999999995"/>
    <n v="268"/>
    <d v="2026-07-01T00:00:00"/>
    <d v="2026-06-29T00:00:00"/>
    <x v="0"/>
    <s v="AeroTech UK"/>
  </r>
  <r>
    <s v="PRD-00273"/>
    <x v="83"/>
    <x v="4"/>
    <x v="4"/>
    <s v="Assembly-01"/>
    <s v="OP-028"/>
    <x v="1"/>
    <n v="221"/>
    <n v="247"/>
    <n v="11"/>
    <n v="3.2"/>
    <n v="52931.59"/>
    <n v="10.06"/>
    <n v="201.2"/>
    <n v="308"/>
    <d v="2026-04-18T00:00:00"/>
    <d v="2026-04-18T00:00:00"/>
    <x v="0"/>
    <s v="NorthStar Aviation"/>
  </r>
  <r>
    <s v="PRD-00274"/>
    <x v="38"/>
    <x v="1"/>
    <x v="1"/>
    <s v="CNC-02"/>
    <s v="OP-012"/>
    <x v="0"/>
    <n v="294"/>
    <n v="289"/>
    <n v="5"/>
    <n v="1"/>
    <n v="79638.89"/>
    <n v="9.8000000000000007"/>
    <n v="254.8"/>
    <n v="255"/>
    <d v="2026-03-10T00:00:00"/>
    <d v="2026-03-08T00:00:00"/>
    <x v="2"/>
    <s v="SkyWorks"/>
  </r>
  <r>
    <s v="PRD-00275"/>
    <x v="46"/>
    <x v="6"/>
    <x v="4"/>
    <s v="Assembly-02"/>
    <s v="OP-012"/>
    <x v="1"/>
    <n v="126"/>
    <n v="144"/>
    <n v="12"/>
    <n v="2.5"/>
    <n v="23094.7"/>
    <n v="2.78"/>
    <n v="66.72"/>
    <n v="208"/>
    <d v="2026-05-17T00:00:00"/>
    <d v="2026-05-15T00:00:00"/>
    <x v="1"/>
    <s v="NorthStar Aviation"/>
  </r>
  <r>
    <s v="PRD-00276"/>
    <x v="87"/>
    <x v="0"/>
    <x v="0"/>
    <s v="CNC-01"/>
    <s v="OP-009"/>
    <x v="1"/>
    <n v="212"/>
    <n v="194"/>
    <n v="13"/>
    <n v="0.1"/>
    <n v="57505.45"/>
    <n v="5.01"/>
    <n v="130.26"/>
    <n v="238"/>
    <d v="2026-05-02T00:00:00"/>
    <d v="2026-05-02T00:00:00"/>
    <x v="0"/>
    <s v="Precision Air"/>
  </r>
  <r>
    <s v="PRD-00277"/>
    <x v="132"/>
    <x v="4"/>
    <x v="4"/>
    <s v="Assembly-01"/>
    <s v="OP-024"/>
    <x v="1"/>
    <n v="207"/>
    <n v="186"/>
    <n v="7"/>
    <n v="6.8"/>
    <n v="34455.51"/>
    <n v="5.36"/>
    <n v="139.36000000000001"/>
    <n v="200"/>
    <d v="2026-04-09T00:00:00"/>
    <d v="2026-04-09T00:00:00"/>
    <x v="0"/>
    <s v="NorthStar Aviation"/>
  </r>
  <r>
    <s v="PRD-00278"/>
    <x v="133"/>
    <x v="2"/>
    <x v="2"/>
    <s v="Repair-02"/>
    <s v="OP-009"/>
    <x v="0"/>
    <n v="130"/>
    <n v="101"/>
    <n v="9"/>
    <n v="1.3"/>
    <n v="9429.17"/>
    <n v="3.03"/>
    <n v="78.78"/>
    <n v="226"/>
    <d v="2026-05-30T00:00:00"/>
    <d v="2026-06-03T00:00:00"/>
    <x v="0"/>
    <s v="Precision Air"/>
  </r>
  <r>
    <s v="PRD-00279"/>
    <x v="134"/>
    <x v="2"/>
    <x v="2"/>
    <s v="Repair-01"/>
    <s v="OP-001"/>
    <x v="1"/>
    <n v="256"/>
    <n v="202"/>
    <n v="4"/>
    <n v="2.2999999999999998"/>
    <n v="18613.37"/>
    <n v="7.25"/>
    <n v="159.5"/>
    <n v="308"/>
    <d v="2026-01-20T00:00:00"/>
    <d v="2026-01-20T00:00:00"/>
    <x v="0"/>
    <s v="AeroTech UK"/>
  </r>
  <r>
    <s v="PRD-00280"/>
    <x v="31"/>
    <x v="1"/>
    <x v="1"/>
    <s v="CNC-04"/>
    <s v="OP-021"/>
    <x v="2"/>
    <n v="227"/>
    <n v="226"/>
    <n v="12"/>
    <n v="8.8000000000000007"/>
    <n v="45425.94"/>
    <n v="6.84"/>
    <n v="164.16"/>
    <n v="207"/>
    <d v="2026-04-08T00:00:00"/>
    <d v="2026-04-08T00:00:00"/>
    <x v="2"/>
    <s v="NorthStar Aviation"/>
  </r>
  <r>
    <s v="PRD-00281"/>
    <x v="0"/>
    <x v="4"/>
    <x v="4"/>
    <s v="Assembly-02"/>
    <s v="OP-029"/>
    <x v="1"/>
    <n v="241"/>
    <n v="236"/>
    <n v="9"/>
    <n v="8.1999999999999993"/>
    <n v="38376.480000000003"/>
    <n v="6.02"/>
    <n v="132.44"/>
    <n v="269"/>
    <d v="2026-06-24T00:00:00"/>
    <d v="2026-06-26T00:00:00"/>
    <x v="0"/>
    <s v="SkyWorks"/>
  </r>
  <r>
    <s v="PRD-00282"/>
    <x v="135"/>
    <x v="5"/>
    <x v="5"/>
    <s v="Surface-02"/>
    <s v="OP-004"/>
    <x v="2"/>
    <n v="122"/>
    <n v="97"/>
    <n v="0"/>
    <n v="6.5"/>
    <n v="16396.689999999999"/>
    <n v="3.38"/>
    <n v="60.84"/>
    <n v="135"/>
    <d v="2026-06-04T00:00:00"/>
    <d v="2026-06-06T00:00:00"/>
    <x v="0"/>
    <s v="Global Aero Systems"/>
  </r>
  <r>
    <s v="PRD-00283"/>
    <x v="79"/>
    <x v="7"/>
    <x v="0"/>
    <s v="Autoclave-01"/>
    <s v="OP-015"/>
    <x v="0"/>
    <n v="277"/>
    <n v="246"/>
    <n v="18"/>
    <n v="0.7"/>
    <n v="54460.47"/>
    <n v="8.2899999999999991"/>
    <n v="198.96"/>
    <n v="316"/>
    <d v="2026-05-26T00:00:00"/>
    <d v="2026-05-26T00:00:00"/>
    <x v="0"/>
    <s v="NorthStar Aviation"/>
  </r>
  <r>
    <s v="PRD-00284"/>
    <x v="55"/>
    <x v="3"/>
    <x v="3"/>
    <s v="Press-01"/>
    <s v="OP-020"/>
    <x v="1"/>
    <n v="88"/>
    <n v="88"/>
    <n v="7"/>
    <n v="2.9"/>
    <n v="11552.33"/>
    <n v="2.73"/>
    <n v="60.06"/>
    <n v="163"/>
    <d v="2026-02-07T00:00:00"/>
    <d v="2026-02-07T00:00:00"/>
    <x v="1"/>
    <s v="Precision Air"/>
  </r>
  <r>
    <s v="PRD-00285"/>
    <x v="60"/>
    <x v="6"/>
    <x v="4"/>
    <s v="Assembly-02"/>
    <s v="OP-016"/>
    <x v="0"/>
    <n v="203"/>
    <n v="193"/>
    <n v="14"/>
    <n v="4"/>
    <n v="30011.7"/>
    <n v="4.88"/>
    <n v="87.84"/>
    <n v="296"/>
    <d v="2026-04-26T00:00:00"/>
    <d v="2026-04-27T00:00:00"/>
    <x v="0"/>
    <s v="AeroTech UK"/>
  </r>
  <r>
    <s v="PRD-00286"/>
    <x v="136"/>
    <x v="5"/>
    <x v="5"/>
    <s v="Surface-02"/>
    <s v="OP-023"/>
    <x v="0"/>
    <n v="156"/>
    <n v="112"/>
    <n v="4"/>
    <n v="2.6"/>
    <n v="12546.8"/>
    <n v="3.02"/>
    <n v="72.48"/>
    <n v="227"/>
    <d v="2026-07-04T00:00:00"/>
    <d v="2026-07-04T00:00:00"/>
    <x v="0"/>
    <s v="Global Aero Systems"/>
  </r>
  <r>
    <s v="PRD-00287"/>
    <x v="58"/>
    <x v="1"/>
    <x v="1"/>
    <s v="CNC-03"/>
    <s v="OP-028"/>
    <x v="2"/>
    <n v="100"/>
    <n v="90"/>
    <n v="2"/>
    <n v="6.9"/>
    <n v="25554.53"/>
    <n v="3.1"/>
    <n v="68.2"/>
    <n v="196"/>
    <d v="2026-04-13T00:00:00"/>
    <d v="2026-04-15T00:00:00"/>
    <x v="0"/>
    <s v="NorthStar Aviation"/>
  </r>
  <r>
    <s v="PRD-00288"/>
    <x v="69"/>
    <x v="6"/>
    <x v="4"/>
    <s v="Assembly-01"/>
    <s v="OP-009"/>
    <x v="2"/>
    <n v="243"/>
    <n v="222"/>
    <n v="10"/>
    <n v="6.3"/>
    <n v="36798.959999999999"/>
    <n v="4.8099999999999996"/>
    <n v="125.06"/>
    <n v="208"/>
    <d v="2026-02-08T00:00:00"/>
    <d v="2026-02-07T00:00:00"/>
    <x v="0"/>
    <s v="Global Aero Systems"/>
  </r>
  <r>
    <s v="PRD-00289"/>
    <x v="15"/>
    <x v="1"/>
    <x v="1"/>
    <s v="CNC-02"/>
    <m/>
    <x v="1"/>
    <n v="118"/>
    <n v="85"/>
    <n v="2"/>
    <n v="3.8"/>
    <n v="21420.49"/>
    <n v="2.29"/>
    <n v="41.22"/>
    <n v="162"/>
    <d v="2026-01-06T00:00:00"/>
    <d v="2026-01-06T00:00:00"/>
    <x v="0"/>
    <s v="AeroTech UK"/>
  </r>
  <r>
    <s v="PRD-00290"/>
    <x v="17"/>
    <x v="5"/>
    <x v="5"/>
    <s v="Surface-01"/>
    <s v="OP-015"/>
    <x v="0"/>
    <n v="129"/>
    <n v="142"/>
    <n v="3"/>
    <n v="3.4"/>
    <n v="18853.990000000002"/>
    <n v="4.99"/>
    <n v="119.76"/>
    <n v="202"/>
    <d v="2026-05-25T00:00:00"/>
    <d v="2026-05-23T00:00:00"/>
    <x v="0"/>
    <s v="AeroTech UK"/>
  </r>
  <r>
    <s v="PRD-00291"/>
    <x v="123"/>
    <x v="1"/>
    <x v="1"/>
    <s v="CNC-03"/>
    <s v="OP-007"/>
    <x v="1"/>
    <n v="179"/>
    <n v="181"/>
    <n v="5"/>
    <n v="2.9"/>
    <n v="37993.47"/>
    <n v="7.33"/>
    <n v="190.58"/>
    <n v="170"/>
    <d v="2026-05-20T00:00:00"/>
    <d v="2026-05-24T00:00:00"/>
    <x v="0"/>
    <s v="AeroTech UK"/>
  </r>
  <r>
    <s v="PRD-00292"/>
    <x v="137"/>
    <x v="1"/>
    <x v="1"/>
    <s v="CNC-02"/>
    <s v="OP-005"/>
    <x v="1"/>
    <n v="140"/>
    <n v="138"/>
    <n v="4"/>
    <n v="1.5"/>
    <n v="26050.639999999999"/>
    <n v="5.0999999999999996"/>
    <n v="91.8"/>
    <n v="110"/>
    <d v="2026-07-01T00:00:00"/>
    <d v="2026-07-05T00:00:00"/>
    <x v="1"/>
    <s v="AeroTech UK"/>
  </r>
  <r>
    <s v="PRD-00293"/>
    <x v="14"/>
    <x v="3"/>
    <x v="3"/>
    <s v="Laser-01"/>
    <s v="OP-008"/>
    <x v="1"/>
    <n v="103"/>
    <n v="104"/>
    <n v="3"/>
    <n v="8.6999999999999993"/>
    <n v="11785.57"/>
    <n v="2.76"/>
    <n v="55.2"/>
    <n v="200"/>
    <d v="2026-03-08T00:00:00"/>
    <d v="2026-03-08T00:00:00"/>
    <x v="2"/>
    <s v="Precision Air"/>
  </r>
  <r>
    <s v="PRD-00294"/>
    <x v="63"/>
    <x v="4"/>
    <x v="4"/>
    <s v="Assembly-02"/>
    <s v="OP-019"/>
    <x v="2"/>
    <n v="267"/>
    <n v="214"/>
    <n v="14"/>
    <n v="3.2"/>
    <n v="41144.410000000003"/>
    <n v="6.34"/>
    <n v="152.16"/>
    <n v="302"/>
    <d v="2026-06-25T00:00:00"/>
    <d v="2026-06-29T00:00:00"/>
    <x v="0"/>
    <s v="Precision Air"/>
  </r>
  <r>
    <s v="PRD-00295"/>
    <x v="31"/>
    <x v="4"/>
    <x v="4"/>
    <s v="Assembly-03"/>
    <s v="OP-001"/>
    <x v="0"/>
    <n v="199"/>
    <n v="166"/>
    <n v="13"/>
    <n v="8.1999999999999993"/>
    <n v="29948.25"/>
    <n v="3.61"/>
    <n v="79.42"/>
    <n v="226"/>
    <d v="2026-04-10T00:00:00"/>
    <d v="2026-04-11T00:00:00"/>
    <x v="2"/>
    <s v="Precision Air"/>
  </r>
  <r>
    <s v="PRD-00296"/>
    <x v="81"/>
    <x v="3"/>
    <x v="3"/>
    <s v="Press-01"/>
    <s v="OP-005"/>
    <x v="0"/>
    <n v="238"/>
    <n v="259"/>
    <n v="19"/>
    <n v="2.1"/>
    <n v="34238.699999999997"/>
    <n v="8.01"/>
    <n v="192.24"/>
    <n v="246"/>
    <d v="2026-04-18T00:00:00"/>
    <d v="2026-04-22T00:00:00"/>
    <x v="1"/>
    <s v="SkyWorks"/>
  </r>
  <r>
    <s v="PRD-00297"/>
    <x v="62"/>
    <x v="2"/>
    <x v="2"/>
    <s v="Repair-02"/>
    <m/>
    <x v="0"/>
    <n v="108"/>
    <n v="82"/>
    <n v="5"/>
    <n v="0.4"/>
    <n v="7988.17"/>
    <n v="1.54"/>
    <n v="27.72"/>
    <n v="192"/>
    <d v="2026-03-29T00:00:00"/>
    <d v="2026-03-28T00:00:00"/>
    <x v="0"/>
    <s v="Global Aero Systems"/>
  </r>
  <r>
    <s v="PRD-00298"/>
    <x v="116"/>
    <x v="5"/>
    <x v="5"/>
    <s v="Surface-02"/>
    <s v="OP-018"/>
    <x v="0"/>
    <n v="92"/>
    <n v="80"/>
    <n v="4"/>
    <n v="0.6"/>
    <n v="12170.94"/>
    <n v="2.38"/>
    <n v="42.84"/>
    <n v="171"/>
    <d v="2026-06-30T00:00:00"/>
    <d v="2026-06-28T00:00:00"/>
    <x v="0"/>
    <s v="Global Aero Systems"/>
  </r>
  <r>
    <s v="PRD-00299"/>
    <x v="51"/>
    <x v="7"/>
    <x v="0"/>
    <s v="CNC-01"/>
    <s v="OP-007"/>
    <x v="0"/>
    <n v="148"/>
    <n v="140"/>
    <n v="9"/>
    <n v="7.5"/>
    <n v="29256.38"/>
    <n v="4.2699999999999996"/>
    <n v="76.86"/>
    <n v="167"/>
    <d v="2026-04-15T00:00:00"/>
    <d v="2026-04-17T00:00:00"/>
    <x v="0"/>
    <s v="NorthStar Aviation"/>
  </r>
  <r>
    <s v="PRD-00300"/>
    <x v="138"/>
    <x v="3"/>
    <x v="3"/>
    <s v="Bender-01"/>
    <s v="OP-013"/>
    <x v="0"/>
    <n v="271"/>
    <n v="260"/>
    <n v="18"/>
    <n v="6.9"/>
    <n v="32851.519999999997"/>
    <n v="9.06"/>
    <n v="217.44"/>
    <n v="257"/>
    <d v="2026-05-30T00:00:00"/>
    <d v="2026-05-30T00:00:00"/>
    <x v="1"/>
    <s v="SkyWorks"/>
  </r>
  <r>
    <s v="PRD-00301"/>
    <x v="116"/>
    <x v="3"/>
    <x v="3"/>
    <s v="Bender-01"/>
    <s v="OP-018"/>
    <x v="2"/>
    <n v="233"/>
    <n v="212"/>
    <n v="7"/>
    <n v="2.8"/>
    <n v="27935.06"/>
    <n v="5.71"/>
    <n v="137.04"/>
    <n v="275"/>
    <d v="2026-06-29T00:00:00"/>
    <d v="2026-06-29T00:00:00"/>
    <x v="1"/>
    <s v="Global Aero Systems"/>
  </r>
  <r>
    <s v="PRD-00302"/>
    <x v="79"/>
    <x v="6"/>
    <x v="4"/>
    <s v="Assembly-02"/>
    <s v="OP-028"/>
    <x v="1"/>
    <n v="195"/>
    <n v="177"/>
    <n v="7"/>
    <n v="6.5"/>
    <n v="37212.720000000001"/>
    <n v="5.38"/>
    <n v="118.36"/>
    <n v="156"/>
    <d v="2026-05-27T00:00:00"/>
    <d v="2026-05-27T00:00:00"/>
    <x v="0"/>
    <s v="AeroTech UK"/>
  </r>
  <r>
    <s v="PRD-00303"/>
    <x v="136"/>
    <x v="6"/>
    <x v="4"/>
    <s v="Assembly-03"/>
    <s v="OP-003"/>
    <x v="0"/>
    <n v="210"/>
    <n v="201"/>
    <n v="17"/>
    <n v="1.4"/>
    <n v="28127.88"/>
    <n v="4.29"/>
    <n v="94.38"/>
    <n v="233"/>
    <d v="2026-07-01T00:00:00"/>
    <d v="2026-07-01T00:00:00"/>
    <x v="0"/>
    <s v="Global Aero Systems"/>
  </r>
  <r>
    <s v="PRD-00304"/>
    <x v="138"/>
    <x v="1"/>
    <x v="1"/>
    <s v="CNC-04"/>
    <s v="OP-025"/>
    <x v="2"/>
    <n v="99"/>
    <n v="102"/>
    <n v="7"/>
    <n v="1.6"/>
    <n v="27373.53"/>
    <n v="3.25"/>
    <n v="58.5"/>
    <n v="135"/>
    <d v="2026-05-28T00:00:00"/>
    <d v="2026-05-30T00:00:00"/>
    <x v="0"/>
    <s v="SkyWorks"/>
  </r>
  <r>
    <s v="PRD-00305"/>
    <x v="31"/>
    <x v="2"/>
    <x v="2"/>
    <s v="Repair-02"/>
    <s v="OP-018"/>
    <x v="0"/>
    <n v="318"/>
    <n v="347"/>
    <n v="28"/>
    <n v="2"/>
    <n v="34630.46"/>
    <n v="6.34"/>
    <n v="152.16"/>
    <n v="291"/>
    <d v="2026-04-06T00:00:00"/>
    <d v="2026-04-04T00:00:00"/>
    <x v="0"/>
    <s v="NorthStar Aviation"/>
  </r>
  <r>
    <s v="PRD-00306"/>
    <x v="139"/>
    <x v="1"/>
    <x v="1"/>
    <s v="CNC-02"/>
    <s v="OP-011"/>
    <x v="2"/>
    <n v="92"/>
    <n v="92"/>
    <n v="8"/>
    <n v="8.6999999999999993"/>
    <n v="23407.79"/>
    <n v="1.85"/>
    <n v="44.4"/>
    <n v="126"/>
    <d v="2026-04-02T00:00:00"/>
    <d v="2026-04-02T00:00:00"/>
    <x v="0"/>
    <s v="Global Aero Systems"/>
  </r>
  <r>
    <s v="PRD-00307"/>
    <x v="101"/>
    <x v="7"/>
    <x v="0"/>
    <s v="CNC-01"/>
    <s v="OP-020"/>
    <x v="0"/>
    <n v="182"/>
    <n v="151"/>
    <n v="6"/>
    <n v="3.9"/>
    <n v="46166.71"/>
    <n v="4.46"/>
    <n v="89.2"/>
    <n v="266"/>
    <d v="2026-06-04T00:00:00"/>
    <d v="2026-06-04T00:00:00"/>
    <x v="1"/>
    <s v="Precision Air"/>
  </r>
  <r>
    <s v="PRD-00308"/>
    <x v="14"/>
    <x v="1"/>
    <x v="1"/>
    <s v="CNC-02"/>
    <s v="OP-021"/>
    <x v="2"/>
    <n v="148"/>
    <n v="155"/>
    <n v="5"/>
    <n v="8.3000000000000007"/>
    <n v="31586.41"/>
    <n v="4.37"/>
    <n v="96.14"/>
    <n v="156"/>
    <d v="2026-03-12T00:00:00"/>
    <d v="2026-03-13T00:00:00"/>
    <x v="1"/>
    <s v="SkyWorks"/>
  </r>
  <r>
    <s v="PRD-00309"/>
    <x v="93"/>
    <x v="4"/>
    <x v="4"/>
    <s v="Assembly-03"/>
    <s v="OP-008"/>
    <x v="0"/>
    <n v="290"/>
    <n v="332"/>
    <n v="14"/>
    <n v="1.3"/>
    <n v="60257.54"/>
    <n v="7.57"/>
    <n v="166.54"/>
    <n v="289"/>
    <d v="2026-02-16T00:00:00"/>
    <d v="2026-02-15T00:00:00"/>
    <x v="0"/>
    <s v="NorthStar Aviation"/>
  </r>
  <r>
    <s v="PRD-00310"/>
    <x v="70"/>
    <x v="7"/>
    <x v="0"/>
    <s v="Autoclave-02"/>
    <s v="OP-024"/>
    <x v="2"/>
    <n v="257"/>
    <n v="273"/>
    <n v="8"/>
    <n v="4.2"/>
    <n v="72797.600000000006"/>
    <n v="6.3"/>
    <n v="163.80000000000001"/>
    <n v="350"/>
    <d v="2026-03-21T00:00:00"/>
    <d v="2026-03-25T00:00:00"/>
    <x v="1"/>
    <s v="AeroTech UK"/>
  </r>
  <r>
    <s v="PRD-00311"/>
    <x v="58"/>
    <x v="7"/>
    <x v="0"/>
    <s v="Autoclave-02"/>
    <s v="OP-028"/>
    <x v="2"/>
    <n v="123"/>
    <n v="91"/>
    <n v="2"/>
    <n v="6.3"/>
    <n v="22062.45"/>
    <n v="3.7"/>
    <n v="66.599999999999994"/>
    <n v="182"/>
    <d v="2026-04-19T00:00:00"/>
    <d v="2026-04-19T00:00:00"/>
    <x v="0"/>
    <s v="AeroTech UK"/>
  </r>
  <r>
    <s v="PRD-00312"/>
    <x v="140"/>
    <x v="2"/>
    <x v="2"/>
    <s v="Repair-01"/>
    <s v="OP-008"/>
    <x v="0"/>
    <n v="177"/>
    <n v="166"/>
    <n v="11"/>
    <n v="8.1"/>
    <n v="15595.21"/>
    <n v="3.34"/>
    <n v="66.8"/>
    <n v="265"/>
    <d v="2026-03-25T00:00:00"/>
    <d v="2026-03-23T00:00:00"/>
    <x v="0"/>
    <s v="SkyWorks"/>
  </r>
  <r>
    <s v="PRD-00313"/>
    <x v="141"/>
    <x v="5"/>
    <x v="5"/>
    <s v="Surface-02"/>
    <s v="OP-029"/>
    <x v="2"/>
    <n v="270"/>
    <n v="212"/>
    <n v="7"/>
    <n v="3.2"/>
    <n v="29419.49"/>
    <n v="8.7899999999999991"/>
    <n v="228.54"/>
    <n v="300"/>
    <d v="2026-03-29T00:00:00"/>
    <d v="2026-03-29T00:00:00"/>
    <x v="2"/>
    <s v="Precision Air"/>
  </r>
  <r>
    <s v="PRD-00314"/>
    <x v="106"/>
    <x v="1"/>
    <x v="1"/>
    <s v="CNC-02"/>
    <s v="OP-010"/>
    <x v="0"/>
    <n v="167"/>
    <n v="184"/>
    <n v="11"/>
    <n v="0.8"/>
    <n v="45245.57"/>
    <n v="6.02"/>
    <n v="120.4"/>
    <n v="233"/>
    <d v="2026-03-18T00:00:00"/>
    <d v="2026-03-18T00:00:00"/>
    <x v="2"/>
    <s v="SkyWorks"/>
  </r>
  <r>
    <s v="PRD-00315"/>
    <x v="36"/>
    <x v="3"/>
    <x v="3"/>
    <s v="Press-01"/>
    <s v="OP-030"/>
    <x v="2"/>
    <n v="247"/>
    <n v="192"/>
    <n v="10"/>
    <n v="7.2"/>
    <n v="24195.47"/>
    <n v="6.71"/>
    <n v="174.46"/>
    <n v="241"/>
    <d v="2026-05-03T00:00:00"/>
    <d v="2026-05-03T00:00:00"/>
    <x v="1"/>
    <s v="SkyWorks"/>
  </r>
  <r>
    <s v="PRD-00316"/>
    <x v="54"/>
    <x v="0"/>
    <x v="0"/>
    <s v="Autoclave-01"/>
    <s v="OP-025"/>
    <x v="2"/>
    <n v="161"/>
    <n v="174"/>
    <n v="3"/>
    <n v="0.3"/>
    <n v="59340.160000000003"/>
    <n v="7.15"/>
    <n v="157.30000000000001"/>
    <n v="234"/>
    <d v="2026-01-30T00:00:00"/>
    <d v="2026-01-30T00:00:00"/>
    <x v="0"/>
    <s v="AeroTech UK"/>
  </r>
  <r>
    <s v="PRD-00317"/>
    <x v="55"/>
    <x v="3"/>
    <x v="3"/>
    <s v="Press-01"/>
    <s v="OP-017"/>
    <x v="0"/>
    <n v="275"/>
    <n v="314"/>
    <n v="19"/>
    <n v="5.5"/>
    <n v="39369.33"/>
    <n v="7.39"/>
    <n v="133.02000000000001"/>
    <n v="326"/>
    <d v="2026-02-06T00:00:00"/>
    <d v="2026-02-10T00:00:00"/>
    <x v="0"/>
    <s v="Global Aero Systems"/>
  </r>
  <r>
    <s v="PRD-00318"/>
    <x v="52"/>
    <x v="4"/>
    <x v="4"/>
    <s v="Assembly-01"/>
    <s v="OP-003"/>
    <x v="2"/>
    <n v="298"/>
    <n v="264"/>
    <n v="12"/>
    <n v="1.5"/>
    <n v="46438"/>
    <n v="10.89"/>
    <n v="239.58"/>
    <n v="363"/>
    <d v="2026-06-21T00:00:00"/>
    <d v="2026-06-21T00:00:00"/>
    <x v="0"/>
    <s v="Global Aero Systems"/>
  </r>
  <r>
    <s v="PRD-00319"/>
    <x v="103"/>
    <x v="5"/>
    <x v="5"/>
    <s v="Surface-02"/>
    <s v="OP-004"/>
    <x v="1"/>
    <n v="301"/>
    <n v="275"/>
    <n v="7"/>
    <n v="3.6"/>
    <n v="34877.03"/>
    <n v="7.46"/>
    <n v="164.12"/>
    <n v="361"/>
    <d v="2026-06-18T00:00:00"/>
    <d v="2026-06-16T00:00:00"/>
    <x v="1"/>
    <s v="Global Aero Systems"/>
  </r>
  <r>
    <s v="PRD-00320"/>
    <x v="108"/>
    <x v="1"/>
    <x v="1"/>
    <s v="CNC-04"/>
    <s v="OP-015"/>
    <x v="2"/>
    <n v="217"/>
    <n v="193"/>
    <n v="13"/>
    <n v="5"/>
    <n v="45928.07"/>
    <n v="3.7"/>
    <n v="81.400000000000006"/>
    <n v="289"/>
    <d v="2026-01-19T00:00:00"/>
    <d v="2026-01-19T00:00:00"/>
    <x v="0"/>
    <s v="Global Aero Systems"/>
  </r>
  <r>
    <s v="PRD-00321"/>
    <x v="115"/>
    <x v="7"/>
    <x v="0"/>
    <s v="CNC-01"/>
    <s v="OP-011"/>
    <x v="1"/>
    <n v="212"/>
    <n v="235"/>
    <n v="10"/>
    <n v="5.8"/>
    <n v="53443.1"/>
    <n v="5.24"/>
    <n v="136.24"/>
    <n v="311"/>
    <d v="2026-03-21T00:00:00"/>
    <d v="2026-03-23T00:00:00"/>
    <x v="2"/>
    <s v="AeroTech UK"/>
  </r>
  <r>
    <s v="PRD-00322"/>
    <x v="142"/>
    <x v="5"/>
    <x v="5"/>
    <s v="Surface-01"/>
    <s v="OP-003"/>
    <x v="0"/>
    <n v="305"/>
    <n v="279"/>
    <n v="7"/>
    <n v="6.2"/>
    <n v="49332.86"/>
    <n v="9.83"/>
    <n v="176.94"/>
    <n v="288"/>
    <d v="2026-02-18T00:00:00"/>
    <d v="2026-02-22T00:00:00"/>
    <x v="0"/>
    <s v="Global Aero Systems"/>
  </r>
  <r>
    <s v="PRD-00323"/>
    <x v="143"/>
    <x v="3"/>
    <x v="3"/>
    <s v="Laser-01"/>
    <s v="OP-010"/>
    <x v="0"/>
    <n v="220"/>
    <n v="194"/>
    <n v="14"/>
    <n v="8.1999999999999993"/>
    <n v="24323.759999999998"/>
    <n v="4.1900000000000004"/>
    <n v="83.8"/>
    <n v="225"/>
    <d v="2026-05-13T00:00:00"/>
    <d v="2026-05-15T00:00:00"/>
    <x v="0"/>
    <s v="Global Aero Systems"/>
  </r>
  <r>
    <s v="PRD-00324"/>
    <x v="70"/>
    <x v="3"/>
    <x v="3"/>
    <s v="Press-01"/>
    <s v="OP-007"/>
    <x v="0"/>
    <n v="310"/>
    <n v="240"/>
    <n v="5"/>
    <n v="5.6"/>
    <n v="25403.7"/>
    <n v="9.25"/>
    <n v="240.5"/>
    <n v="271"/>
    <d v="2026-03-26T00:00:00"/>
    <d v="2026-03-30T00:00:00"/>
    <x v="0"/>
    <s v="Global Aero Systems"/>
  </r>
  <r>
    <s v="PRD-00325"/>
    <x v="84"/>
    <x v="2"/>
    <x v="2"/>
    <s v="Repair-02"/>
    <s v="OP-021"/>
    <x v="1"/>
    <n v="100"/>
    <n v="97"/>
    <n v="0"/>
    <n v="7.9"/>
    <n v="8500.86"/>
    <n v="3.66"/>
    <n v="73.2"/>
    <n v="72"/>
    <d v="2026-05-01T00:00:00"/>
    <d v="2026-05-01T00:00:00"/>
    <x v="0"/>
    <s v="AeroTech UK"/>
  </r>
  <r>
    <s v="PRD-00326"/>
    <x v="144"/>
    <x v="7"/>
    <x v="0"/>
    <s v="CNC-01"/>
    <s v="OP-003"/>
    <x v="1"/>
    <n v="227"/>
    <n v="245"/>
    <n v="7"/>
    <n v="8.3000000000000007"/>
    <n v="53516.56"/>
    <n v="5.46"/>
    <n v="120.12"/>
    <n v="232"/>
    <d v="2026-02-16T00:00:00"/>
    <d v="2026-02-17T00:00:00"/>
    <x v="0"/>
    <s v="SkyWorks"/>
  </r>
  <r>
    <s v="PRD-00327"/>
    <x v="51"/>
    <x v="2"/>
    <x v="2"/>
    <s v="Repair-01"/>
    <s v="OP-020"/>
    <x v="2"/>
    <n v="274"/>
    <n v="247"/>
    <n v="13"/>
    <n v="2.6"/>
    <n v="20779.490000000002"/>
    <n v="6.07"/>
    <n v="157.82"/>
    <n v="339"/>
    <d v="2026-04-15T00:00:00"/>
    <d v="2026-04-15T00:00:00"/>
    <x v="0"/>
    <s v="AeroTech UK"/>
  </r>
  <r>
    <s v="PRD-00328"/>
    <x v="101"/>
    <x v="0"/>
    <x v="0"/>
    <s v="Autoclave-02"/>
    <s v="OP-024"/>
    <x v="0"/>
    <n v="265"/>
    <n v="269"/>
    <n v="23"/>
    <n v="8.9"/>
    <n v="82785.52"/>
    <n v="6.89"/>
    <n v="179.14"/>
    <n v="315"/>
    <d v="2026-05-31T00:00:00"/>
    <d v="2026-06-04T00:00:00"/>
    <x v="1"/>
    <s v="Global Aero Systems"/>
  </r>
  <r>
    <s v="PRD-00329"/>
    <x v="46"/>
    <x v="3"/>
    <x v="3"/>
    <s v="Bender-01"/>
    <s v="OP-012"/>
    <x v="0"/>
    <n v="139"/>
    <n v="142"/>
    <n v="13"/>
    <n v="0"/>
    <n v="14287.12"/>
    <n v="2.96"/>
    <n v="59.2"/>
    <n v="205"/>
    <d v="2026-05-15T00:00:00"/>
    <d v="2026-05-13T00:00:00"/>
    <x v="0"/>
    <s v="NorthStar Aviation"/>
  </r>
  <r>
    <s v="PRD-00330"/>
    <x v="15"/>
    <x v="1"/>
    <x v="1"/>
    <s v="CNC-04"/>
    <s v="OP-007"/>
    <x v="1"/>
    <n v="152"/>
    <n v="126"/>
    <n v="1"/>
    <n v="2.7"/>
    <n v="31418.2"/>
    <n v="2.61"/>
    <n v="57.42"/>
    <n v="199"/>
    <d v="2026-01-11T00:00:00"/>
    <d v="2026-01-09T00:00:00"/>
    <x v="0"/>
    <s v="SkyWorks"/>
  </r>
  <r>
    <s v="PRD-00331"/>
    <x v="122"/>
    <x v="5"/>
    <x v="5"/>
    <s v="Surface-02"/>
    <s v="OP-024"/>
    <x v="0"/>
    <n v="284"/>
    <n v="208"/>
    <n v="3"/>
    <n v="1.4"/>
    <n v="32161.200000000001"/>
    <n v="8.2200000000000006"/>
    <n v="197.28"/>
    <n v="349"/>
    <d v="2026-06-24T00:00:00"/>
    <d v="2026-06-24T00:00:00"/>
    <x v="1"/>
    <s v="SkyWorks"/>
  </r>
  <r>
    <s v="PRD-00332"/>
    <x v="133"/>
    <x v="7"/>
    <x v="0"/>
    <s v="Autoclave-01"/>
    <s v="OP-020"/>
    <x v="1"/>
    <n v="227"/>
    <n v="230"/>
    <n v="17"/>
    <n v="8"/>
    <n v="65413.51"/>
    <n v="5.69"/>
    <n v="102.42"/>
    <n v="273"/>
    <d v="2026-05-31T00:00:00"/>
    <d v="2026-05-31T00:00:00"/>
    <x v="1"/>
    <s v="NorthStar Aviation"/>
  </r>
  <r>
    <s v="PRD-00333"/>
    <x v="65"/>
    <x v="0"/>
    <x v="0"/>
    <s v="Autoclave-02"/>
    <s v="OP-004"/>
    <x v="1"/>
    <n v="260"/>
    <n v="283"/>
    <n v="19"/>
    <n v="2.4"/>
    <n v="85891.57"/>
    <n v="7.62"/>
    <n v="167.64"/>
    <n v="275"/>
    <d v="2026-06-12T00:00:00"/>
    <d v="2026-06-12T00:00:00"/>
    <x v="0"/>
    <s v="AeroTech UK"/>
  </r>
  <r>
    <s v="PRD-00334"/>
    <x v="74"/>
    <x v="0"/>
    <x v="0"/>
    <s v="Autoclave-02"/>
    <s v="OP-027"/>
    <x v="0"/>
    <n v="209"/>
    <n v="152"/>
    <n v="7"/>
    <n v="4.5"/>
    <n v="48695.65"/>
    <n v="5.41"/>
    <n v="140.66"/>
    <n v="248"/>
    <d v="2026-02-28T00:00:00"/>
    <d v="2026-02-28T00:00:00"/>
    <x v="0"/>
    <s v="NorthStar Aviation"/>
  </r>
  <r>
    <s v="PRD-00336"/>
    <x v="110"/>
    <x v="6"/>
    <x v="4"/>
    <s v="Assembly-03"/>
    <s v="OP-001"/>
    <x v="0"/>
    <n v="308"/>
    <n v="249"/>
    <n v="5"/>
    <n v="2.6"/>
    <n v="47199.19"/>
    <n v="8.49"/>
    <n v="186.78"/>
    <n v="306"/>
    <d v="2026-01-10T00:00:00"/>
    <d v="2026-01-10T00:00:00"/>
    <x v="0"/>
    <s v="Precision Air"/>
  </r>
  <r>
    <s v="PRD-00337"/>
    <x v="78"/>
    <x v="0"/>
    <x v="0"/>
    <s v="Autoclave-01"/>
    <s v="OP-015"/>
    <x v="2"/>
    <n v="218"/>
    <n v="189"/>
    <n v="6"/>
    <n v="1.3"/>
    <n v="61897.82"/>
    <n v="4.51"/>
    <n v="81.180000000000007"/>
    <n v="257"/>
    <d v="2026-05-23T00:00:00"/>
    <d v="2026-05-24T00:00:00"/>
    <x v="1"/>
    <s v="NorthStar Aviation"/>
  </r>
  <r>
    <s v="PRD-00338"/>
    <x v="57"/>
    <x v="5"/>
    <x v="5"/>
    <s v="Surface-01"/>
    <s v="OP-023"/>
    <x v="0"/>
    <n v="107"/>
    <n v="94"/>
    <n v="1"/>
    <n v="3.5"/>
    <n v="15930.34"/>
    <n v="3.11"/>
    <n v="74.64"/>
    <n v="158"/>
    <d v="2026-01-14T00:00:00"/>
    <d v="2026-01-15T00:00:00"/>
    <x v="0"/>
    <s v="Precision Air"/>
  </r>
  <r>
    <s v="PRD-00339"/>
    <x v="8"/>
    <x v="5"/>
    <x v="5"/>
    <s v="Surface-01"/>
    <s v="OP-028"/>
    <x v="0"/>
    <n v="103"/>
    <n v="110"/>
    <n v="9"/>
    <n v="4.2"/>
    <n v="16228.73"/>
    <n v="3.85"/>
    <n v="92.4"/>
    <n v="183"/>
    <d v="2026-01-26T00:00:00"/>
    <d v="2026-01-26T00:00:00"/>
    <x v="0"/>
    <s v="SkyWorks"/>
  </r>
  <r>
    <s v="PRD-00340"/>
    <x v="99"/>
    <x v="2"/>
    <x v="2"/>
    <s v="Repair-01"/>
    <s v="OP-010"/>
    <x v="1"/>
    <n v="259"/>
    <n v="288"/>
    <n v="10"/>
    <n v="7.7"/>
    <n v="24761.61"/>
    <n v="5.64"/>
    <n v="101.52"/>
    <n v="308"/>
    <d v="2026-04-13T00:00:00"/>
    <d v="2026-04-17T00:00:00"/>
    <x v="0"/>
    <s v="Precision Air"/>
  </r>
  <r>
    <s v="PRD-00341"/>
    <x v="145"/>
    <x v="3"/>
    <x v="3"/>
    <s v="Bender-01"/>
    <s v="OP-020"/>
    <x v="2"/>
    <n v="106"/>
    <n v="94"/>
    <n v="6"/>
    <n v="1"/>
    <n v="9971.75"/>
    <n v="2.37"/>
    <n v="56.88"/>
    <n v="168"/>
    <d v="2026-06-08T00:00:00"/>
    <d v="2026-06-10T00:00:00"/>
    <x v="0"/>
    <s v="Precision Air"/>
  </r>
  <r>
    <s v="PRD-00342"/>
    <x v="111"/>
    <x v="5"/>
    <x v="5"/>
    <s v="Surface-02"/>
    <s v="OP-027"/>
    <x v="1"/>
    <n v="96"/>
    <n v="83"/>
    <n v="6"/>
    <n v="5.3"/>
    <n v="12846.15"/>
    <n v="3.06"/>
    <n v="79.56"/>
    <n v="116"/>
    <d v="2026-02-14T00:00:00"/>
    <d v="2026-02-13T00:00:00"/>
    <x v="1"/>
    <s v="AeroTech UK"/>
  </r>
  <r>
    <s v="PRD-00343"/>
    <x v="33"/>
    <x v="5"/>
    <x v="5"/>
    <s v="Surface-02"/>
    <s v="OP-003"/>
    <x v="2"/>
    <n v="222"/>
    <n v="169"/>
    <n v="7"/>
    <n v="2.8"/>
    <n v="23940.62"/>
    <n v="5.82"/>
    <n v="151.32"/>
    <n v="279"/>
    <d v="2026-06-08T00:00:00"/>
    <d v="2026-06-12T00:00:00"/>
    <x v="0"/>
    <s v="NorthStar Aviation"/>
  </r>
  <r>
    <s v="PRD-00344"/>
    <x v="146"/>
    <x v="7"/>
    <x v="0"/>
    <s v="Autoclave-01"/>
    <s v="OP-023"/>
    <x v="1"/>
    <n v="249"/>
    <n v="195"/>
    <n v="10"/>
    <n v="3.5"/>
    <n v="49109.45"/>
    <n v="6.7"/>
    <n v="147.4"/>
    <n v="285"/>
    <d v="2026-06-09T00:00:00"/>
    <d v="2026-06-09T00:00:00"/>
    <x v="2"/>
    <s v="AeroTech UK"/>
  </r>
  <r>
    <s v="PRD-00345"/>
    <x v="113"/>
    <x v="7"/>
    <x v="0"/>
    <s v="CNC-01"/>
    <s v="OP-008"/>
    <x v="1"/>
    <n v="210"/>
    <n v="187"/>
    <n v="3"/>
    <n v="2.6"/>
    <n v="48146.87"/>
    <n v="3.6"/>
    <n v="93.6"/>
    <n v="261"/>
    <d v="2026-06-02T00:00:00"/>
    <d v="2026-06-02T00:00:00"/>
    <x v="0"/>
    <s v="Precision Air"/>
  </r>
  <r>
    <s v="PRD-00346"/>
    <x v="147"/>
    <x v="4"/>
    <x v="4"/>
    <s v="Assembly-03"/>
    <s v="OP-005"/>
    <x v="2"/>
    <n v="177"/>
    <n v="158"/>
    <n v="6"/>
    <n v="1.9"/>
    <n v="25193.439999999999"/>
    <n v="4.95"/>
    <n v="108.9"/>
    <n v="243"/>
    <d v="2026-04-15T00:00:00"/>
    <d v="2026-04-15T00:00:00"/>
    <x v="0"/>
    <s v="AeroTech UK"/>
  </r>
  <r>
    <s v="PRD-00347"/>
    <x v="63"/>
    <x v="7"/>
    <x v="0"/>
    <s v="Autoclave-01"/>
    <s v="OP-017"/>
    <x v="1"/>
    <n v="264"/>
    <n v="290"/>
    <n v="18"/>
    <n v="8.8000000000000007"/>
    <n v="60674.95"/>
    <n v="10.83"/>
    <n v="259.92"/>
    <n v="332"/>
    <d v="2026-06-26T00:00:00"/>
    <d v="2026-06-26T00:00:00"/>
    <x v="2"/>
    <s v="Precision Air"/>
  </r>
  <r>
    <s v="PRD-00348"/>
    <x v="56"/>
    <x v="2"/>
    <x v="2"/>
    <s v="Repair-02"/>
    <s v="OP-002"/>
    <x v="0"/>
    <n v="137"/>
    <n v="109"/>
    <n v="6"/>
    <n v="5.2"/>
    <n v="10493.56"/>
    <n v="3.27"/>
    <n v="78.48"/>
    <n v="236"/>
    <d v="2026-05-07T00:00:00"/>
    <d v="2026-05-08T00:00:00"/>
    <x v="0"/>
    <s v="Global Aero Systems"/>
  </r>
  <r>
    <s v="PRD-00349"/>
    <x v="51"/>
    <x v="0"/>
    <x v="0"/>
    <s v="CNC-01"/>
    <s v="OP-029"/>
    <x v="0"/>
    <n v="203"/>
    <n v="230"/>
    <n v="2"/>
    <n v="6.6"/>
    <n v="82427.56"/>
    <n v="8.2799999999999994"/>
    <n v="182.16"/>
    <n v="282"/>
    <d v="2026-04-15T00:00:00"/>
    <d v="2026-04-14T00:00:00"/>
    <x v="1"/>
    <s v="AeroTech UK"/>
  </r>
  <r>
    <s v="PRD-00350"/>
    <x v="148"/>
    <x v="5"/>
    <x v="5"/>
    <s v="Surface-01"/>
    <s v="OP-024"/>
    <x v="1"/>
    <n v="255"/>
    <n v="253"/>
    <n v="19"/>
    <n v="2.8"/>
    <n v="29057.32"/>
    <n v="9.2799999999999994"/>
    <n v="222.72"/>
    <n v="331"/>
    <d v="2026-03-14T00:00:00"/>
    <d v="2026-03-18T00:00:00"/>
    <x v="1"/>
    <s v="Global Aero Systems"/>
  </r>
  <r>
    <s v="PRD-00351"/>
    <x v="11"/>
    <x v="6"/>
    <x v="4"/>
    <s v="Assembly-02"/>
    <s v="OP-026"/>
    <x v="0"/>
    <n v="122"/>
    <n v="89"/>
    <n v="7"/>
    <n v="6.7"/>
    <n v="17098.25"/>
    <n v="1.73"/>
    <n v="41.52"/>
    <n v="125"/>
    <d v="2026-04-12T00:00:00"/>
    <d v="2026-04-10T00:00:00"/>
    <x v="0"/>
    <s v="Precision Air"/>
  </r>
  <r>
    <s v="PRD-00352"/>
    <x v="1"/>
    <x v="6"/>
    <x v="4"/>
    <s v="Assembly-02"/>
    <s v="OP-024"/>
    <x v="2"/>
    <n v="101"/>
    <n v="78"/>
    <n v="0"/>
    <n v="7.1"/>
    <n v="12789.5"/>
    <n v="1.92"/>
    <n v="42.24"/>
    <n v="64"/>
    <d v="2026-01-10T00:00:00"/>
    <d v="2026-01-10T00:00:00"/>
    <x v="1"/>
    <s v="Global Aero Systems"/>
  </r>
  <r>
    <s v="PRD-00353"/>
    <x v="51"/>
    <x v="3"/>
    <x v="3"/>
    <s v="Laser-01"/>
    <s v="OP-008"/>
    <x v="0"/>
    <n v="280"/>
    <n v="285"/>
    <n v="13"/>
    <n v="7.2"/>
    <n v="36251.54"/>
    <n v="5.71"/>
    <n v="114.2"/>
    <n v="279"/>
    <d v="2026-04-14T00:00:00"/>
    <d v="2026-04-16T00:00:00"/>
    <x v="2"/>
    <s v="Global Aero Systems"/>
  </r>
  <r>
    <s v="PRD-00354"/>
    <x v="0"/>
    <x v="3"/>
    <x v="3"/>
    <s v="Press-01"/>
    <s v="OP-008"/>
    <x v="1"/>
    <n v="227"/>
    <n v="235"/>
    <n v="8"/>
    <n v="5.8"/>
    <n v="27046.6"/>
    <n v="5.18"/>
    <n v="124.32"/>
    <n v="308"/>
    <d v="2026-06-19T00:00:00"/>
    <d v="2026-06-23T00:00:00"/>
    <x v="1"/>
    <s v="Global Aero Systems"/>
  </r>
  <r>
    <s v="PRD-00355"/>
    <x v="97"/>
    <x v="6"/>
    <x v="4"/>
    <s v="Assembly-01"/>
    <s v="OP-020"/>
    <x v="0"/>
    <n v="215"/>
    <n v="235"/>
    <n v="1"/>
    <n v="8.3000000000000007"/>
    <n v="42205.63"/>
    <n v="9.65"/>
    <n v="173.7"/>
    <n v="199"/>
    <d v="2026-05-12T00:00:00"/>
    <d v="2026-05-13T00:00:00"/>
    <x v="2"/>
    <s v="SkyWorks"/>
  </r>
  <r>
    <s v="PRD-00356"/>
    <x v="141"/>
    <x v="6"/>
    <x v="4"/>
    <s v="Assembly-02"/>
    <s v="OP-011"/>
    <x v="0"/>
    <n v="285"/>
    <n v="217"/>
    <n v="13"/>
    <n v="3.5"/>
    <n v="44395.32"/>
    <n v="7.73"/>
    <n v="200.98"/>
    <n v="294"/>
    <d v="2026-04-06T00:00:00"/>
    <d v="2026-04-07T00:00:00"/>
    <x v="0"/>
    <s v="AeroTech UK"/>
  </r>
  <r>
    <s v="PRD-00357"/>
    <x v="122"/>
    <x v="7"/>
    <x v="0"/>
    <s v="Autoclave-01"/>
    <s v="OP-020"/>
    <x v="0"/>
    <n v="83"/>
    <n v="74"/>
    <n v="3"/>
    <n v="6.2"/>
    <n v="19807.36"/>
    <n v="1.78"/>
    <n v="32.04"/>
    <n v="56"/>
    <d v="2026-07-03T00:00:00"/>
    <d v="2026-07-02T00:00:00"/>
    <x v="0"/>
    <s v="NorthStar Aviation"/>
  </r>
  <r>
    <s v="PRD-00358"/>
    <x v="88"/>
    <x v="0"/>
    <x v="0"/>
    <s v="CNC-01"/>
    <s v="OP-015"/>
    <x v="0"/>
    <n v="110"/>
    <n v="83"/>
    <n v="4"/>
    <n v="3.4"/>
    <n v="30598.25"/>
    <n v="3.09"/>
    <n v="61.8"/>
    <n v="98"/>
    <d v="2026-06-07T00:00:00"/>
    <d v="2026-06-07T00:00:00"/>
    <x v="0"/>
    <s v="AeroTech UK"/>
  </r>
  <r>
    <s v="PRD-00359"/>
    <x v="0"/>
    <x v="5"/>
    <x v="5"/>
    <s v="Surface-02"/>
    <s v="OP-009"/>
    <x v="1"/>
    <n v="276"/>
    <n v="249"/>
    <n v="21"/>
    <n v="6.9"/>
    <n v="30299.32"/>
    <n v="4.92"/>
    <n v="88.56"/>
    <n v="333"/>
    <d v="2026-06-21T00:00:00"/>
    <d v="2026-06-22T00:00:00"/>
    <x v="0"/>
    <s v="NorthStar Aviation"/>
  </r>
  <r>
    <s v="PRD-00360"/>
    <x v="39"/>
    <x v="0"/>
    <x v="0"/>
    <s v="Autoclave-02"/>
    <s v="OP-002"/>
    <x v="2"/>
    <n v="317"/>
    <n v="255"/>
    <n v="10"/>
    <n v="5.8"/>
    <n v="71712.3"/>
    <n v="7.23"/>
    <n v="187.98"/>
    <n v="304"/>
    <d v="2026-05-02T00:00:00"/>
    <d v="2026-05-02T00:00:00"/>
    <x v="0"/>
    <s v="AeroTech UK"/>
  </r>
  <r>
    <s v="PRD-00361"/>
    <x v="101"/>
    <x v="6"/>
    <x v="4"/>
    <s v="Assembly-02"/>
    <s v="OP-023"/>
    <x v="1"/>
    <n v="84"/>
    <n v="92"/>
    <n v="1"/>
    <n v="5.8"/>
    <n v="19387.48"/>
    <n v="2.2400000000000002"/>
    <n v="49.28"/>
    <n v="150"/>
    <d v="2026-06-07T00:00:00"/>
    <d v="2026-06-05T00:00:00"/>
    <x v="1"/>
    <s v="Global Aero Systems"/>
  </r>
  <r>
    <s v="PRD-00362"/>
    <x v="60"/>
    <x v="2"/>
    <x v="2"/>
    <s v="Repair-01"/>
    <s v="OP-002"/>
    <x v="0"/>
    <n v="218"/>
    <n v="178"/>
    <n v="7"/>
    <n v="6.2"/>
    <n v="16210.92"/>
    <n v="5.49"/>
    <n v="120.78"/>
    <n v="263"/>
    <d v="2026-05-04T00:00:00"/>
    <d v="2026-05-04T00:00:00"/>
    <x v="2"/>
    <s v="AeroTech UK"/>
  </r>
  <r>
    <s v="PRD-00363"/>
    <x v="99"/>
    <x v="4"/>
    <x v="4"/>
    <s v="Assembly-01"/>
    <s v="OP-016"/>
    <x v="2"/>
    <n v="295"/>
    <n v="270"/>
    <n v="19"/>
    <n v="5.8"/>
    <n v="41834.25"/>
    <n v="7.35"/>
    <n v="147"/>
    <n v="331"/>
    <d v="2026-04-12T00:00:00"/>
    <d v="2026-04-11T00:00:00"/>
    <x v="0"/>
    <s v="Global Aero Systems"/>
  </r>
  <r>
    <s v="PRD-00364"/>
    <x v="45"/>
    <x v="3"/>
    <x v="3"/>
    <s v="Press-01"/>
    <s v="OP-011"/>
    <x v="2"/>
    <n v="129"/>
    <n v="94"/>
    <n v="8"/>
    <n v="2.1"/>
    <n v="11431.23"/>
    <n v="3.14"/>
    <n v="75.36"/>
    <n v="225"/>
    <d v="2026-02-27T00:00:00"/>
    <d v="2026-02-25T00:00:00"/>
    <x v="0"/>
    <s v="SkyWorks"/>
  </r>
  <r>
    <s v="PRD-00365"/>
    <x v="108"/>
    <x v="2"/>
    <x v="2"/>
    <s v="Repair-01"/>
    <s v="OP-016"/>
    <x v="0"/>
    <n v="134"/>
    <n v="142"/>
    <n v="9"/>
    <n v="4.0999999999999996"/>
    <n v="15306.83"/>
    <n v="3.06"/>
    <n v="79.56"/>
    <n v="153"/>
    <d v="2026-01-14T00:00:00"/>
    <d v="2026-01-12T00:00:00"/>
    <x v="0"/>
    <s v="AeroTech UK"/>
  </r>
  <r>
    <s v="PRD-00366"/>
    <x v="67"/>
    <x v="7"/>
    <x v="0"/>
    <s v="Autoclave-01"/>
    <s v="OP-004"/>
    <x v="1"/>
    <n v="259"/>
    <n v="258"/>
    <n v="1"/>
    <n v="5.7"/>
    <n v="85601.66"/>
    <n v="5.25"/>
    <n v="136.5"/>
    <n v="262"/>
    <d v="2026-05-12T00:00:00"/>
    <d v="2026-05-11T00:00:00"/>
    <x v="0"/>
    <s v="Precision Air"/>
  </r>
  <r>
    <s v="PRD-00367"/>
    <x v="103"/>
    <x v="1"/>
    <x v="1"/>
    <s v="CNC-02"/>
    <m/>
    <x v="2"/>
    <n v="285"/>
    <n v="230"/>
    <n v="8"/>
    <n v="7.5"/>
    <n v="55584.06"/>
    <n v="4.8099999999999996"/>
    <n v="125.06"/>
    <n v="384"/>
    <d v="2026-06-11T00:00:00"/>
    <d v="2026-06-12T00:00:00"/>
    <x v="0"/>
    <s v="Precision Air"/>
  </r>
  <r>
    <s v="PRD-00368"/>
    <x v="149"/>
    <x v="4"/>
    <x v="4"/>
    <s v="Assembly-01"/>
    <s v="OP-013"/>
    <x v="2"/>
    <n v="110"/>
    <n v="92"/>
    <n v="6"/>
    <n v="1.5"/>
    <n v="15967.49"/>
    <n v="2.19"/>
    <n v="56.94"/>
    <n v="80"/>
    <d v="2026-02-18T00:00:00"/>
    <d v="2026-02-17T00:00:00"/>
    <x v="1"/>
    <s v="AeroTech UK"/>
  </r>
  <r>
    <s v="PRD-00369"/>
    <x v="29"/>
    <x v="0"/>
    <x v="0"/>
    <s v="Autoclave-01"/>
    <s v="OP-017"/>
    <x v="1"/>
    <n v="81"/>
    <n v="64"/>
    <n v="0"/>
    <n v="5.9"/>
    <n v="23083.75"/>
    <n v="2.39"/>
    <n v="57.36"/>
    <n v="82"/>
    <d v="2026-05-10T00:00:00"/>
    <d v="2026-05-10T00:00:00"/>
    <x v="0"/>
    <s v="Global Aero Systems"/>
  </r>
  <r>
    <s v="PRD-00370"/>
    <x v="41"/>
    <x v="3"/>
    <x v="3"/>
    <s v="Bender-01"/>
    <m/>
    <x v="0"/>
    <n v="257"/>
    <n v="189"/>
    <n v="4"/>
    <n v="4.5"/>
    <n v="26680.6"/>
    <n v="6.95"/>
    <n v="152.9"/>
    <n v="324"/>
    <d v="2026-03-05T00:00:00"/>
    <d v="2026-03-05T00:00:00"/>
    <x v="0"/>
    <s v="AeroTech UK"/>
  </r>
  <r>
    <s v="PRD-00371"/>
    <x v="18"/>
    <x v="4"/>
    <x v="4"/>
    <s v="Assembly-03"/>
    <s v="OP-002"/>
    <x v="0"/>
    <n v="209"/>
    <n v="170"/>
    <n v="12"/>
    <n v="5.9"/>
    <n v="28703.55"/>
    <n v="6.31"/>
    <n v="151.44"/>
    <n v="296"/>
    <d v="2026-06-12T00:00:00"/>
    <d v="2026-06-12T00:00:00"/>
    <x v="0"/>
    <s v="SkyWorks"/>
  </r>
  <r>
    <s v="PRD-00372"/>
    <x v="114"/>
    <x v="1"/>
    <x v="1"/>
    <s v="CNC-03"/>
    <s v="OP-004"/>
    <x v="2"/>
    <n v="144"/>
    <n v="124"/>
    <n v="9"/>
    <n v="6.8"/>
    <n v="25210.61"/>
    <n v="4.9800000000000004"/>
    <n v="99.6"/>
    <n v="144"/>
    <d v="2026-03-16T00:00:00"/>
    <d v="2026-03-20T00:00:00"/>
    <x v="1"/>
    <s v="NorthStar Aviation"/>
  </r>
  <r>
    <s v="PRD-00373"/>
    <x v="150"/>
    <x v="4"/>
    <x v="4"/>
    <s v="Assembly-02"/>
    <s v="OP-016"/>
    <x v="0"/>
    <n v="130"/>
    <n v="135"/>
    <n v="11"/>
    <n v="2.1"/>
    <n v="21521.66"/>
    <n v="3.2"/>
    <n v="76.8"/>
    <n v="141"/>
    <d v="2026-05-02T00:00:00"/>
    <d v="2026-05-02T00:00:00"/>
    <x v="0"/>
    <s v="Global Aero Systems"/>
  </r>
  <r>
    <s v="PRD-00374"/>
    <x v="16"/>
    <x v="2"/>
    <x v="2"/>
    <s v="Repair-01"/>
    <s v="OP-023"/>
    <x v="0"/>
    <n v="135"/>
    <n v="151"/>
    <n v="6"/>
    <n v="3.5"/>
    <n v="12794.57"/>
    <n v="5.01"/>
    <n v="110.22"/>
    <n v="146"/>
    <d v="2026-01-21T00:00:00"/>
    <d v="2026-01-21T00:00:00"/>
    <x v="0"/>
    <s v="AeroTech UK"/>
  </r>
  <r>
    <s v="PRD-00375"/>
    <x v="106"/>
    <x v="3"/>
    <x v="3"/>
    <s v="Press-01"/>
    <s v="OP-014"/>
    <x v="0"/>
    <n v="298"/>
    <n v="274"/>
    <n v="11"/>
    <n v="6.8"/>
    <n v="27354.75"/>
    <n v="5.96"/>
    <n v="154.96"/>
    <n v="301"/>
    <d v="2026-03-24T00:00:00"/>
    <d v="2026-03-24T00:00:00"/>
    <x v="0"/>
    <m/>
  </r>
  <r>
    <s v="PRD-00376"/>
    <x v="89"/>
    <x v="5"/>
    <x v="5"/>
    <s v="Surface-02"/>
    <s v="OP-002"/>
    <x v="2"/>
    <n v="151"/>
    <n v="109"/>
    <n v="4"/>
    <n v="7.9"/>
    <n v="13910.37"/>
    <n v="2.54"/>
    <n v="66.040000000000006"/>
    <n v="149"/>
    <d v="2026-03-08T00:00:00"/>
    <d v="2026-03-06T00:00:00"/>
    <x v="2"/>
    <s v="Global Aero Systems"/>
  </r>
  <r>
    <s v="PRD-00377"/>
    <x v="151"/>
    <x v="7"/>
    <x v="0"/>
    <s v="Autoclave-02"/>
    <s v="OP-010"/>
    <x v="2"/>
    <n v="215"/>
    <n v="191"/>
    <n v="14"/>
    <n v="6.3"/>
    <n v="43512.7"/>
    <n v="3.82"/>
    <n v="68.760000000000005"/>
    <n v="279"/>
    <d v="2026-05-15T00:00:00"/>
    <d v="2026-05-15T00:00:00"/>
    <x v="0"/>
    <s v="AeroTech UK"/>
  </r>
  <r>
    <s v="PRD-00378"/>
    <x v="90"/>
    <x v="5"/>
    <x v="5"/>
    <s v="Surface-02"/>
    <s v="OP-028"/>
    <x v="0"/>
    <n v="121"/>
    <n v="123"/>
    <n v="10"/>
    <n v="6.7"/>
    <n v="14388.74"/>
    <n v="4.49"/>
    <n v="107.76"/>
    <n v="128"/>
    <d v="2026-01-12T00:00:00"/>
    <d v="2026-01-16T00:00:00"/>
    <x v="0"/>
    <s v="AeroTech UK"/>
  </r>
  <r>
    <s v="PRD-00379"/>
    <x v="152"/>
    <x v="4"/>
    <x v="4"/>
    <s v="Assembly-03"/>
    <s v="OP-004"/>
    <x v="1"/>
    <n v="88"/>
    <n v="74"/>
    <n v="5"/>
    <n v="6.3"/>
    <n v="15711.52"/>
    <n v="1.7"/>
    <n v="30.6"/>
    <n v="135"/>
    <d v="2026-04-11T00:00:00"/>
    <d v="2026-04-12T00:00:00"/>
    <x v="0"/>
    <s v="SkyWorks"/>
  </r>
  <r>
    <s v="PRD-00380"/>
    <x v="48"/>
    <x v="7"/>
    <x v="0"/>
    <s v="Autoclave-02"/>
    <s v="OP-028"/>
    <x v="0"/>
    <n v="173"/>
    <n v="137"/>
    <n v="7"/>
    <n v="0.6"/>
    <n v="36185.33"/>
    <n v="5.69"/>
    <n v="113.8"/>
    <n v="271"/>
    <d v="2026-05-03T00:00:00"/>
    <d v="2026-05-07T00:00:00"/>
    <x v="1"/>
    <s v="NorthStar Aviation"/>
  </r>
  <r>
    <s v="PRD-00381"/>
    <x v="24"/>
    <x v="4"/>
    <x v="4"/>
    <s v="Assembly-02"/>
    <s v="OP-020"/>
    <x v="1"/>
    <n v="309"/>
    <n v="258"/>
    <n v="17"/>
    <n v="2.5"/>
    <n v="41692.370000000003"/>
    <n v="7.65"/>
    <n v="198.9"/>
    <n v="300"/>
    <d v="2026-03-08T00:00:00"/>
    <d v="2026-03-08T00:00:00"/>
    <x v="2"/>
    <s v="AeroTech UK"/>
  </r>
  <r>
    <s v="PRD-00382"/>
    <x v="45"/>
    <x v="5"/>
    <x v="5"/>
    <s v="Surface-01"/>
    <s v="OP-021"/>
    <x v="2"/>
    <n v="100"/>
    <n v="88"/>
    <n v="1"/>
    <n v="8.6"/>
    <n v="9701.6"/>
    <n v="1.82"/>
    <n v="36.4"/>
    <n v="187"/>
    <d v="2026-02-22T00:00:00"/>
    <d v="2026-02-22T00:00:00"/>
    <x v="1"/>
    <s v="SkyWorks"/>
  </r>
  <r>
    <s v="PRD-00383"/>
    <x v="40"/>
    <x v="3"/>
    <x v="3"/>
    <s v="Laser-01"/>
    <s v="OP-016"/>
    <x v="0"/>
    <n v="168"/>
    <n v="151"/>
    <n v="10"/>
    <n v="0.2"/>
    <n v="13737.34"/>
    <n v="5.62"/>
    <n v="146.12"/>
    <n v="213"/>
    <d v="2026-04-25T00:00:00"/>
    <d v="2026-04-26T00:00:00"/>
    <x v="0"/>
    <s v="Precision Air"/>
  </r>
  <r>
    <s v="PRD-00384"/>
    <x v="79"/>
    <x v="5"/>
    <x v="5"/>
    <s v="Surface-02"/>
    <s v="OP-015"/>
    <x v="2"/>
    <n v="157"/>
    <n v="151"/>
    <n v="12"/>
    <n v="2.8"/>
    <n v="22078.41"/>
    <n v="4.07"/>
    <n v="89.54"/>
    <n v="129"/>
    <d v="2026-05-25T00:00:00"/>
    <d v="2026-05-26T00:00:00"/>
    <x v="0"/>
    <s v="Precision Air"/>
  </r>
  <r>
    <s v="PRD-00385"/>
    <x v="119"/>
    <x v="6"/>
    <x v="4"/>
    <s v="Assembly-01"/>
    <s v="OP-006"/>
    <x v="2"/>
    <n v="124"/>
    <n v="134"/>
    <n v="9"/>
    <n v="6"/>
    <n v="19043.66"/>
    <n v="2.54"/>
    <n v="55.88"/>
    <n v="116"/>
    <d v="2026-02-20T00:00:00"/>
    <d v="2026-02-20T00:00:00"/>
    <x v="0"/>
    <s v="Precision Air"/>
  </r>
  <r>
    <s v="PRD-00386"/>
    <x v="72"/>
    <x v="4"/>
    <x v="4"/>
    <s v="Assembly-02"/>
    <s v="OP-001"/>
    <x v="0"/>
    <n v="117"/>
    <n v="103"/>
    <n v="5"/>
    <n v="1.5"/>
    <n v="21284.06"/>
    <n v="2.85"/>
    <n v="68.400000000000006"/>
    <n v="114"/>
    <d v="2026-01-18T00:00:00"/>
    <d v="2026-01-19T00:00:00"/>
    <x v="0"/>
    <s v="Precision Air"/>
  </r>
  <r>
    <s v="PRD-00387"/>
    <x v="151"/>
    <x v="4"/>
    <x v="4"/>
    <s v="Assembly-03"/>
    <s v="OP-029"/>
    <x v="2"/>
    <n v="260"/>
    <n v="220"/>
    <n v="18"/>
    <n v="8.6999999999999993"/>
    <n v="54385.09"/>
    <n v="7.48"/>
    <n v="194.48"/>
    <n v="333"/>
    <d v="2026-05-17T00:00:00"/>
    <d v="2026-05-16T00:00:00"/>
    <x v="2"/>
    <s v="NorthStar Aviation"/>
  </r>
  <r>
    <s v="PRD-00388"/>
    <x v="92"/>
    <x v="0"/>
    <x v="0"/>
    <s v="Autoclave-02"/>
    <s v="OP-001"/>
    <x v="2"/>
    <n v="86"/>
    <n v="76"/>
    <n v="6"/>
    <n v="4"/>
    <n v="18499.93"/>
    <n v="2.54"/>
    <n v="66.040000000000006"/>
    <n v="184"/>
    <d v="2026-06-28T00:00:00"/>
    <d v="2026-06-28T00:00:00"/>
    <x v="0"/>
    <s v="Precision Air"/>
  </r>
  <r>
    <s v="PRD-00389"/>
    <x v="36"/>
    <x v="0"/>
    <x v="0"/>
    <s v="CNC-01"/>
    <s v="OP-001"/>
    <x v="1"/>
    <n v="180"/>
    <n v="144"/>
    <n v="4"/>
    <n v="5.4"/>
    <n v="59991.77"/>
    <n v="3.84"/>
    <n v="76.8"/>
    <n v="249"/>
    <d v="2026-05-02T00:00:00"/>
    <d v="2026-05-04T00:00:00"/>
    <x v="0"/>
    <s v="SkyWorks"/>
  </r>
  <r>
    <s v="PRD-00390"/>
    <x v="31"/>
    <x v="6"/>
    <x v="4"/>
    <s v="Assembly-02"/>
    <s v="OP-020"/>
    <x v="2"/>
    <n v="303"/>
    <n v="291"/>
    <n v="7"/>
    <n v="8"/>
    <n v="53986.42"/>
    <n v="8.33"/>
    <n v="166.6"/>
    <n v="371"/>
    <d v="2026-04-08T00:00:00"/>
    <d v="2026-04-08T00:00:00"/>
    <x v="1"/>
    <s v="NorthStar Aviation"/>
  </r>
  <r>
    <s v="PRD-00391"/>
    <x v="100"/>
    <x v="6"/>
    <x v="4"/>
    <s v="Assembly-02"/>
    <s v="OP-025"/>
    <x v="2"/>
    <n v="302"/>
    <n v="285"/>
    <n v="10"/>
    <n v="8.4"/>
    <n v="49683.57"/>
    <n v="5.18"/>
    <n v="113.96"/>
    <n v="368"/>
    <d v="2026-02-27T00:00:00"/>
    <d v="2026-03-03T00:00:00"/>
    <x v="1"/>
    <s v="NorthStar Aviation"/>
  </r>
  <r>
    <s v="PRD-00392"/>
    <x v="153"/>
    <x v="2"/>
    <x v="2"/>
    <s v="Repair-02"/>
    <s v="OP-010"/>
    <x v="0"/>
    <n v="221"/>
    <n v="205"/>
    <n v="16"/>
    <n v="2.7"/>
    <n v="19423.650000000001"/>
    <n v="7.33"/>
    <n v="146.6"/>
    <n v="187"/>
    <d v="2026-02-19T00:00:00"/>
    <d v="2026-02-19T00:00:00"/>
    <x v="0"/>
    <s v="Global Aero Systems"/>
  </r>
  <r>
    <s v="PRD-00393"/>
    <x v="154"/>
    <x v="6"/>
    <x v="4"/>
    <s v="Assembly-02"/>
    <s v="OP-014"/>
    <x v="1"/>
    <n v="125"/>
    <n v="116"/>
    <n v="7"/>
    <n v="2.2000000000000002"/>
    <n v="16438.11"/>
    <n v="4.8600000000000003"/>
    <n v="87.48"/>
    <n v="177"/>
    <d v="2026-02-12T00:00:00"/>
    <d v="2026-02-16T00:00:00"/>
    <x v="1"/>
    <s v="Global Aero Systems"/>
  </r>
  <r>
    <s v="PRD-00394"/>
    <x v="155"/>
    <x v="0"/>
    <x v="0"/>
    <s v="Autoclave-02"/>
    <s v="OP-012"/>
    <x v="1"/>
    <n v="211"/>
    <n v="218"/>
    <n v="1"/>
    <n v="2.2999999999999998"/>
    <n v="65789.78"/>
    <n v="6.34"/>
    <n v="126.8"/>
    <n v="262"/>
    <d v="2026-07-01T00:00:00"/>
    <d v="2026-06-29T00:00:00"/>
    <x v="0"/>
    <s v="SkyWorks"/>
  </r>
  <r>
    <s v="PRD-00395"/>
    <x v="134"/>
    <x v="6"/>
    <x v="4"/>
    <s v="Assembly-02"/>
    <s v="OP-009"/>
    <x v="0"/>
    <n v="215"/>
    <n v="213"/>
    <n v="2"/>
    <n v="1.7"/>
    <n v="41666.67"/>
    <n v="6.89"/>
    <n v="137.80000000000001"/>
    <n v="314"/>
    <d v="2026-01-20T00:00:00"/>
    <d v="2026-01-21T00:00:00"/>
    <x v="0"/>
    <s v="SkyWorks"/>
  </r>
  <r>
    <s v="PRD-00396"/>
    <x v="109"/>
    <x v="4"/>
    <x v="4"/>
    <s v="Assembly-01"/>
    <s v="OP-026"/>
    <x v="0"/>
    <n v="83"/>
    <n v="64"/>
    <n v="1"/>
    <n v="7"/>
    <n v="13792.85"/>
    <n v="1.4"/>
    <n v="28"/>
    <n v="89"/>
    <d v="2026-02-04T00:00:00"/>
    <d v="2026-02-04T00:00:00"/>
    <x v="0"/>
    <m/>
  </r>
  <r>
    <s v="PRD-00397"/>
    <x v="136"/>
    <x v="0"/>
    <x v="0"/>
    <s v="Autoclave-02"/>
    <s v="OP-023"/>
    <x v="1"/>
    <n v="197"/>
    <n v="219"/>
    <n v="3"/>
    <n v="1.2"/>
    <n v="56219.38"/>
    <n v="7.57"/>
    <n v="151.4"/>
    <n v="270"/>
    <d v="2026-07-07T00:00:00"/>
    <d v="2026-07-08T00:00:00"/>
    <x v="0"/>
    <s v="AeroTech UK"/>
  </r>
  <r>
    <s v="PRD-00398"/>
    <x v="104"/>
    <x v="1"/>
    <x v="1"/>
    <s v="CNC-02"/>
    <s v="OP-002"/>
    <x v="2"/>
    <n v="299"/>
    <n v="304"/>
    <n v="20"/>
    <n v="2.8"/>
    <n v="70251.16"/>
    <n v="8.57"/>
    <n v="154.26"/>
    <n v="278"/>
    <d v="2026-02-02T00:00:00"/>
    <d v="2026-02-06T00:00:00"/>
    <x v="2"/>
    <s v="AeroTech UK"/>
  </r>
  <r>
    <s v="PRD-00399"/>
    <x v="72"/>
    <x v="7"/>
    <x v="0"/>
    <s v="Autoclave-02"/>
    <s v="OP-022"/>
    <x v="1"/>
    <n v="110"/>
    <n v="122"/>
    <n v="1"/>
    <n v="2.7"/>
    <n v="23905.88"/>
    <n v="2.56"/>
    <n v="66.56"/>
    <n v="122"/>
    <d v="2026-01-20T00:00:00"/>
    <d v="2026-01-20T00:00:00"/>
    <x v="0"/>
    <s v="AeroTech UK"/>
  </r>
  <r>
    <s v="PRD-00400"/>
    <x v="2"/>
    <x v="3"/>
    <x v="3"/>
    <s v="Bender-01"/>
    <s v="OP-007"/>
    <x v="0"/>
    <n v="151"/>
    <n v="170"/>
    <n v="6"/>
    <n v="1.4"/>
    <n v="21197.55"/>
    <n v="4.05"/>
    <n v="105.3"/>
    <n v="128"/>
    <d v="2026-01-27T00:00:00"/>
    <d v="2026-01-25T00:00:00"/>
    <x v="1"/>
    <s v="NorthStar Aviation"/>
  </r>
  <r>
    <s v="PRD-00401"/>
    <x v="114"/>
    <x v="3"/>
    <x v="3"/>
    <s v="Bender-01"/>
    <s v="OP-027"/>
    <x v="1"/>
    <n v="81"/>
    <n v="92"/>
    <n v="1"/>
    <n v="1.9"/>
    <n v="11426.05"/>
    <n v="2.4700000000000002"/>
    <n v="64.22"/>
    <n v="97"/>
    <d v="2026-03-23T00:00:00"/>
    <d v="2026-03-22T00:00:00"/>
    <x v="0"/>
    <s v="Global Aero Systems"/>
  </r>
  <r>
    <s v="PRD-00402"/>
    <x v="156"/>
    <x v="1"/>
    <x v="1"/>
    <s v="CNC-04"/>
    <s v="OP-011"/>
    <x v="1"/>
    <n v="138"/>
    <n v="123"/>
    <n v="9"/>
    <n v="2.8"/>
    <n v="27919.32"/>
    <n v="3.68"/>
    <n v="80.959999999999994"/>
    <n v="171"/>
    <d v="2026-04-29T00:00:00"/>
    <d v="2026-04-27T00:00:00"/>
    <x v="0"/>
    <s v="AeroTech UK"/>
  </r>
  <r>
    <s v="PRD-00403"/>
    <x v="152"/>
    <x v="6"/>
    <x v="4"/>
    <s v="Assembly-02"/>
    <s v="OP-006"/>
    <x v="2"/>
    <n v="233"/>
    <n v="241"/>
    <n v="16"/>
    <n v="7.6"/>
    <n v="36989.94"/>
    <n v="10.039999999999999"/>
    <n v="240.96"/>
    <n v="241"/>
    <d v="2026-04-12T00:00:00"/>
    <d v="2026-04-16T00:00:00"/>
    <x v="0"/>
    <s v="Global Aero Systems"/>
  </r>
  <r>
    <s v="PRD-00404"/>
    <x v="122"/>
    <x v="0"/>
    <x v="0"/>
    <s v="Autoclave-02"/>
    <s v="OP-007"/>
    <x v="0"/>
    <n v="192"/>
    <n v="181"/>
    <n v="11"/>
    <n v="1.1000000000000001"/>
    <n v="59341.91"/>
    <n v="7.5"/>
    <n v="150"/>
    <n v="168"/>
    <d v="2026-06-29T00:00:00"/>
    <d v="2026-06-29T00:00:00"/>
    <x v="0"/>
    <s v="Global Aero Systems"/>
  </r>
  <r>
    <s v="PRD-00405"/>
    <x v="154"/>
    <x v="1"/>
    <x v="1"/>
    <s v="CNC-03"/>
    <s v="OP-017"/>
    <x v="1"/>
    <n v="265"/>
    <n v="247"/>
    <n v="18"/>
    <n v="6.9"/>
    <n v="62372.83"/>
    <n v="9.19"/>
    <n v="220.56"/>
    <n v="316"/>
    <d v="2026-02-10T00:00:00"/>
    <d v="2026-02-12T00:00:00"/>
    <x v="2"/>
    <s v="NorthStar Aviation"/>
  </r>
  <r>
    <s v="PRD-00406"/>
    <x v="84"/>
    <x v="0"/>
    <x v="0"/>
    <s v="Autoclave-01"/>
    <s v="OP-022"/>
    <x v="1"/>
    <n v="144"/>
    <n v="133"/>
    <n v="3"/>
    <n v="8.5"/>
    <n v="38057.82"/>
    <n v="5.04"/>
    <n v="120.96"/>
    <n v="110"/>
    <d v="2026-05-01T00:00:00"/>
    <d v="2026-05-03T00:00:00"/>
    <x v="1"/>
    <s v="NorthStar Aviation"/>
  </r>
  <r>
    <s v="PRD-00407"/>
    <x v="157"/>
    <x v="0"/>
    <x v="0"/>
    <s v="Autoclave-01"/>
    <s v="OP-014"/>
    <x v="2"/>
    <n v="249"/>
    <n v="259"/>
    <n v="19"/>
    <n v="7.1"/>
    <n v="78126.03"/>
    <n v="7.71"/>
    <n v="169.62"/>
    <n v="347"/>
    <d v="2026-03-26T00:00:00"/>
    <d v="2026-03-24T00:00:00"/>
    <x v="0"/>
    <s v="Global Aero Systems"/>
  </r>
  <r>
    <s v="PRD-00408"/>
    <x v="56"/>
    <x v="4"/>
    <x v="4"/>
    <s v="Assembly-02"/>
    <s v="OP-016"/>
    <x v="2"/>
    <n v="193"/>
    <n v="177"/>
    <n v="1"/>
    <n v="5"/>
    <n v="37888.44"/>
    <n v="6.19"/>
    <n v="148.56"/>
    <n v="263"/>
    <d v="2026-04-30T00:00:00"/>
    <d v="2026-04-30T00:00:00"/>
    <x v="2"/>
    <s v="Precision Air"/>
  </r>
  <r>
    <s v="PRD-00409"/>
    <x v="122"/>
    <x v="5"/>
    <x v="5"/>
    <s v="Surface-02"/>
    <s v="OP-019"/>
    <x v="2"/>
    <n v="201"/>
    <n v="193"/>
    <n v="3"/>
    <n v="0.5"/>
    <n v="25840.94"/>
    <n v="5.22"/>
    <n v="114.84"/>
    <n v="233"/>
    <d v="2026-06-29T00:00:00"/>
    <d v="2026-06-27T00:00:00"/>
    <x v="0"/>
    <s v="NorthStar Aviation"/>
  </r>
  <r>
    <s v="PRD-00410"/>
    <x v="99"/>
    <x v="4"/>
    <x v="4"/>
    <s v="Assembly-03"/>
    <s v="OP-008"/>
    <x v="0"/>
    <n v="229"/>
    <n v="167"/>
    <n v="14"/>
    <n v="3.1"/>
    <n v="27377.99"/>
    <n v="4.4400000000000004"/>
    <n v="97.68"/>
    <n v="203"/>
    <d v="2026-04-16T00:00:00"/>
    <d v="2026-04-16T00:00:00"/>
    <x v="0"/>
    <s v="SkyWorks"/>
  </r>
  <r>
    <s v="PRD-00411"/>
    <x v="33"/>
    <x v="0"/>
    <x v="0"/>
    <s v="CNC-01"/>
    <s v="OP-023"/>
    <x v="1"/>
    <n v="96"/>
    <n v="104"/>
    <n v="1"/>
    <n v="1.5"/>
    <n v="29917.14"/>
    <n v="3.51"/>
    <n v="84.24"/>
    <n v="187"/>
    <d v="2026-06-09T00:00:00"/>
    <d v="2026-06-09T00:00:00"/>
    <x v="0"/>
    <s v="Precision Air"/>
  </r>
  <r>
    <s v="PRD-00412"/>
    <x v="110"/>
    <x v="4"/>
    <x v="4"/>
    <s v="Assembly-02"/>
    <s v="OP-014"/>
    <x v="2"/>
    <n v="226"/>
    <n v="200"/>
    <n v="11"/>
    <n v="7.3"/>
    <n v="35850.51"/>
    <n v="5.21"/>
    <n v="135.46"/>
    <n v="272"/>
    <d v="2026-01-10T00:00:00"/>
    <d v="2026-01-10T00:00:00"/>
    <x v="0"/>
    <s v="Global Aero Systems"/>
  </r>
  <r>
    <s v="PRD-00413"/>
    <x v="50"/>
    <x v="0"/>
    <x v="0"/>
    <s v="CNC-01"/>
    <s v="OP-003"/>
    <x v="0"/>
    <n v="134"/>
    <n v="113"/>
    <n v="1"/>
    <n v="9"/>
    <n v="32713.53"/>
    <n v="4.05"/>
    <n v="72.900000000000006"/>
    <n v="118"/>
    <d v="2026-06-23T00:00:00"/>
    <d v="2026-06-24T00:00:00"/>
    <x v="0"/>
    <s v="Precision Air"/>
  </r>
  <r>
    <s v="PRD-00414"/>
    <x v="97"/>
    <x v="2"/>
    <x v="2"/>
    <s v="Repair-01"/>
    <s v="OP-017"/>
    <x v="1"/>
    <n v="168"/>
    <n v="178"/>
    <n v="11"/>
    <n v="2.7"/>
    <n v="17857.150000000001"/>
    <n v="5.51"/>
    <n v="110.2"/>
    <n v="234"/>
    <d v="2026-05-10T00:00:00"/>
    <d v="2026-05-10T00:00:00"/>
    <x v="1"/>
    <s v="Precision Air"/>
  </r>
  <r>
    <s v="PRD-00415"/>
    <x v="12"/>
    <x v="7"/>
    <x v="0"/>
    <s v="CNC-01"/>
    <s v="OP-024"/>
    <x v="0"/>
    <n v="260"/>
    <n v="244"/>
    <n v="5"/>
    <n v="4.5"/>
    <n v="74811.67"/>
    <n v="9.89"/>
    <n v="217.58"/>
    <n v="356"/>
    <d v="2026-02-27T00:00:00"/>
    <d v="2026-03-01T00:00:00"/>
    <x v="1"/>
    <s v="AeroTech UK"/>
  </r>
  <r>
    <s v="PRD-00416"/>
    <x v="123"/>
    <x v="1"/>
    <x v="1"/>
    <s v="CNC-03"/>
    <s v="OP-021"/>
    <x v="2"/>
    <n v="198"/>
    <n v="155"/>
    <n v="2"/>
    <n v="6.2"/>
    <n v="32316.51"/>
    <n v="3.98"/>
    <n v="71.64"/>
    <n v="210"/>
    <d v="2026-05-22T00:00:00"/>
    <d v="2026-05-22T00:00:00"/>
    <x v="0"/>
    <s v="SkyWorks"/>
  </r>
  <r>
    <s v="PRD-00417"/>
    <x v="158"/>
    <x v="1"/>
    <x v="1"/>
    <s v="CNC-03"/>
    <s v="OP-006"/>
    <x v="1"/>
    <n v="141"/>
    <n v="108"/>
    <n v="2"/>
    <n v="2.2000000000000002"/>
    <n v="27332.400000000001"/>
    <n v="3.4"/>
    <n v="81.599999999999994"/>
    <n v="209"/>
    <d v="2026-07-07T00:00:00"/>
    <d v="2026-07-05T00:00:00"/>
    <x v="0"/>
    <s v="NorthStar Aviation"/>
  </r>
  <r>
    <s v="PRD-00418"/>
    <x v="57"/>
    <x v="6"/>
    <x v="4"/>
    <s v="Assembly-02"/>
    <s v="OP-029"/>
    <x v="1"/>
    <n v="248"/>
    <n v="237"/>
    <n v="14"/>
    <n v="0.4"/>
    <n v="48078.3"/>
    <n v="4.58"/>
    <n v="82.44"/>
    <n v="288"/>
    <d v="2026-01-19T00:00:00"/>
    <d v="2026-01-19T00:00:00"/>
    <x v="0"/>
    <s v="SkyWorks"/>
  </r>
  <r>
    <s v="PRD-00419"/>
    <x v="112"/>
    <x v="0"/>
    <x v="0"/>
    <s v="Autoclave-02"/>
    <s v="OP-008"/>
    <x v="0"/>
    <n v="294"/>
    <n v="303"/>
    <n v="5"/>
    <n v="1"/>
    <n v="118743.01"/>
    <n v="9.25"/>
    <n v="240.5"/>
    <n v="388"/>
    <d v="2026-06-27T00:00:00"/>
    <d v="2026-07-01T00:00:00"/>
    <x v="0"/>
    <s v="AeroTech UK"/>
  </r>
  <r>
    <s v="PRD-00420"/>
    <x v="94"/>
    <x v="4"/>
    <x v="4"/>
    <s v="Assembly-03"/>
    <s v="OP-002"/>
    <x v="1"/>
    <n v="268"/>
    <n v="237"/>
    <n v="17"/>
    <n v="2.1"/>
    <n v="41700.36"/>
    <n v="5.26"/>
    <n v="115.72"/>
    <n v="340"/>
    <d v="2026-03-30T00:00:00"/>
    <d v="2026-03-30T00:00:00"/>
    <x v="1"/>
    <s v="Precision Air"/>
  </r>
  <r>
    <s v="PRD-00421"/>
    <x v="66"/>
    <x v="0"/>
    <x v="0"/>
    <s v="Autoclave-02"/>
    <s v="OP-023"/>
    <x v="0"/>
    <n v="219"/>
    <n v="197"/>
    <n v="13"/>
    <n v="8.6999999999999993"/>
    <n v="80995.990000000005"/>
    <n v="5.26"/>
    <n v="115.72"/>
    <n v="257"/>
    <d v="2026-04-08T00:00:00"/>
    <d v="2026-04-06T00:00:00"/>
    <x v="0"/>
    <s v="NorthStar Aviation"/>
  </r>
  <r>
    <s v="PRD-00422"/>
    <x v="126"/>
    <x v="2"/>
    <x v="2"/>
    <s v="Repair-02"/>
    <s v="OP-003"/>
    <x v="2"/>
    <n v="243"/>
    <n v="275"/>
    <n v="10"/>
    <n v="7.3"/>
    <n v="24024.52"/>
    <n v="10.61"/>
    <n v="254.64"/>
    <n v="205"/>
    <d v="2026-03-14T00:00:00"/>
    <d v="2026-03-14T00:00:00"/>
    <x v="0"/>
    <s v="SkyWorks"/>
  </r>
  <r>
    <s v="PRD-00423"/>
    <x v="100"/>
    <x v="3"/>
    <x v="3"/>
    <s v="Laser-01"/>
    <s v="OP-029"/>
    <x v="2"/>
    <n v="241"/>
    <n v="206"/>
    <n v="16"/>
    <n v="5.8"/>
    <n v="25103.94"/>
    <n v="4.0999999999999996"/>
    <n v="98.4"/>
    <n v="321"/>
    <d v="2026-03-03T00:00:00"/>
    <d v="2026-03-04T00:00:00"/>
    <x v="2"/>
    <s v="NorthStar Aviation"/>
  </r>
  <r>
    <s v="PRD-00424"/>
    <x v="131"/>
    <x v="6"/>
    <x v="4"/>
    <s v="Assembly-03"/>
    <s v="OP-001"/>
    <x v="1"/>
    <n v="96"/>
    <n v="83"/>
    <n v="4"/>
    <n v="7.3"/>
    <n v="15537.71"/>
    <n v="1.55"/>
    <n v="27.9"/>
    <n v="103"/>
    <d v="2026-07-10T00:00:00"/>
    <d v="2026-07-14T00:00:00"/>
    <x v="0"/>
    <s v="NorthStar Aviation"/>
  </r>
  <r>
    <s v="PRD-00425"/>
    <x v="159"/>
    <x v="6"/>
    <x v="4"/>
    <s v="Assembly-02"/>
    <s v="OP-028"/>
    <x v="0"/>
    <n v="227"/>
    <n v="171"/>
    <n v="3"/>
    <n v="4.5999999999999996"/>
    <n v="37999.69"/>
    <n v="6.21"/>
    <n v="161.46"/>
    <n v="292"/>
    <d v="2026-06-17T00:00:00"/>
    <d v="2026-06-21T00:00:00"/>
    <x v="2"/>
    <s v="NorthStar Aviation"/>
  </r>
  <r>
    <s v="PRD-00426"/>
    <x v="20"/>
    <x v="3"/>
    <x v="3"/>
    <s v="Bender-01"/>
    <s v="OP-021"/>
    <x v="0"/>
    <n v="231"/>
    <n v="248"/>
    <n v="19"/>
    <n v="1.8"/>
    <n v="25832.26"/>
    <n v="9.68"/>
    <n v="251.68"/>
    <n v="248"/>
    <d v="2026-03-10T00:00:00"/>
    <d v="2026-03-08T00:00:00"/>
    <x v="1"/>
    <s v="NorthStar Aviation"/>
  </r>
  <r>
    <s v="PRD-00427"/>
    <x v="61"/>
    <x v="5"/>
    <x v="5"/>
    <s v="Surface-01"/>
    <s v="OP-023"/>
    <x v="0"/>
    <n v="147"/>
    <n v="150"/>
    <n v="3"/>
    <n v="3.6"/>
    <n v="19541.849999999999"/>
    <n v="3.02"/>
    <n v="66.44"/>
    <n v="150"/>
    <d v="2026-02-03T00:00:00"/>
    <d v="2026-02-02T00:00:00"/>
    <x v="0"/>
    <s v="Global Aero Systems"/>
  </r>
  <r>
    <s v="PRD-00428"/>
    <x v="84"/>
    <x v="5"/>
    <x v="5"/>
    <s v="Surface-01"/>
    <s v="OP-024"/>
    <x v="0"/>
    <n v="137"/>
    <n v="140"/>
    <n v="3"/>
    <n v="7.8"/>
    <n v="20783.25"/>
    <n v="4.18"/>
    <n v="83.6"/>
    <n v="207"/>
    <d v="2026-05-02T00:00:00"/>
    <d v="2026-05-02T00:00:00"/>
    <x v="0"/>
    <s v="NorthStar Aviation"/>
  </r>
  <r>
    <s v="PRD-00429"/>
    <x v="160"/>
    <x v="3"/>
    <x v="3"/>
    <s v="Laser-01"/>
    <s v="OP-028"/>
    <x v="1"/>
    <n v="282"/>
    <n v="220"/>
    <n v="6"/>
    <n v="2.4"/>
    <n v="29877.1"/>
    <n v="5.91"/>
    <n v="141.84"/>
    <n v="263"/>
    <d v="2026-04-20T00:00:00"/>
    <d v="2026-04-24T00:00:00"/>
    <x v="0"/>
    <s v="Global Aero Systems"/>
  </r>
  <r>
    <s v="PRD-00430"/>
    <x v="158"/>
    <x v="1"/>
    <x v="1"/>
    <s v="CNC-04"/>
    <s v="OP-009"/>
    <x v="0"/>
    <n v="178"/>
    <n v="182"/>
    <n v="12"/>
    <n v="2.2999999999999998"/>
    <n v="31344.639999999999"/>
    <n v="4.7300000000000004"/>
    <n v="94.6"/>
    <n v="258"/>
    <d v="2026-07-02T00:00:00"/>
    <d v="2026-06-30T00:00:00"/>
    <x v="0"/>
    <s v="Precision Air"/>
  </r>
  <r>
    <s v="PRD-00431"/>
    <x v="81"/>
    <x v="6"/>
    <x v="4"/>
    <s v="Assembly-02"/>
    <s v="OP-023"/>
    <x v="0"/>
    <n v="251"/>
    <n v="220"/>
    <n v="20"/>
    <n v="5"/>
    <n v="36993.82"/>
    <n v="6.62"/>
    <n v="145.63999999999999"/>
    <n v="330"/>
    <d v="2026-04-12T00:00:00"/>
    <d v="2026-04-11T00:00:00"/>
    <x v="0"/>
    <s v="Global Aero Systems"/>
  </r>
  <r>
    <s v="PRD-00432"/>
    <x v="161"/>
    <x v="6"/>
    <x v="4"/>
    <s v="Assembly-01"/>
    <s v="OP-011"/>
    <x v="1"/>
    <n v="160"/>
    <n v="118"/>
    <n v="1"/>
    <n v="7.8"/>
    <n v="24621.25"/>
    <n v="4.75"/>
    <n v="104.5"/>
    <n v="187"/>
    <d v="2026-02-17T00:00:00"/>
    <d v="2026-02-17T00:00:00"/>
    <x v="1"/>
    <s v="NorthStar Aviation"/>
  </r>
  <r>
    <s v="PRD-00433"/>
    <x v="94"/>
    <x v="5"/>
    <x v="5"/>
    <s v="Surface-01"/>
    <s v="OP-014"/>
    <x v="2"/>
    <n v="222"/>
    <n v="241"/>
    <n v="15"/>
    <n v="7.2"/>
    <n v="26176.57"/>
    <n v="5.67"/>
    <n v="102.06"/>
    <n v="302"/>
    <d v="2026-03-28T00:00:00"/>
    <d v="2026-03-28T00:00:00"/>
    <x v="2"/>
    <s v="Global Aero Systems"/>
  </r>
  <r>
    <s v="PRD-00434"/>
    <x v="108"/>
    <x v="5"/>
    <x v="5"/>
    <s v="Surface-02"/>
    <s v="OP-027"/>
    <x v="1"/>
    <n v="261"/>
    <n v="250"/>
    <n v="11"/>
    <n v="1"/>
    <n v="34912.89"/>
    <n v="6.6"/>
    <n v="132"/>
    <n v="293"/>
    <d v="2026-01-15T00:00:00"/>
    <d v="2026-01-15T00:00:00"/>
    <x v="1"/>
    <s v="Precision Air"/>
  </r>
  <r>
    <s v="PRD-00435"/>
    <x v="42"/>
    <x v="1"/>
    <x v="1"/>
    <s v="CNC-04"/>
    <s v="OP-012"/>
    <x v="0"/>
    <n v="81"/>
    <n v="76"/>
    <n v="4"/>
    <n v="3.7"/>
    <n v="15784.55"/>
    <n v="2.6"/>
    <n v="57.2"/>
    <n v="56"/>
    <d v="2026-06-25T00:00:00"/>
    <d v="2026-06-24T00:00:00"/>
    <x v="2"/>
    <s v="AeroTech UK"/>
  </r>
  <r>
    <s v="PRD-00436"/>
    <x v="62"/>
    <x v="3"/>
    <x v="3"/>
    <s v="Press-01"/>
    <s v="OP-024"/>
    <x v="0"/>
    <n v="100"/>
    <n v="91"/>
    <n v="6"/>
    <n v="4.3"/>
    <n v="10493.5"/>
    <n v="3.08"/>
    <n v="67.760000000000005"/>
    <n v="71"/>
    <d v="2026-04-05T00:00:00"/>
    <d v="2026-04-09T00:00:00"/>
    <x v="0"/>
    <s v="Precision Air"/>
  </r>
  <r>
    <s v="PRD-00437"/>
    <x v="55"/>
    <x v="1"/>
    <x v="1"/>
    <s v="CNC-02"/>
    <s v="OP-003"/>
    <x v="2"/>
    <n v="285"/>
    <n v="284"/>
    <n v="9"/>
    <n v="0.5"/>
    <n v="61529.91"/>
    <n v="7.71"/>
    <n v="185.04"/>
    <n v="310"/>
    <d v="2026-02-07T00:00:00"/>
    <d v="2026-02-07T00:00:00"/>
    <x v="2"/>
    <s v="NorthStar Aviation"/>
  </r>
  <r>
    <s v="PRD-00438"/>
    <x v="119"/>
    <x v="2"/>
    <x v="2"/>
    <s v="Repair-02"/>
    <s v="OP-017"/>
    <x v="2"/>
    <n v="152"/>
    <n v="151"/>
    <n v="13"/>
    <n v="1.4"/>
    <n v="13934.47"/>
    <n v="5.38"/>
    <n v="118.36"/>
    <n v="145"/>
    <d v="2026-02-18T00:00:00"/>
    <d v="2026-02-17T00:00:00"/>
    <x v="0"/>
    <s v="Global Aero Systems"/>
  </r>
  <r>
    <s v="PRD-00439"/>
    <x v="36"/>
    <x v="2"/>
    <x v="2"/>
    <s v="Repair-02"/>
    <s v="OP-022"/>
    <x v="2"/>
    <n v="148"/>
    <n v="142"/>
    <n v="6"/>
    <n v="6.8"/>
    <n v="14981.66"/>
    <n v="4.04"/>
    <n v="96.96"/>
    <n v="131"/>
    <d v="2026-04-27T00:00:00"/>
    <d v="2026-04-28T00:00:00"/>
    <x v="2"/>
    <s v="NorthStar Aviation"/>
  </r>
  <r>
    <s v="PRD-00440"/>
    <x v="46"/>
    <x v="0"/>
    <x v="0"/>
    <s v="Autoclave-02"/>
    <s v="OP-002"/>
    <x v="0"/>
    <n v="199"/>
    <n v="180"/>
    <n v="15"/>
    <n v="4.3"/>
    <n v="45844.94"/>
    <n v="7.14"/>
    <n v="142.80000000000001"/>
    <n v="292"/>
    <d v="2026-05-15T00:00:00"/>
    <d v="2026-05-15T00:00:00"/>
    <x v="1"/>
    <s v="AeroTech UK"/>
  </r>
  <r>
    <s v="PRD-00441"/>
    <x v="162"/>
    <x v="0"/>
    <x v="0"/>
    <s v="CNC-01"/>
    <s v="OP-026"/>
    <x v="2"/>
    <n v="188"/>
    <n v="168"/>
    <n v="7"/>
    <n v="6.5"/>
    <n v="58191.48"/>
    <n v="5.39"/>
    <n v="140.13999999999999"/>
    <n v="152"/>
    <d v="2026-01-15T00:00:00"/>
    <d v="2026-01-19T00:00:00"/>
    <x v="0"/>
    <s v="Global Aero Systems"/>
  </r>
  <r>
    <s v="PRD-00442"/>
    <x v="162"/>
    <x v="0"/>
    <x v="0"/>
    <s v="Autoclave-02"/>
    <s v="OP-024"/>
    <x v="0"/>
    <n v="304"/>
    <n v="310"/>
    <n v="10"/>
    <n v="6.5"/>
    <n v="108224.83"/>
    <n v="11.59"/>
    <n v="254.98"/>
    <n v="311"/>
    <d v="2026-01-17T00:00:00"/>
    <d v="2026-01-17T00:00:00"/>
    <x v="0"/>
    <s v="SkyWorks"/>
  </r>
  <r>
    <s v="PRD-00443"/>
    <x v="122"/>
    <x v="0"/>
    <x v="0"/>
    <s v="Autoclave-02"/>
    <s v="OP-026"/>
    <x v="1"/>
    <n v="216"/>
    <n v="157"/>
    <n v="6"/>
    <n v="0.1"/>
    <n v="53123.56"/>
    <n v="4.3499999999999996"/>
    <n v="113.1"/>
    <n v="300"/>
    <d v="2026-06-28T00:00:00"/>
    <d v="2026-06-29T00:00:00"/>
    <x v="2"/>
    <s v="AeroTech UK"/>
  </r>
  <r>
    <s v="PRD-00444"/>
    <x v="163"/>
    <x v="3"/>
    <x v="3"/>
    <s v="Press-01"/>
    <s v="OP-010"/>
    <x v="1"/>
    <n v="128"/>
    <n v="98"/>
    <n v="0"/>
    <n v="8.6999999999999993"/>
    <n v="11988.47"/>
    <n v="3.29"/>
    <n v="65.8"/>
    <n v="199"/>
    <d v="2026-02-14T00:00:00"/>
    <d v="2026-02-14T00:00:00"/>
    <x v="0"/>
    <s v="NorthStar Aviation"/>
  </r>
  <r>
    <s v="PRD-00445"/>
    <x v="97"/>
    <x v="2"/>
    <x v="2"/>
    <s v="Repair-01"/>
    <s v="OP-027"/>
    <x v="1"/>
    <n v="109"/>
    <n v="86"/>
    <n v="1"/>
    <n v="6.3"/>
    <n v="9170.24"/>
    <n v="3.32"/>
    <n v="86.32"/>
    <n v="131"/>
    <d v="2026-05-07T00:00:00"/>
    <d v="2026-05-07T00:00:00"/>
    <x v="3"/>
    <s v="AeroTech UK"/>
  </r>
  <r>
    <s v="PRD-00446"/>
    <x v="141"/>
    <x v="7"/>
    <x v="0"/>
    <s v="Autoclave-01"/>
    <m/>
    <x v="0"/>
    <n v="241"/>
    <n v="261"/>
    <n v="11"/>
    <n v="3.7"/>
    <n v="70964.639999999999"/>
    <n v="9.2799999999999994"/>
    <n v="204.16"/>
    <n v="210"/>
    <d v="2026-04-05T00:00:00"/>
    <d v="2026-04-07T00:00:00"/>
    <x v="2"/>
    <s v="Precision Air"/>
  </r>
  <r>
    <s v="PRD-00447"/>
    <x v="92"/>
    <x v="5"/>
    <x v="5"/>
    <s v="Surface-01"/>
    <s v="OP-023"/>
    <x v="1"/>
    <n v="262"/>
    <n v="195"/>
    <n v="1"/>
    <n v="5.2"/>
    <n v="26630.02"/>
    <n v="6.54"/>
    <n v="156.96"/>
    <n v="251"/>
    <d v="2026-07-02T00:00:00"/>
    <d v="2026-07-03T00:00:00"/>
    <x v="2"/>
    <s v="AeroTech UK"/>
  </r>
  <r>
    <s v="PRD-00448"/>
    <x v="119"/>
    <x v="6"/>
    <x v="4"/>
    <s v="Assembly-03"/>
    <s v="OP-027"/>
    <x v="0"/>
    <n v="129"/>
    <n v="118"/>
    <n v="5"/>
    <n v="4.5999999999999996"/>
    <n v="22308.62"/>
    <n v="4.7300000000000004"/>
    <n v="113.52"/>
    <n v="122"/>
    <d v="2026-02-17T00:00:00"/>
    <d v="2026-02-19T00:00:00"/>
    <x v="2"/>
    <s v="SkyWorks"/>
  </r>
  <r>
    <s v="PRD-00449"/>
    <x v="67"/>
    <x v="3"/>
    <x v="3"/>
    <s v="Bender-01"/>
    <s v="OP-007"/>
    <x v="0"/>
    <n v="133"/>
    <n v="111"/>
    <n v="8"/>
    <n v="6"/>
    <n v="10389.59"/>
    <n v="3.61"/>
    <n v="64.98"/>
    <n v="199"/>
    <d v="2026-05-10T00:00:00"/>
    <d v="2026-05-10T00:00:00"/>
    <x v="0"/>
    <s v="AeroTech UK"/>
  </r>
  <r>
    <s v="PRD-00450"/>
    <x v="90"/>
    <x v="4"/>
    <x v="4"/>
    <s v="Assembly-02"/>
    <s v="OP-009"/>
    <x v="1"/>
    <n v="171"/>
    <n v="172"/>
    <n v="3"/>
    <n v="7.7"/>
    <n v="37276.879999999997"/>
    <n v="4.49"/>
    <n v="80.819999999999993"/>
    <n v="189"/>
    <d v="2026-01-08T00:00:00"/>
    <d v="2026-01-08T00:00:00"/>
    <x v="2"/>
    <s v="SkyWorks"/>
  </r>
  <r>
    <s v="PRD-00451"/>
    <x v="162"/>
    <x v="6"/>
    <x v="4"/>
    <s v="Assembly-01"/>
    <s v="OP-002"/>
    <x v="0"/>
    <n v="298"/>
    <n v="302"/>
    <n v="15"/>
    <n v="6"/>
    <n v="63126.37"/>
    <n v="8.61"/>
    <n v="206.64"/>
    <n v="286"/>
    <d v="2026-01-15T00:00:00"/>
    <d v="2026-01-14T00:00:00"/>
    <x v="1"/>
    <s v="AeroTech UK"/>
  </r>
  <r>
    <s v="PRD-00452"/>
    <x v="96"/>
    <x v="0"/>
    <x v="0"/>
    <s v="Autoclave-01"/>
    <s v="OP-028"/>
    <x v="2"/>
    <n v="313"/>
    <n v="274"/>
    <n v="19"/>
    <n v="6.4"/>
    <n v="97061.42"/>
    <n v="10.66"/>
    <n v="213.2"/>
    <n v="366"/>
    <d v="2026-02-19T00:00:00"/>
    <d v="2026-02-19T00:00:00"/>
    <x v="0"/>
    <s v="Global Aero Systems"/>
  </r>
  <r>
    <s v="PRD-00453"/>
    <x v="40"/>
    <x v="7"/>
    <x v="0"/>
    <s v="Autoclave-01"/>
    <s v="OP-005"/>
    <x v="1"/>
    <n v="293"/>
    <n v="312"/>
    <n v="11"/>
    <n v="4.5"/>
    <n v="68368.37"/>
    <n v="11.27"/>
    <n v="247.94"/>
    <n v="315"/>
    <d v="2026-04-21T00:00:00"/>
    <d v="2026-04-23T00:00:00"/>
    <x v="0"/>
    <s v="Global Aero Systems"/>
  </r>
  <r>
    <s v="PRD-00454"/>
    <x v="82"/>
    <x v="5"/>
    <x v="5"/>
    <s v="Surface-02"/>
    <s v="OP-025"/>
    <x v="2"/>
    <n v="87"/>
    <n v="79"/>
    <n v="5"/>
    <n v="6.5"/>
    <n v="10048.879999999999"/>
    <n v="2.06"/>
    <n v="49.44"/>
    <n v="92"/>
    <d v="2026-04-23T00:00:00"/>
    <d v="2026-04-21T00:00:00"/>
    <x v="2"/>
    <s v="NorthStar Aviation"/>
  </r>
  <r>
    <s v="PRD-00455"/>
    <x v="145"/>
    <x v="7"/>
    <x v="0"/>
    <s v="CNC-01"/>
    <s v="OP-029"/>
    <x v="0"/>
    <n v="262"/>
    <n v="278"/>
    <n v="23"/>
    <n v="8.8000000000000007"/>
    <n v="79423.78"/>
    <n v="9.68"/>
    <n v="212.96"/>
    <n v="302"/>
    <d v="2026-06-04T00:00:00"/>
    <d v="2026-06-02T00:00:00"/>
    <x v="0"/>
    <s v="Precision Air"/>
  </r>
  <r>
    <s v="PRD-00456"/>
    <x v="144"/>
    <x v="2"/>
    <x v="2"/>
    <s v="Repair-02"/>
    <s v="OP-018"/>
    <x v="1"/>
    <n v="244"/>
    <n v="197"/>
    <n v="10"/>
    <n v="7.1"/>
    <n v="20142.990000000002"/>
    <n v="7.74"/>
    <n v="185.76"/>
    <n v="254"/>
    <d v="2026-02-13T00:00:00"/>
    <d v="2026-02-12T00:00:00"/>
    <x v="0"/>
    <s v="Global Aero Systems"/>
  </r>
  <r>
    <s v="PRD-00457"/>
    <x v="163"/>
    <x v="6"/>
    <x v="4"/>
    <s v="Assembly-01"/>
    <s v="OP-017"/>
    <x v="2"/>
    <n v="103"/>
    <n v="96"/>
    <n v="3"/>
    <n v="3.1"/>
    <n v="15339.51"/>
    <n v="3.78"/>
    <n v="98.28"/>
    <n v="129"/>
    <d v="2026-02-07T00:00:00"/>
    <d v="2026-02-07T00:00:00"/>
    <x v="2"/>
    <s v="AeroTech UK"/>
  </r>
  <r>
    <s v="PRD-00458"/>
    <x v="66"/>
    <x v="6"/>
    <x v="4"/>
    <s v="Assembly-03"/>
    <s v="OP-010"/>
    <x v="1"/>
    <n v="209"/>
    <n v="182"/>
    <n v="1"/>
    <n v="5.9"/>
    <n v="26001.53"/>
    <n v="6.49"/>
    <n v="155.76"/>
    <n v="255"/>
    <d v="2026-04-11T00:00:00"/>
    <d v="2026-04-11T00:00:00"/>
    <x v="0"/>
    <s v="Precision Air"/>
  </r>
  <r>
    <s v="PRD-00459"/>
    <x v="122"/>
    <x v="3"/>
    <x v="3"/>
    <s v="Bender-01"/>
    <s v="OP-003"/>
    <x v="2"/>
    <n v="176"/>
    <n v="166"/>
    <n v="4"/>
    <n v="3"/>
    <n v="21814.55"/>
    <n v="4.43"/>
    <n v="79.739999999999995"/>
    <n v="173"/>
    <d v="2026-06-30T00:00:00"/>
    <d v="2026-07-02T00:00:00"/>
    <x v="0"/>
    <s v="Global Aero Systems"/>
  </r>
  <r>
    <s v="PRD-00460"/>
    <x v="55"/>
    <x v="5"/>
    <x v="5"/>
    <s v="Surface-01"/>
    <s v="OP-023"/>
    <x v="1"/>
    <n v="194"/>
    <n v="146"/>
    <n v="9"/>
    <n v="3.6"/>
    <n v="22892.73"/>
    <n v="5.68"/>
    <n v="147.68"/>
    <n v="281"/>
    <d v="2026-02-15T00:00:00"/>
    <d v="2026-02-17T00:00:00"/>
    <x v="2"/>
    <s v="Global Aero Systems"/>
  </r>
  <r>
    <s v="PRD-00461"/>
    <x v="119"/>
    <x v="3"/>
    <x v="3"/>
    <s v="Bender-01"/>
    <s v="OP-012"/>
    <x v="2"/>
    <n v="112"/>
    <n v="103"/>
    <n v="4"/>
    <n v="8.6999999999999993"/>
    <n v="12252.21"/>
    <n v="3.57"/>
    <n v="85.68"/>
    <n v="193"/>
    <d v="2026-02-13T00:00:00"/>
    <d v="2026-02-13T00:00:00"/>
    <x v="1"/>
    <s v="Precision Air"/>
  </r>
  <r>
    <s v="PRD-00462"/>
    <x v="82"/>
    <x v="0"/>
    <x v="0"/>
    <s v="Autoclave-01"/>
    <s v="OP-014"/>
    <x v="2"/>
    <n v="174"/>
    <n v="168"/>
    <n v="1"/>
    <n v="1.4"/>
    <n v="58710.37"/>
    <n v="4.25"/>
    <n v="102"/>
    <n v="141"/>
    <d v="2026-04-19T00:00:00"/>
    <d v="2026-04-19T00:00:00"/>
    <x v="1"/>
    <s v="SkyWorks"/>
  </r>
  <r>
    <s v="PRD-00463"/>
    <x v="114"/>
    <x v="1"/>
    <x v="1"/>
    <s v="CNC-02"/>
    <s v="OP-027"/>
    <x v="0"/>
    <n v="289"/>
    <n v="299"/>
    <n v="1"/>
    <n v="4.9000000000000004"/>
    <n v="50675.97"/>
    <n v="8.83"/>
    <n v="194.26"/>
    <n v="364"/>
    <d v="2026-03-21T00:00:00"/>
    <d v="2026-03-23T00:00:00"/>
    <x v="2"/>
    <s v="Precision Air"/>
  </r>
  <r>
    <s v="PRD-00464"/>
    <x v="55"/>
    <x v="3"/>
    <x v="3"/>
    <s v="Bender-01"/>
    <s v="OP-011"/>
    <x v="0"/>
    <n v="242"/>
    <n v="222"/>
    <n v="10"/>
    <n v="4"/>
    <n v="28137.66"/>
    <n v="8.26"/>
    <n v="214.76"/>
    <n v="306"/>
    <d v="2026-02-11T00:00:00"/>
    <d v="2026-02-11T00:00:00"/>
    <x v="2"/>
    <s v="AeroTech UK"/>
  </r>
  <r>
    <s v="PRD-00465"/>
    <x v="112"/>
    <x v="5"/>
    <x v="5"/>
    <s v="Surface-02"/>
    <s v="OP-017"/>
    <x v="2"/>
    <n v="245"/>
    <n v="185"/>
    <n v="3"/>
    <n v="0.2"/>
    <n v="29681.82"/>
    <n v="4.7"/>
    <n v="84.6"/>
    <n v="226"/>
    <d v="2026-06-26T00:00:00"/>
    <d v="2026-06-24T00:00:00"/>
    <x v="1"/>
    <s v="Global Aero Systems"/>
  </r>
  <r>
    <s v="PRD-00466"/>
    <x v="118"/>
    <x v="7"/>
    <x v="0"/>
    <s v="Autoclave-01"/>
    <s v="OP-019"/>
    <x v="2"/>
    <n v="248"/>
    <n v="278"/>
    <n v="5"/>
    <n v="0.2"/>
    <n v="76218.740000000005"/>
    <n v="9.7100000000000009"/>
    <n v="252.46"/>
    <n v="321"/>
    <d v="2026-05-12T00:00:00"/>
    <d v="2026-05-13T00:00:00"/>
    <x v="2"/>
    <s v="Global Aero Systems"/>
  </r>
  <r>
    <s v="PRD-00467"/>
    <x v="110"/>
    <x v="4"/>
    <x v="4"/>
    <s v="Assembly-02"/>
    <s v="OP-025"/>
    <x v="2"/>
    <n v="126"/>
    <n v="113"/>
    <n v="9"/>
    <n v="2.9"/>
    <n v="18498.97"/>
    <n v="2.2999999999999998"/>
    <n v="46"/>
    <n v="159"/>
    <d v="2026-01-10T00:00:00"/>
    <d v="2026-01-10T00:00:00"/>
    <x v="0"/>
    <s v="NorthStar Aviation"/>
  </r>
  <r>
    <s v="PRD-00468"/>
    <x v="130"/>
    <x v="2"/>
    <x v="2"/>
    <s v="Repair-01"/>
    <s v="OP-002"/>
    <x v="2"/>
    <n v="95"/>
    <n v="93"/>
    <n v="3"/>
    <n v="0.2"/>
    <n v="6989.78"/>
    <n v="2.39"/>
    <n v="57.36"/>
    <n v="137"/>
    <d v="2026-03-26T00:00:00"/>
    <d v="2026-03-28T00:00:00"/>
    <x v="0"/>
    <s v="NorthStar Aviation"/>
  </r>
  <r>
    <s v="PRD-00469"/>
    <x v="65"/>
    <x v="1"/>
    <x v="1"/>
    <s v="CNC-03"/>
    <s v="OP-009"/>
    <x v="0"/>
    <n v="210"/>
    <n v="219"/>
    <n v="8"/>
    <n v="1"/>
    <n v="41747.86"/>
    <n v="6.08"/>
    <n v="145.91999999999999"/>
    <n v="177"/>
    <d v="2026-06-10T00:00:00"/>
    <d v="2026-06-10T00:00:00"/>
    <x v="0"/>
    <s v="Precision Air"/>
  </r>
  <r>
    <s v="PRD-00470"/>
    <x v="122"/>
    <x v="0"/>
    <x v="0"/>
    <s v="Autoclave-01"/>
    <s v="OP-018"/>
    <x v="1"/>
    <n v="275"/>
    <n v="263"/>
    <n v="19"/>
    <n v="2.7"/>
    <n v="73143.94"/>
    <n v="8.75"/>
    <n v="175"/>
    <n v="271"/>
    <d v="2026-06-29T00:00:00"/>
    <d v="2026-06-29T00:00:00"/>
    <x v="0"/>
    <s v="Precision Air"/>
  </r>
  <r>
    <s v="PRD-00471"/>
    <x v="56"/>
    <x v="7"/>
    <x v="0"/>
    <s v="Autoclave-01"/>
    <s v="OP-012"/>
    <x v="0"/>
    <n v="288"/>
    <n v="264"/>
    <n v="21"/>
    <n v="2.6"/>
    <n v="71360.17"/>
    <n v="10.67"/>
    <n v="256.08"/>
    <n v="317"/>
    <d v="2026-05-07T00:00:00"/>
    <d v="2026-05-07T00:00:00"/>
    <x v="2"/>
    <s v="NorthStar Aviation"/>
  </r>
  <r>
    <s v="PRD-00472"/>
    <x v="113"/>
    <x v="6"/>
    <x v="4"/>
    <s v="Assembly-01"/>
    <s v="OP-017"/>
    <x v="1"/>
    <n v="121"/>
    <n v="125"/>
    <n v="6"/>
    <n v="2.7"/>
    <n v="18885.23"/>
    <n v="2.67"/>
    <n v="69.42"/>
    <n v="152"/>
    <d v="2026-06-07T00:00:00"/>
    <d v="2026-06-07T00:00:00"/>
    <x v="1"/>
    <s v="SkyWorks"/>
  </r>
  <r>
    <s v="PRD-00473"/>
    <x v="50"/>
    <x v="6"/>
    <x v="4"/>
    <s v="Assembly-03"/>
    <s v="OP-029"/>
    <x v="2"/>
    <n v="195"/>
    <n v="163"/>
    <n v="10"/>
    <n v="2.9"/>
    <n v="28631.91"/>
    <n v="4.22"/>
    <n v="84.4"/>
    <n v="155"/>
    <d v="2026-06-23T00:00:00"/>
    <d v="2026-06-27T00:00:00"/>
    <x v="0"/>
    <s v="NorthStar Aviation"/>
  </r>
  <r>
    <s v="PRD-00474"/>
    <x v="120"/>
    <x v="5"/>
    <x v="5"/>
    <s v="Surface-02"/>
    <s v="OP-012"/>
    <x v="1"/>
    <n v="217"/>
    <n v="163"/>
    <n v="13"/>
    <n v="5.9"/>
    <n v="26094.3"/>
    <n v="6.13"/>
    <n v="147.12"/>
    <n v="208"/>
    <d v="2026-04-23T00:00:00"/>
    <d v="2026-04-25T00:00:00"/>
    <x v="1"/>
    <s v="NorthStar Aviation"/>
  </r>
  <r>
    <s v="PRD-00475"/>
    <x v="131"/>
    <x v="7"/>
    <x v="0"/>
    <s v="Autoclave-01"/>
    <s v="OP-008"/>
    <x v="1"/>
    <n v="198"/>
    <n v="174"/>
    <n v="3"/>
    <n v="0.1"/>
    <n v="53959.33"/>
    <n v="5.97"/>
    <n v="131.34"/>
    <n v="207"/>
    <d v="2026-07-01T00:00:00"/>
    <d v="2026-07-01T00:00:00"/>
    <x v="0"/>
    <s v="SkyWorks"/>
  </r>
  <r>
    <s v="PRD-00476"/>
    <x v="164"/>
    <x v="6"/>
    <x v="4"/>
    <s v="Assembly-02"/>
    <s v="OP-007"/>
    <x v="0"/>
    <n v="311"/>
    <n v="318"/>
    <n v="18"/>
    <n v="0.1"/>
    <n v="67628.55"/>
    <n v="6.57"/>
    <n v="144.54"/>
    <n v="399"/>
    <d v="2026-01-19T00:00:00"/>
    <d v="2026-01-19T00:00:00"/>
    <x v="1"/>
    <s v="Precision Air"/>
  </r>
  <r>
    <s v="PRD-00477"/>
    <x v="122"/>
    <x v="3"/>
    <x v="3"/>
    <s v="Press-01"/>
    <s v="OP-020"/>
    <x v="1"/>
    <n v="230"/>
    <n v="178"/>
    <n v="1"/>
    <n v="2.2999999999999998"/>
    <n v="19875.57"/>
    <n v="5.44"/>
    <n v="119.68"/>
    <n v="239"/>
    <d v="2026-07-04T00:00:00"/>
    <d v="2026-07-02T00:00:00"/>
    <x v="1"/>
    <s v="Precision Air"/>
  </r>
  <r>
    <s v="PRD-00478"/>
    <x v="84"/>
    <x v="7"/>
    <x v="0"/>
    <s v="Autoclave-02"/>
    <s v="OP-017"/>
    <x v="2"/>
    <n v="244"/>
    <n v="246"/>
    <n v="15"/>
    <n v="7.7"/>
    <n v="67090.39"/>
    <n v="6.83"/>
    <n v="122.94"/>
    <n v="336"/>
    <d v="2026-05-06T00:00:00"/>
    <d v="2026-05-10T00:00:00"/>
    <x v="0"/>
    <s v="NorthStar Aviation"/>
  </r>
  <r>
    <s v="PRD-00479"/>
    <x v="134"/>
    <x v="6"/>
    <x v="4"/>
    <s v="Assembly-02"/>
    <s v="OP-006"/>
    <x v="1"/>
    <n v="216"/>
    <n v="197"/>
    <n v="1"/>
    <n v="1.8"/>
    <n v="29783.94"/>
    <n v="3.67"/>
    <n v="73.400000000000006"/>
    <n v="284"/>
    <d v="2026-01-16T00:00:00"/>
    <d v="2026-01-16T00:00:00"/>
    <x v="0"/>
    <s v="SkyWorks"/>
  </r>
  <r>
    <s v="PRD-00480"/>
    <x v="127"/>
    <x v="0"/>
    <x v="0"/>
    <s v="Autoclave-01"/>
    <s v="OP-017"/>
    <x v="2"/>
    <n v="202"/>
    <n v="182"/>
    <n v="1"/>
    <n v="7.2"/>
    <n v="74386.64"/>
    <n v="4.3600000000000003"/>
    <n v="104.64"/>
    <n v="223"/>
    <d v="2026-01-24T00:00:00"/>
    <d v="2026-01-22T00:00:00"/>
    <x v="0"/>
    <s v="AeroTech UK"/>
  </r>
  <r>
    <s v="PRD-00481"/>
    <x v="88"/>
    <x v="5"/>
    <x v="5"/>
    <s v="Surface-01"/>
    <s v="OP-010"/>
    <x v="0"/>
    <n v="240"/>
    <n v="218"/>
    <n v="3"/>
    <n v="8.8000000000000007"/>
    <n v="34643.589999999997"/>
    <n v="8.58"/>
    <n v="154.44"/>
    <n v="232"/>
    <d v="2026-06-05T00:00:00"/>
    <d v="2026-06-09T00:00:00"/>
    <x v="0"/>
    <s v="Global Aero Systems"/>
  </r>
  <r>
    <s v="PRD-00482"/>
    <x v="127"/>
    <x v="0"/>
    <x v="0"/>
    <s v="CNC-01"/>
    <s v="OP-026"/>
    <x v="1"/>
    <n v="94"/>
    <n v="90"/>
    <n v="2"/>
    <n v="3.4"/>
    <n v="26585.66"/>
    <n v="2.12"/>
    <n v="55.12"/>
    <n v="56"/>
    <d v="2026-01-26T00:00:00"/>
    <d v="2026-01-28T00:00:00"/>
    <x v="2"/>
    <s v="Precision Air"/>
  </r>
  <r>
    <s v="PRD-00483"/>
    <x v="18"/>
    <x v="0"/>
    <x v="0"/>
    <s v="Autoclave-02"/>
    <s v="OP-005"/>
    <x v="0"/>
    <n v="246"/>
    <n v="276"/>
    <n v="20"/>
    <n v="4.0999999999999996"/>
    <n v="76950.720000000001"/>
    <n v="5.65"/>
    <n v="146.9"/>
    <n v="223"/>
    <d v="2026-06-19T00:00:00"/>
    <d v="2026-06-19T00:00:00"/>
    <x v="1"/>
    <s v="Precision Air"/>
  </r>
  <r>
    <s v="PRD-00484"/>
    <x v="105"/>
    <x v="4"/>
    <x v="4"/>
    <s v="Assembly-02"/>
    <s v="OP-019"/>
    <x v="0"/>
    <n v="203"/>
    <n v="209"/>
    <n v="9"/>
    <n v="2.2000000000000002"/>
    <n v="40830.480000000003"/>
    <n v="5.33"/>
    <n v="127.92"/>
    <n v="294"/>
    <d v="2026-03-19T00:00:00"/>
    <d v="2026-03-20T00:00:00"/>
    <x v="0"/>
    <s v="NorthStar Aviation"/>
  </r>
  <r>
    <s v="PRD-00485"/>
    <x v="144"/>
    <x v="5"/>
    <x v="5"/>
    <s v="Surface-02"/>
    <s v="OP-007"/>
    <x v="0"/>
    <n v="234"/>
    <n v="202"/>
    <n v="7"/>
    <n v="0.1"/>
    <n v="31179.360000000001"/>
    <n v="3.91"/>
    <n v="101.66"/>
    <n v="207"/>
    <d v="2026-02-15T00:00:00"/>
    <d v="2026-02-16T00:00:00"/>
    <x v="0"/>
    <s v="NorthStar Aviation"/>
  </r>
  <r>
    <s v="PRD-00486"/>
    <x v="54"/>
    <x v="4"/>
    <x v="4"/>
    <s v="Assembly-01"/>
    <s v="OP-004"/>
    <x v="1"/>
    <n v="250"/>
    <n v="231"/>
    <n v="15"/>
    <n v="4.2"/>
    <n v="54062.39"/>
    <n v="7.3"/>
    <n v="160.6"/>
    <n v="286"/>
    <d v="2026-01-26T00:00:00"/>
    <d v="2026-01-27T00:00:00"/>
    <x v="0"/>
    <s v="AeroTech UK"/>
  </r>
  <r>
    <s v="PRD-00487"/>
    <x v="46"/>
    <x v="1"/>
    <x v="1"/>
    <s v="CNC-02"/>
    <s v="OP-027"/>
    <x v="2"/>
    <n v="243"/>
    <n v="198"/>
    <n v="5"/>
    <n v="5.6"/>
    <n v="43585.77"/>
    <n v="8.09"/>
    <n v="177.98"/>
    <n v="299"/>
    <d v="2026-05-12T00:00:00"/>
    <d v="2026-05-14T00:00:00"/>
    <x v="0"/>
    <s v="SkyWorks"/>
  </r>
  <r>
    <s v="PRD-00488"/>
    <x v="15"/>
    <x v="0"/>
    <x v="0"/>
    <s v="Autoclave-02"/>
    <s v="OP-008"/>
    <x v="1"/>
    <n v="87"/>
    <n v="83"/>
    <n v="1"/>
    <n v="4"/>
    <n v="31260.74"/>
    <n v="2.21"/>
    <n v="39.78"/>
    <n v="100"/>
    <d v="2026-01-08T00:00:00"/>
    <d v="2026-01-08T00:00:00"/>
    <x v="0"/>
    <s v="NorthStar Aviation"/>
  </r>
  <r>
    <s v="PRD-00489"/>
    <x v="165"/>
    <x v="1"/>
    <x v="1"/>
    <s v="CNC-02"/>
    <s v="OP-008"/>
    <x v="1"/>
    <n v="130"/>
    <n v="94"/>
    <n v="7"/>
    <n v="8.1999999999999993"/>
    <n v="18627.7"/>
    <n v="2.5499999999999998"/>
    <n v="45.9"/>
    <n v="176"/>
    <d v="2026-04-02T00:00:00"/>
    <d v="2026-04-02T00:00:00"/>
    <x v="2"/>
    <s v="SkyWorks"/>
  </r>
  <r>
    <s v="PRD-00490"/>
    <x v="42"/>
    <x v="3"/>
    <x v="3"/>
    <s v="Bender-01"/>
    <s v="OP-011"/>
    <x v="0"/>
    <n v="284"/>
    <n v="326"/>
    <n v="27"/>
    <n v="7.9"/>
    <n v="29229.63"/>
    <n v="13.1"/>
    <n v="262"/>
    <n v="293"/>
    <d v="2026-06-29T00:00:00"/>
    <d v="2026-07-01T00:00:00"/>
    <x v="0"/>
    <s v="Global Aero Systems"/>
  </r>
  <r>
    <s v="PRD-00491"/>
    <x v="50"/>
    <x v="1"/>
    <x v="1"/>
    <s v="CNC-02"/>
    <s v="OP-024"/>
    <x v="2"/>
    <n v="275"/>
    <n v="270"/>
    <n v="5"/>
    <n v="4.8"/>
    <n v="65012.37"/>
    <n v="5.21"/>
    <n v="114.62"/>
    <n v="267"/>
    <d v="2026-06-22T00:00:00"/>
    <d v="2026-06-26T00:00:00"/>
    <x v="0"/>
    <s v="Global Aero Systems"/>
  </r>
  <r>
    <s v="PRD-00492"/>
    <x v="42"/>
    <x v="0"/>
    <x v="0"/>
    <s v="Autoclave-01"/>
    <s v="OP-009"/>
    <x v="0"/>
    <n v="210"/>
    <n v="186"/>
    <n v="15"/>
    <n v="6.8"/>
    <n v="57800.43"/>
    <n v="4.1500000000000004"/>
    <n v="91.3"/>
    <n v="304"/>
    <d v="2026-06-28T00:00:00"/>
    <d v="2026-07-02T00:00:00"/>
    <x v="2"/>
    <s v="Global Aero Systems"/>
  </r>
  <r>
    <s v="PRD-00493"/>
    <x v="0"/>
    <x v="7"/>
    <x v="0"/>
    <s v="Autoclave-01"/>
    <s v="OP-025"/>
    <x v="2"/>
    <n v="136"/>
    <n v="150"/>
    <n v="6"/>
    <n v="2.1"/>
    <n v="35230.589999999997"/>
    <n v="4.0599999999999996"/>
    <n v="81.2"/>
    <n v="191"/>
    <d v="2026-06-19T00:00:00"/>
    <d v="2026-06-18T00:00:00"/>
    <x v="0"/>
    <s v="SkyWorks"/>
  </r>
  <r>
    <s v="PRD-00494"/>
    <x v="150"/>
    <x v="4"/>
    <x v="4"/>
    <s v="Assembly-01"/>
    <s v="OP-006"/>
    <x v="1"/>
    <n v="229"/>
    <n v="168"/>
    <n v="8"/>
    <n v="3"/>
    <n v="32416.720000000001"/>
    <n v="4.51"/>
    <n v="108.24"/>
    <n v="270"/>
    <d v="2026-04-30T00:00:00"/>
    <d v="2026-05-02T00:00:00"/>
    <x v="0"/>
    <s v="NorthStar Aviation"/>
  </r>
  <r>
    <s v="PRD-00495"/>
    <x v="128"/>
    <x v="0"/>
    <x v="0"/>
    <s v="Autoclave-02"/>
    <s v="OP-018"/>
    <x v="2"/>
    <n v="310"/>
    <n v="234"/>
    <n v="18"/>
    <n v="4.5999999999999996"/>
    <n v="85799.63"/>
    <n v="9.42"/>
    <n v="169.56"/>
    <n v="300"/>
    <d v="2026-03-12T00:00:00"/>
    <d v="2026-03-13T00:00:00"/>
    <x v="0"/>
    <s v="SkyWorks"/>
  </r>
  <r>
    <s v="PRD-00496"/>
    <x v="166"/>
    <x v="4"/>
    <x v="4"/>
    <s v="Assembly-02"/>
    <s v="OP-027"/>
    <x v="1"/>
    <n v="157"/>
    <n v="163"/>
    <n v="12"/>
    <n v="7.6"/>
    <n v="29779.95"/>
    <n v="3.47"/>
    <n v="90.22"/>
    <n v="183"/>
    <d v="2026-02-22T00:00:00"/>
    <d v="2026-02-22T00:00:00"/>
    <x v="0"/>
    <s v="Global Aero Systems"/>
  </r>
  <r>
    <s v="PRD-00497"/>
    <x v="167"/>
    <x v="7"/>
    <x v="0"/>
    <s v="Autoclave-02"/>
    <s v="OP-011"/>
    <x v="2"/>
    <n v="247"/>
    <n v="232"/>
    <n v="17"/>
    <n v="1.3"/>
    <n v="55234.85"/>
    <n v="8.35"/>
    <n v="200.4"/>
    <n v="266"/>
    <d v="2026-04-24T00:00:00"/>
    <d v="2026-04-28T00:00:00"/>
    <x v="2"/>
    <s v="SkyWorks"/>
  </r>
  <r>
    <s v="PRD-00498"/>
    <x v="45"/>
    <x v="2"/>
    <x v="2"/>
    <s v="Repair-02"/>
    <s v="OP-008"/>
    <x v="1"/>
    <n v="133"/>
    <n v="120"/>
    <n v="9"/>
    <n v="0.3"/>
    <n v="10574.73"/>
    <n v="3.04"/>
    <n v="54.72"/>
    <n v="220"/>
    <d v="2026-03-02T00:00:00"/>
    <d v="2026-03-03T00:00:00"/>
    <x v="0"/>
    <s v="Global Aero Systems"/>
  </r>
  <r>
    <s v="PRD-00499"/>
    <x v="158"/>
    <x v="2"/>
    <x v="2"/>
    <s v="Repair-02"/>
    <s v="OP-003"/>
    <x v="0"/>
    <n v="163"/>
    <n v="158"/>
    <n v="8"/>
    <n v="0.3"/>
    <n v="14275.17"/>
    <n v="6.61"/>
    <n v="171.86"/>
    <n v="223"/>
    <d v="2026-07-03T00:00:00"/>
    <d v="2026-07-03T00:00:00"/>
    <x v="2"/>
    <s v="Global Aero Systems"/>
  </r>
  <r>
    <s v="PRD-00500"/>
    <x v="45"/>
    <x v="5"/>
    <x v="5"/>
    <s v="Surface-01"/>
    <s v="OP-003"/>
    <x v="1"/>
    <n v="164"/>
    <n v="158"/>
    <n v="7"/>
    <n v="8.1"/>
    <n v="17227.47"/>
    <n v="4.9400000000000004"/>
    <n v="88.92"/>
    <n v="249"/>
    <d v="2026-02-20T00:00:00"/>
    <d v="2026-02-20T00:00:00"/>
    <x v="0"/>
    <s v="SkyWorks"/>
  </r>
  <r>
    <s v="PRD-00501"/>
    <x v="59"/>
    <x v="1"/>
    <x v="1"/>
    <s v="CNC-03"/>
    <s v="OP-014"/>
    <x v="1"/>
    <n v="248"/>
    <n v="234"/>
    <n v="10"/>
    <n v="3.3"/>
    <n v="42032.41"/>
    <n v="9.32"/>
    <n v="223.68"/>
    <n v="248"/>
    <d v="2026-02-25T00:00:00"/>
    <d v="2026-02-25T00:00:00"/>
    <x v="1"/>
    <s v="AeroTech UK"/>
  </r>
  <r>
    <s v="PRD-00502"/>
    <x v="28"/>
    <x v="1"/>
    <x v="1"/>
    <s v="CNC-02"/>
    <s v="OP-007"/>
    <x v="2"/>
    <n v="302"/>
    <n v="244"/>
    <n v="10"/>
    <n v="6.4"/>
    <n v="56806.59"/>
    <n v="9.89"/>
    <n v="257.14"/>
    <n v="313"/>
    <d v="2026-04-20T00:00:00"/>
    <d v="2026-04-24T00:00:00"/>
    <x v="0"/>
    <s v="NorthStar Aviation"/>
  </r>
  <r>
    <s v="PRD-00503"/>
    <x v="36"/>
    <x v="0"/>
    <x v="0"/>
    <s v="Autoclave-02"/>
    <s v="OP-023"/>
    <x v="0"/>
    <n v="234"/>
    <n v="249"/>
    <n v="13"/>
    <n v="8.1999999999999993"/>
    <n v="90671.53"/>
    <n v="7.92"/>
    <n v="142.56"/>
    <n v="267"/>
    <d v="2026-05-07T00:00:00"/>
    <d v="2026-05-11T00:00:00"/>
    <x v="0"/>
    <s v="SkyWorks"/>
  </r>
  <r>
    <s v="PRD-00504"/>
    <x v="147"/>
    <x v="3"/>
    <x v="3"/>
    <s v="Laser-01"/>
    <s v="OP-009"/>
    <x v="0"/>
    <n v="143"/>
    <n v="114"/>
    <n v="6"/>
    <n v="3.9"/>
    <n v="13382.77"/>
    <n v="3.96"/>
    <n v="71.28"/>
    <n v="203"/>
    <d v="2026-04-13T00:00:00"/>
    <d v="2026-04-13T00:00:00"/>
    <x v="0"/>
    <s v="Precision Air"/>
  </r>
  <r>
    <s v="PRD-00505"/>
    <x v="140"/>
    <x v="0"/>
    <x v="0"/>
    <s v="CNC-01"/>
    <s v="OP-015"/>
    <x v="2"/>
    <n v="265"/>
    <n v="273"/>
    <n v="6"/>
    <n v="4.4000000000000004"/>
    <n v="105554.74"/>
    <n v="11.44"/>
    <n v="205.92"/>
    <n v="251"/>
    <d v="2026-03-26T00:00:00"/>
    <d v="2026-03-27T00:00:00"/>
    <x v="2"/>
    <s v="SkyWorks"/>
  </r>
  <r>
    <s v="PRD-00506"/>
    <x v="100"/>
    <x v="7"/>
    <x v="0"/>
    <s v="Autoclave-02"/>
    <s v="OP-023"/>
    <x v="2"/>
    <n v="86"/>
    <n v="64"/>
    <n v="4"/>
    <n v="6.7"/>
    <n v="17414.37"/>
    <n v="2.4700000000000002"/>
    <n v="59.28"/>
    <n v="59"/>
    <d v="2026-02-25T00:00:00"/>
    <d v="2026-02-25T00:00:00"/>
    <x v="0"/>
    <s v="SkyWorks"/>
  </r>
  <r>
    <s v="PRD-00507"/>
    <x v="112"/>
    <x v="5"/>
    <x v="5"/>
    <s v="Surface-02"/>
    <s v="OP-010"/>
    <x v="2"/>
    <n v="198"/>
    <n v="148"/>
    <n v="8"/>
    <n v="2.2000000000000002"/>
    <n v="22204.77"/>
    <n v="5.58"/>
    <n v="111.6"/>
    <n v="201"/>
    <d v="2026-06-23T00:00:00"/>
    <d v="2026-06-22T00:00:00"/>
    <x v="0"/>
    <s v="Precision Air"/>
  </r>
  <r>
    <s v="PRD-00508"/>
    <x v="147"/>
    <x v="3"/>
    <x v="3"/>
    <s v="Press-01"/>
    <s v="OP-021"/>
    <x v="0"/>
    <n v="251"/>
    <n v="263"/>
    <n v="17"/>
    <n v="1.4"/>
    <n v="27093.72"/>
    <n v="4.95"/>
    <n v="128.69999999999999"/>
    <n v="266"/>
    <d v="2026-04-20T00:00:00"/>
    <d v="2026-04-18T00:00:00"/>
    <x v="1"/>
    <s v="AeroTech UK"/>
  </r>
  <r>
    <s v="PRD-00509"/>
    <x v="28"/>
    <x v="6"/>
    <x v="4"/>
    <s v="Assembly-02"/>
    <s v="OP-001"/>
    <x v="1"/>
    <n v="93"/>
    <n v="90"/>
    <n v="0"/>
    <n v="3.4"/>
    <n v="13088.67"/>
    <n v="3.58"/>
    <n v="71.599999999999994"/>
    <n v="76"/>
    <d v="2026-04-12T00:00:00"/>
    <d v="2026-04-14T00:00:00"/>
    <x v="0"/>
    <s v="NorthStar Aviation"/>
  </r>
  <r>
    <s v="PRD-00510"/>
    <x v="7"/>
    <x v="0"/>
    <x v="0"/>
    <s v="Autoclave-01"/>
    <s v="OP-007"/>
    <x v="0"/>
    <n v="305"/>
    <n v="232"/>
    <n v="18"/>
    <n v="6"/>
    <n v="71280.679999999993"/>
    <n v="7.03"/>
    <n v="154.66"/>
    <n v="347"/>
    <d v="2026-07-04T00:00:00"/>
    <d v="2026-07-04T00:00:00"/>
    <x v="1"/>
    <s v="Global Aero Systems"/>
  </r>
  <r>
    <s v="PRD-00511"/>
    <x v="26"/>
    <x v="0"/>
    <x v="0"/>
    <s v="Autoclave-01"/>
    <s v="OP-012"/>
    <x v="2"/>
    <n v="134"/>
    <n v="102"/>
    <n v="3"/>
    <n v="0.1"/>
    <n v="30308.95"/>
    <n v="2.36"/>
    <n v="47.2"/>
    <n v="110"/>
    <d v="2026-05-02T00:00:00"/>
    <d v="2026-05-02T00:00:00"/>
    <x v="1"/>
    <s v="AeroTech UK"/>
  </r>
  <r>
    <s v="PRD-00512"/>
    <x v="89"/>
    <x v="2"/>
    <x v="2"/>
    <s v="Repair-02"/>
    <s v="OP-022"/>
    <x v="0"/>
    <n v="276"/>
    <n v="269"/>
    <n v="25"/>
    <n v="0.9"/>
    <n v="28385.8"/>
    <n v="10.33"/>
    <n v="206.6"/>
    <n v="300"/>
    <d v="2026-02-28T00:00:00"/>
    <d v="2026-03-01T00:00:00"/>
    <x v="2"/>
    <s v="NorthStar Aviation"/>
  </r>
  <r>
    <s v="PRD-00513"/>
    <x v="141"/>
    <x v="3"/>
    <x v="3"/>
    <s v="Bender-01"/>
    <s v="OP-019"/>
    <x v="0"/>
    <n v="274"/>
    <n v="301"/>
    <n v="10"/>
    <n v="7.7"/>
    <n v="33581.58"/>
    <n v="9.81"/>
    <n v="255.06"/>
    <n v="348"/>
    <d v="2026-04-04T00:00:00"/>
    <d v="2026-04-04T00:00:00"/>
    <x v="1"/>
    <s v="AeroTech UK"/>
  </r>
  <r>
    <s v="PRD-00514"/>
    <x v="37"/>
    <x v="7"/>
    <x v="0"/>
    <s v="CNC-01"/>
    <s v="OP-013"/>
    <x v="2"/>
    <n v="274"/>
    <n v="302"/>
    <n v="9"/>
    <n v="6.6"/>
    <n v="90824.06"/>
    <n v="5.87"/>
    <n v="129.13999999999999"/>
    <n v="361"/>
    <d v="2026-03-07T00:00:00"/>
    <d v="2026-03-07T00:00:00"/>
    <x v="0"/>
    <s v="AeroTech UK"/>
  </r>
  <r>
    <s v="PRD-00515"/>
    <x v="49"/>
    <x v="5"/>
    <x v="5"/>
    <s v="Surface-02"/>
    <s v="OP-008"/>
    <x v="2"/>
    <n v="114"/>
    <n v="95"/>
    <n v="5"/>
    <n v="6.8"/>
    <n v="15423.52"/>
    <n v="3.19"/>
    <n v="70.180000000000007"/>
    <n v="80"/>
    <d v="2026-03-07T00:00:00"/>
    <d v="2026-03-08T00:00:00"/>
    <x v="0"/>
    <s v="Precision Air"/>
  </r>
  <r>
    <s v="PRD-00516"/>
    <x v="16"/>
    <x v="1"/>
    <x v="1"/>
    <s v="CNC-04"/>
    <s v="OP-007"/>
    <x v="2"/>
    <n v="258"/>
    <n v="265"/>
    <n v="15"/>
    <n v="3.4"/>
    <n v="55814.41"/>
    <n v="4.8099999999999996"/>
    <n v="115.44"/>
    <n v="235"/>
    <d v="2026-01-19T00:00:00"/>
    <d v="2026-01-17T00:00:00"/>
    <x v="0"/>
    <s v="AeroTech UK"/>
  </r>
  <r>
    <s v="PRD-00517"/>
    <x v="149"/>
    <x v="1"/>
    <x v="1"/>
    <s v="CNC-02"/>
    <s v="OP-009"/>
    <x v="1"/>
    <n v="209"/>
    <n v="157"/>
    <n v="11"/>
    <n v="2.8"/>
    <n v="36107.879999999997"/>
    <n v="3.49"/>
    <n v="69.8"/>
    <n v="246"/>
    <d v="2026-02-20T00:00:00"/>
    <d v="2026-02-24T00:00:00"/>
    <x v="0"/>
    <s v="AeroTech UK"/>
  </r>
  <r>
    <s v="PRD-00518"/>
    <x v="75"/>
    <x v="2"/>
    <x v="2"/>
    <s v="Repair-02"/>
    <s v="OP-025"/>
    <x v="1"/>
    <n v="122"/>
    <n v="112"/>
    <n v="4"/>
    <n v="5.5"/>
    <n v="9137.98"/>
    <n v="4.58"/>
    <n v="109.92"/>
    <n v="87"/>
    <d v="2026-04-11T00:00:00"/>
    <d v="2026-04-13T00:00:00"/>
    <x v="0"/>
    <s v="Precision Air"/>
  </r>
  <r>
    <s v="PRD-00520"/>
    <x v="34"/>
    <x v="4"/>
    <x v="4"/>
    <s v="Assembly-02"/>
    <s v="OP-013"/>
    <x v="0"/>
    <n v="183"/>
    <n v="204"/>
    <n v="18"/>
    <n v="8.6999999999999993"/>
    <n v="38832.69"/>
    <n v="6.81"/>
    <n v="177.06"/>
    <n v="161"/>
    <d v="2026-01-12T00:00:00"/>
    <d v="2026-01-10T00:00:00"/>
    <x v="0"/>
    <s v="NorthStar Aviation"/>
  </r>
  <r>
    <s v="PRD-00521"/>
    <x v="3"/>
    <x v="2"/>
    <x v="2"/>
    <s v="Repair-02"/>
    <s v="OP-002"/>
    <x v="1"/>
    <n v="277"/>
    <n v="308"/>
    <n v="21"/>
    <n v="4.5999999999999996"/>
    <n v="29668.12"/>
    <n v="10.69"/>
    <n v="256.56"/>
    <n v="345"/>
    <d v="2026-02-24T00:00:00"/>
    <d v="2026-02-24T00:00:00"/>
    <x v="2"/>
    <s v="AeroTech UK"/>
  </r>
  <r>
    <s v="PRD-00522"/>
    <x v="131"/>
    <x v="3"/>
    <x v="3"/>
    <s v="Laser-01"/>
    <s v="OP-023"/>
    <x v="0"/>
    <n v="234"/>
    <n v="214"/>
    <n v="14"/>
    <n v="2.2999999999999998"/>
    <n v="29216.55"/>
    <n v="8.17"/>
    <n v="147.06"/>
    <n v="223"/>
    <d v="2026-07-01T00:00:00"/>
    <d v="2026-07-03T00:00:00"/>
    <x v="2"/>
    <s v="AeroTech UK"/>
  </r>
  <r>
    <s v="PRD-00523"/>
    <x v="43"/>
    <x v="1"/>
    <x v="1"/>
    <s v="CNC-03"/>
    <s v="OP-025"/>
    <x v="1"/>
    <n v="122"/>
    <n v="131"/>
    <n v="3"/>
    <n v="2.7"/>
    <n v="36473.129999999997"/>
    <n v="3.56"/>
    <n v="78.319999999999993"/>
    <n v="187"/>
    <d v="2026-05-16T00:00:00"/>
    <d v="2026-05-15T00:00:00"/>
    <x v="1"/>
    <s v="NorthStar Aviation"/>
  </r>
  <r>
    <s v="PRD-00524"/>
    <x v="35"/>
    <x v="1"/>
    <x v="1"/>
    <s v="CNC-04"/>
    <s v="OP-006"/>
    <x v="2"/>
    <n v="181"/>
    <n v="184"/>
    <n v="1"/>
    <n v="1.5"/>
    <n v="37411.040000000001"/>
    <n v="6.73"/>
    <n v="161.52000000000001"/>
    <n v="275"/>
    <d v="2026-03-18T00:00:00"/>
    <d v="2026-03-18T00:00:00"/>
    <x v="2"/>
    <s v="SkyWorks"/>
  </r>
  <r>
    <s v="PRD-00525"/>
    <x v="153"/>
    <x v="3"/>
    <x v="3"/>
    <s v="Press-01"/>
    <s v="OP-021"/>
    <x v="0"/>
    <n v="204"/>
    <n v="162"/>
    <n v="14"/>
    <n v="4.0999999999999996"/>
    <n v="19401.84"/>
    <n v="3.15"/>
    <n v="63"/>
    <n v="213"/>
    <d v="2026-02-23T00:00:00"/>
    <d v="2026-02-25T00:00:00"/>
    <x v="2"/>
    <s v="AeroTech UK"/>
  </r>
  <r>
    <s v="PRD-00526"/>
    <x v="50"/>
    <x v="3"/>
    <x v="3"/>
    <s v="Press-01"/>
    <s v="OP-022"/>
    <x v="0"/>
    <n v="155"/>
    <n v="117"/>
    <n v="1"/>
    <n v="0.6"/>
    <n v="10606.67"/>
    <n v="3.47"/>
    <n v="62.46"/>
    <n v="117"/>
    <d v="2026-06-14T00:00:00"/>
    <d v="2026-06-14T00:00:00"/>
    <x v="0"/>
    <s v="AeroTech UK"/>
  </r>
  <r>
    <s v="PRD-00527"/>
    <x v="109"/>
    <x v="1"/>
    <x v="1"/>
    <s v="CNC-04"/>
    <s v="OP-011"/>
    <x v="2"/>
    <n v="282"/>
    <n v="203"/>
    <n v="12"/>
    <n v="8.9"/>
    <n v="56645.9"/>
    <n v="5.96"/>
    <n v="131.12"/>
    <n v="351"/>
    <d v="2026-02-01T00:00:00"/>
    <d v="2026-02-02T00:00:00"/>
    <x v="0"/>
    <s v="SkyWorks"/>
  </r>
  <r>
    <s v="PRD-00528"/>
    <x v="137"/>
    <x v="2"/>
    <x v="2"/>
    <s v="Repair-02"/>
    <s v="OP-009"/>
    <x v="0"/>
    <n v="236"/>
    <n v="175"/>
    <n v="6"/>
    <n v="3"/>
    <n v="13634.77"/>
    <n v="6.08"/>
    <n v="121.6"/>
    <n v="202"/>
    <d v="2026-07-01T00:00:00"/>
    <d v="2026-06-30T00:00:00"/>
    <x v="1"/>
    <s v="NorthStar Aviation"/>
  </r>
  <r>
    <s v="PRD-00529"/>
    <x v="51"/>
    <x v="5"/>
    <x v="5"/>
    <s v="Surface-02"/>
    <s v="OP-020"/>
    <x v="1"/>
    <n v="211"/>
    <n v="189"/>
    <n v="4"/>
    <n v="8.9"/>
    <n v="34083.550000000003"/>
    <n v="3.48"/>
    <n v="76.56"/>
    <n v="182"/>
    <d v="2026-04-12T00:00:00"/>
    <d v="2026-04-16T00:00:00"/>
    <x v="0"/>
    <s v="Global Aero Systems"/>
  </r>
  <r>
    <s v="PRD-00530"/>
    <x v="168"/>
    <x v="0"/>
    <x v="0"/>
    <s v="Autoclave-02"/>
    <s v="OP-028"/>
    <x v="0"/>
    <n v="189"/>
    <n v="212"/>
    <n v="19"/>
    <n v="4.3"/>
    <n v="76445.649999999994"/>
    <n v="4.33"/>
    <n v="103.92"/>
    <n v="224"/>
    <d v="2026-06-17T00:00:00"/>
    <d v="2026-06-17T00:00:00"/>
    <x v="0"/>
    <s v="Precision Air"/>
  </r>
  <r>
    <s v="PRD-00531"/>
    <x v="151"/>
    <x v="7"/>
    <x v="0"/>
    <s v="Autoclave-01"/>
    <s v="OP-007"/>
    <x v="2"/>
    <n v="207"/>
    <n v="219"/>
    <n v="7"/>
    <n v="6.1"/>
    <n v="65395.5"/>
    <n v="4.83"/>
    <n v="115.92"/>
    <n v="196"/>
    <d v="2026-05-19T00:00:00"/>
    <d v="2026-05-19T00:00:00"/>
    <x v="0"/>
    <s v="AeroTech UK"/>
  </r>
  <r>
    <s v="PRD-00532"/>
    <x v="25"/>
    <x v="2"/>
    <x v="2"/>
    <s v="Repair-01"/>
    <s v="OP-026"/>
    <x v="0"/>
    <n v="121"/>
    <n v="135"/>
    <n v="4"/>
    <n v="3.5"/>
    <n v="12118.95"/>
    <n v="4.59"/>
    <n v="82.62"/>
    <n v="115"/>
    <d v="2026-02-07T00:00:00"/>
    <d v="2026-02-11T00:00:00"/>
    <x v="0"/>
    <s v="SkyWorks"/>
  </r>
  <r>
    <s v="PRD-00533"/>
    <x v="24"/>
    <x v="0"/>
    <x v="0"/>
    <s v="CNC-01"/>
    <s v="OP-010"/>
    <x v="2"/>
    <n v="167"/>
    <n v="147"/>
    <n v="10"/>
    <n v="6.6"/>
    <n v="47311.58"/>
    <n v="4.63"/>
    <n v="111.12"/>
    <n v="186"/>
    <d v="2026-03-04T00:00:00"/>
    <d v="2026-03-04T00:00:00"/>
    <x v="0"/>
    <s v="AeroTech UK"/>
  </r>
  <r>
    <s v="PRD-00534"/>
    <x v="61"/>
    <x v="4"/>
    <x v="4"/>
    <s v="Assembly-03"/>
    <s v="OP-018"/>
    <x v="2"/>
    <n v="231"/>
    <n v="259"/>
    <n v="18"/>
    <n v="1"/>
    <n v="54006.89"/>
    <n v="10.59"/>
    <n v="275.33999999999997"/>
    <n v="191"/>
    <d v="2026-01-29T00:00:00"/>
    <d v="2026-01-27T00:00:00"/>
    <x v="1"/>
    <s v="Global Aero Systems"/>
  </r>
  <r>
    <s v="PRD-00535"/>
    <x v="156"/>
    <x v="4"/>
    <x v="4"/>
    <s v="Assembly-02"/>
    <s v="OP-027"/>
    <x v="2"/>
    <n v="284"/>
    <n v="287"/>
    <n v="22"/>
    <n v="4.7"/>
    <n v="55080.68"/>
    <n v="7.89"/>
    <n v="205.14"/>
    <n v="361"/>
    <d v="2026-04-26T00:00:00"/>
    <d v="2026-04-26T00:00:00"/>
    <x v="0"/>
    <s v="Global Aero Systems"/>
  </r>
  <r>
    <s v="PRD-00536"/>
    <x v="7"/>
    <x v="5"/>
    <x v="5"/>
    <s v="Surface-01"/>
    <s v="OP-016"/>
    <x v="1"/>
    <n v="233"/>
    <n v="196"/>
    <n v="14"/>
    <n v="7.6"/>
    <n v="27404.71"/>
    <n v="5.03"/>
    <n v="130.78"/>
    <n v="224"/>
    <d v="2026-06-30T00:00:00"/>
    <d v="2026-07-04T00:00:00"/>
    <x v="0"/>
    <s v="Global Aero Systems"/>
  </r>
  <r>
    <s v="PRD-00537"/>
    <x v="53"/>
    <x v="4"/>
    <x v="4"/>
    <s v="Assembly-01"/>
    <s v="OP-001"/>
    <x v="0"/>
    <n v="291"/>
    <n v="299"/>
    <n v="24"/>
    <n v="8.4"/>
    <n v="57288.83"/>
    <n v="12.01"/>
    <n v="240.2"/>
    <n v="375"/>
    <d v="2026-01-24T00:00:00"/>
    <d v="2026-01-24T00:00:00"/>
    <x v="0"/>
    <s v="Global Aero Systems"/>
  </r>
  <r>
    <s v="PRD-00538"/>
    <x v="165"/>
    <x v="2"/>
    <x v="2"/>
    <s v="Repair-02"/>
    <s v="OP-025"/>
    <x v="0"/>
    <n v="169"/>
    <n v="176"/>
    <n v="7"/>
    <n v="4.8"/>
    <n v="15724.9"/>
    <n v="3.99"/>
    <n v="103.74"/>
    <n v="229"/>
    <d v="2026-03-31T00:00:00"/>
    <d v="2026-03-31T00:00:00"/>
    <x v="0"/>
    <s v="AeroTech UK"/>
  </r>
  <r>
    <s v="PRD-00539"/>
    <x v="157"/>
    <x v="5"/>
    <x v="5"/>
    <s v="Surface-01"/>
    <s v="OP-013"/>
    <x v="1"/>
    <n v="227"/>
    <n v="176"/>
    <n v="11"/>
    <n v="2.6"/>
    <n v="20275.849999999999"/>
    <n v="6.33"/>
    <n v="113.94"/>
    <n v="279"/>
    <d v="2026-03-30T00:00:00"/>
    <d v="2026-03-29T00:00:00"/>
    <x v="0"/>
    <s v="NorthStar Aviation"/>
  </r>
  <r>
    <s v="PRD-00540"/>
    <x v="86"/>
    <x v="0"/>
    <x v="0"/>
    <s v="Autoclave-02"/>
    <s v="OP-013"/>
    <x v="1"/>
    <n v="201"/>
    <n v="160"/>
    <n v="1"/>
    <n v="8.8000000000000007"/>
    <n v="55981.43"/>
    <n v="6.6"/>
    <n v="158.4"/>
    <n v="223"/>
    <d v="2026-01-17T00:00:00"/>
    <d v="2026-01-16T00:00:00"/>
    <x v="0"/>
    <s v="SkyWorks"/>
  </r>
  <r>
    <s v="PRD-00541"/>
    <x v="136"/>
    <x v="3"/>
    <x v="3"/>
    <s v="Bender-01"/>
    <s v="OP-001"/>
    <x v="2"/>
    <n v="270"/>
    <n v="237"/>
    <n v="15"/>
    <n v="7.2"/>
    <n v="31618.65"/>
    <n v="9.19"/>
    <n v="220.56"/>
    <n v="300"/>
    <d v="2026-07-08T00:00:00"/>
    <d v="2026-07-12T00:00:00"/>
    <x v="0"/>
    <s v="AeroTech UK"/>
  </r>
  <r>
    <s v="PRD-00542"/>
    <x v="71"/>
    <x v="0"/>
    <x v="0"/>
    <s v="Autoclave-02"/>
    <s v="OP-010"/>
    <x v="0"/>
    <n v="244"/>
    <n v="245"/>
    <n v="12"/>
    <n v="0.2"/>
    <n v="83011.19"/>
    <n v="6.02"/>
    <n v="108.36"/>
    <n v="250"/>
    <d v="2026-01-30T00:00:00"/>
    <d v="2026-02-03T00:00:00"/>
    <x v="2"/>
    <s v="NorthStar Aviation"/>
  </r>
  <r>
    <s v="PRD-00543"/>
    <x v="169"/>
    <x v="4"/>
    <x v="4"/>
    <s v="Assembly-01"/>
    <s v="OP-027"/>
    <x v="0"/>
    <n v="262"/>
    <n v="291"/>
    <n v="22"/>
    <n v="1.7"/>
    <n v="56436.57"/>
    <n v="9.1199999999999992"/>
    <n v="237.12"/>
    <n v="357"/>
    <d v="2026-02-04T00:00:00"/>
    <d v="2026-02-03T00:00:00"/>
    <x v="1"/>
    <s v="Precision Air"/>
  </r>
  <r>
    <s v="PRD-00544"/>
    <x v="52"/>
    <x v="0"/>
    <x v="0"/>
    <s v="Autoclave-01"/>
    <s v="OP-003"/>
    <x v="0"/>
    <n v="248"/>
    <n v="274"/>
    <n v="5"/>
    <n v="5.4"/>
    <n v="79660.820000000007"/>
    <n v="10.199999999999999"/>
    <n v="183.6"/>
    <n v="218"/>
    <d v="2026-06-20T00:00:00"/>
    <d v="2026-06-20T00:00:00"/>
    <x v="0"/>
    <s v="SkyWorks"/>
  </r>
  <r>
    <s v="PRD-00545"/>
    <x v="72"/>
    <x v="0"/>
    <x v="0"/>
    <s v="Autoclave-01"/>
    <s v="OP-019"/>
    <x v="1"/>
    <n v="209"/>
    <n v="177"/>
    <n v="16"/>
    <n v="1.5"/>
    <n v="70010.789999999994"/>
    <n v="4.24"/>
    <n v="76.319999999999993"/>
    <n v="301"/>
    <d v="2026-01-15T00:00:00"/>
    <d v="2026-01-19T00:00:00"/>
    <x v="0"/>
    <s v="SkyWorks"/>
  </r>
  <r>
    <s v="PRD-00546"/>
    <x v="123"/>
    <x v="4"/>
    <x v="4"/>
    <s v="Assembly-03"/>
    <s v="OP-012"/>
    <x v="1"/>
    <n v="217"/>
    <n v="203"/>
    <n v="13"/>
    <n v="6"/>
    <n v="29739.47"/>
    <n v="4.34"/>
    <n v="86.8"/>
    <n v="211"/>
    <d v="2026-05-25T00:00:00"/>
    <d v="2026-05-25T00:00:00"/>
    <x v="1"/>
    <s v="NorthStar Aviation"/>
  </r>
  <r>
    <s v="PRD-00547"/>
    <x v="44"/>
    <x v="2"/>
    <x v="2"/>
    <s v="Repair-01"/>
    <s v="OP-021"/>
    <x v="0"/>
    <n v="220"/>
    <n v="182"/>
    <n v="7"/>
    <n v="8.1"/>
    <n v="14352.35"/>
    <n v="4.3899999999999997"/>
    <n v="105.36"/>
    <n v="216"/>
    <d v="2026-06-19T00:00:00"/>
    <d v="2026-06-19T00:00:00"/>
    <x v="0"/>
    <s v="SkyWorks"/>
  </r>
  <r>
    <s v="PRD-00548"/>
    <x v="50"/>
    <x v="1"/>
    <x v="1"/>
    <s v="CNC-04"/>
    <s v="OP-009"/>
    <x v="2"/>
    <n v="175"/>
    <n v="168"/>
    <n v="10"/>
    <n v="4.5999999999999996"/>
    <n v="36666.31"/>
    <n v="4.3"/>
    <n v="103.2"/>
    <n v="232"/>
    <d v="2026-06-14T00:00:00"/>
    <d v="2026-06-14T00:00:00"/>
    <x v="0"/>
    <s v="Precision Air"/>
  </r>
  <r>
    <s v="PRD-00549"/>
    <x v="170"/>
    <x v="2"/>
    <x v="2"/>
    <s v="Repair-01"/>
    <s v="OP-004"/>
    <x v="2"/>
    <n v="164"/>
    <n v="163"/>
    <n v="6"/>
    <n v="3"/>
    <n v="15144.18"/>
    <n v="3.82"/>
    <n v="68.760000000000005"/>
    <n v="149"/>
    <d v="2026-02-06T00:00:00"/>
    <d v="2026-02-06T00:00:00"/>
    <x v="2"/>
    <s v="NorthStar Aviation"/>
  </r>
  <r>
    <s v="PRD-00550"/>
    <x v="76"/>
    <x v="6"/>
    <x v="4"/>
    <s v="Assembly-03"/>
    <s v="OP-006"/>
    <x v="1"/>
    <n v="290"/>
    <n v="309"/>
    <n v="4"/>
    <n v="3.1"/>
    <n v="52129.79"/>
    <n v="7.57"/>
    <n v="136.26"/>
    <n v="262"/>
    <d v="2026-05-19T00:00:00"/>
    <d v="2026-05-20T00:00:00"/>
    <x v="2"/>
    <s v="Precision Air"/>
  </r>
  <r>
    <s v="PRD-00551"/>
    <x v="22"/>
    <x v="2"/>
    <x v="2"/>
    <s v="Repair-02"/>
    <s v="OP-022"/>
    <x v="0"/>
    <n v="231"/>
    <n v="178"/>
    <n v="1"/>
    <n v="4.5999999999999996"/>
    <n v="12920.63"/>
    <n v="4.82"/>
    <n v="106.04"/>
    <n v="204"/>
    <d v="2026-06-03T00:00:00"/>
    <d v="2026-06-04T00:00:00"/>
    <x v="0"/>
    <s v="Global Aero Systems"/>
  </r>
  <r>
    <s v="PRD-00552"/>
    <x v="87"/>
    <x v="3"/>
    <x v="3"/>
    <s v="Laser-01"/>
    <s v="OP-014"/>
    <x v="1"/>
    <n v="170"/>
    <n v="180"/>
    <n v="9"/>
    <n v="2.5"/>
    <n v="23030.93"/>
    <n v="7.05"/>
    <n v="141"/>
    <n v="208"/>
    <d v="2026-05-10T00:00:00"/>
    <d v="2026-05-09T00:00:00"/>
    <x v="0"/>
    <s v="AeroTech UK"/>
  </r>
  <r>
    <s v="PRD-00553"/>
    <x v="50"/>
    <x v="0"/>
    <x v="0"/>
    <s v="Autoclave-01"/>
    <s v="OP-016"/>
    <x v="0"/>
    <n v="266"/>
    <n v="218"/>
    <n v="2"/>
    <n v="5.2"/>
    <n v="56598.98"/>
    <n v="8.7899999999999991"/>
    <n v="158.22"/>
    <n v="334"/>
    <d v="2026-06-24T00:00:00"/>
    <d v="2026-06-24T00:00:00"/>
    <x v="2"/>
    <s v="Precision Air"/>
  </r>
  <r>
    <s v="PRD-00554"/>
    <x v="131"/>
    <x v="0"/>
    <x v="0"/>
    <s v="Autoclave-02"/>
    <s v="OP-022"/>
    <x v="0"/>
    <n v="83"/>
    <n v="81"/>
    <n v="7"/>
    <n v="6.7"/>
    <n v="29786.69"/>
    <n v="2.92"/>
    <n v="58.4"/>
    <n v="60"/>
    <d v="2026-07-09T00:00:00"/>
    <d v="2026-07-13T00:00:00"/>
    <x v="0"/>
    <s v="NorthStar Aviation"/>
  </r>
  <r>
    <s v="PRD-00555"/>
    <x v="149"/>
    <x v="0"/>
    <x v="0"/>
    <s v="Autoclave-02"/>
    <s v="OP-010"/>
    <x v="1"/>
    <n v="294"/>
    <n v="228"/>
    <n v="8"/>
    <n v="0.5"/>
    <n v="67215.179999999993"/>
    <n v="9.41"/>
    <n v="207.02"/>
    <n v="317"/>
    <d v="2026-02-24T00:00:00"/>
    <d v="2026-02-23T00:00:00"/>
    <x v="0"/>
    <s v="SkyWorks"/>
  </r>
  <r>
    <s v="PRD-00556"/>
    <x v="128"/>
    <x v="1"/>
    <x v="1"/>
    <s v="CNC-02"/>
    <s v="OP-012"/>
    <x v="2"/>
    <n v="268"/>
    <n v="265"/>
    <n v="10"/>
    <n v="8.3000000000000007"/>
    <n v="78533.740000000005"/>
    <n v="8.0500000000000007"/>
    <n v="144.9"/>
    <n v="346"/>
    <d v="2026-03-20T00:00:00"/>
    <d v="2026-03-24T00:00:00"/>
    <x v="0"/>
    <s v="Precision Air"/>
  </r>
  <r>
    <s v="PRD-00557"/>
    <x v="87"/>
    <x v="4"/>
    <x v="4"/>
    <s v="Assembly-02"/>
    <s v="OP-004"/>
    <x v="1"/>
    <n v="170"/>
    <n v="130"/>
    <n v="4"/>
    <n v="6.5"/>
    <n v="21787.99"/>
    <n v="3.68"/>
    <n v="73.599999999999994"/>
    <n v="151"/>
    <d v="2026-05-08T00:00:00"/>
    <d v="2026-05-08T00:00:00"/>
    <x v="2"/>
    <s v="AeroTech UK"/>
  </r>
  <r>
    <s v="PRD-00558"/>
    <x v="107"/>
    <x v="6"/>
    <x v="4"/>
    <s v="Assembly-01"/>
    <s v="OP-024"/>
    <x v="1"/>
    <n v="200"/>
    <n v="178"/>
    <n v="5"/>
    <n v="3.9"/>
    <n v="29822.77"/>
    <n v="3.67"/>
    <n v="88.08"/>
    <n v="272"/>
    <d v="2026-02-13T00:00:00"/>
    <d v="2026-02-13T00:00:00"/>
    <x v="0"/>
    <s v="AeroTech UK"/>
  </r>
  <r>
    <s v="PRD-00559"/>
    <x v="68"/>
    <x v="1"/>
    <x v="1"/>
    <s v="CNC-02"/>
    <s v="OP-018"/>
    <x v="1"/>
    <n v="128"/>
    <n v="107"/>
    <n v="1"/>
    <n v="3.8"/>
    <n v="20093.07"/>
    <n v="3.64"/>
    <n v="87.36"/>
    <n v="156"/>
    <d v="2026-04-05T00:00:00"/>
    <d v="2026-04-07T00:00:00"/>
    <x v="2"/>
    <s v="NorthStar Aviation"/>
  </r>
  <r>
    <s v="PRD-00560"/>
    <x v="139"/>
    <x v="2"/>
    <x v="2"/>
    <s v="Repair-02"/>
    <s v="OP-020"/>
    <x v="0"/>
    <n v="113"/>
    <n v="86"/>
    <n v="1"/>
    <n v="0.2"/>
    <n v="6936.53"/>
    <n v="3.13"/>
    <n v="62.6"/>
    <n v="86"/>
    <d v="2026-04-06T00:00:00"/>
    <d v="2026-04-07T00:00:00"/>
    <x v="2"/>
    <s v="AeroTech UK"/>
  </r>
  <r>
    <s v="PRD-00561"/>
    <x v="60"/>
    <x v="5"/>
    <x v="5"/>
    <s v="Surface-02"/>
    <s v="OP-016"/>
    <x v="0"/>
    <n v="152"/>
    <n v="141"/>
    <n v="10"/>
    <n v="2.2000000000000002"/>
    <n v="17678.189999999999"/>
    <n v="3.38"/>
    <n v="60.84"/>
    <n v="179"/>
    <d v="2026-04-27T00:00:00"/>
    <d v="2026-04-29T00:00:00"/>
    <x v="0"/>
    <s v="AeroTech UK"/>
  </r>
  <r>
    <s v="PRD-00562"/>
    <x v="32"/>
    <x v="3"/>
    <x v="3"/>
    <s v="Press-01"/>
    <s v="OP-028"/>
    <x v="2"/>
    <n v="298"/>
    <n v="290"/>
    <n v="18"/>
    <n v="2.1"/>
    <n v="25905.09"/>
    <n v="12.11"/>
    <n v="242.2"/>
    <n v="367"/>
    <d v="2026-07-01T00:00:00"/>
    <d v="2026-07-01T00:00:00"/>
    <x v="0"/>
    <s v="Global Aero Systems"/>
  </r>
  <r>
    <s v="PRD-00563"/>
    <x v="82"/>
    <x v="6"/>
    <x v="4"/>
    <s v="Assembly-03"/>
    <s v="OP-023"/>
    <x v="1"/>
    <n v="242"/>
    <n v="276"/>
    <n v="6"/>
    <n v="3.8"/>
    <n v="39793.21"/>
    <n v="5.31"/>
    <n v="95.58"/>
    <n v="270"/>
    <d v="2026-04-22T00:00:00"/>
    <d v="2026-04-22T00:00:00"/>
    <x v="0"/>
    <s v="NorthStar Aviation"/>
  </r>
  <r>
    <s v="PRD-00564"/>
    <x v="171"/>
    <x v="7"/>
    <x v="0"/>
    <s v="Autoclave-01"/>
    <s v="OP-011"/>
    <x v="1"/>
    <n v="90"/>
    <n v="64"/>
    <n v="4"/>
    <n v="2.9"/>
    <n v="14822.68"/>
    <n v="2.08"/>
    <n v="49.92"/>
    <n v="97"/>
    <d v="2026-03-29T00:00:00"/>
    <d v="2026-04-02T00:00:00"/>
    <x v="0"/>
    <s v="AeroTech UK"/>
  </r>
  <r>
    <s v="PRD-00565"/>
    <x v="109"/>
    <x v="7"/>
    <x v="0"/>
    <s v="CNC-01"/>
    <s v="OP-019"/>
    <x v="1"/>
    <n v="221"/>
    <n v="232"/>
    <n v="3"/>
    <n v="3.2"/>
    <n v="73253.63"/>
    <n v="7.46"/>
    <n v="193.96"/>
    <n v="276"/>
    <d v="2026-01-30T00:00:00"/>
    <d v="2026-01-30T00:00:00"/>
    <x v="0"/>
    <s v="AeroTech UK"/>
  </r>
  <r>
    <s v="PRD-00566"/>
    <x v="25"/>
    <x v="3"/>
    <x v="3"/>
    <s v="Bender-01"/>
    <s v="OP-024"/>
    <x v="1"/>
    <n v="270"/>
    <n v="264"/>
    <n v="2"/>
    <n v="8.6999999999999993"/>
    <n v="38300.89"/>
    <n v="5.97"/>
    <n v="143.28"/>
    <n v="255"/>
    <d v="2026-01-31T00:00:00"/>
    <d v="2026-02-01T00:00:00"/>
    <x v="0"/>
    <s v="NorthStar Aviation"/>
  </r>
  <r>
    <s v="PRD-00567"/>
    <x v="77"/>
    <x v="3"/>
    <x v="3"/>
    <s v="Press-01"/>
    <s v="OP-003"/>
    <x v="1"/>
    <n v="112"/>
    <n v="89"/>
    <n v="4"/>
    <n v="2.2999999999999998"/>
    <n v="12998.13"/>
    <n v="3.54"/>
    <n v="77.88"/>
    <n v="165"/>
    <d v="2026-05-26T00:00:00"/>
    <d v="2026-05-25T00:00:00"/>
    <x v="2"/>
    <s v="Global Aero Systems"/>
  </r>
  <r>
    <s v="PRD-00568"/>
    <x v="76"/>
    <x v="7"/>
    <x v="0"/>
    <s v="Autoclave-01"/>
    <s v="OP-015"/>
    <x v="0"/>
    <n v="233"/>
    <n v="195"/>
    <n v="17"/>
    <n v="2.6"/>
    <n v="53421.71"/>
    <n v="8.06"/>
    <n v="161.19999999999999"/>
    <n v="294"/>
    <d v="2026-05-24T00:00:00"/>
    <d v="2026-05-23T00:00:00"/>
    <x v="0"/>
    <s v="Global Aero Systems"/>
  </r>
  <r>
    <s v="PRD-00569"/>
    <x v="172"/>
    <x v="2"/>
    <x v="2"/>
    <s v="Repair-02"/>
    <s v="OP-028"/>
    <x v="2"/>
    <n v="235"/>
    <n v="196"/>
    <n v="4"/>
    <n v="1.4"/>
    <n v="17067.240000000002"/>
    <n v="7.66"/>
    <n v="199.16"/>
    <n v="311"/>
    <d v="2026-06-03T00:00:00"/>
    <d v="2026-06-03T00:00:00"/>
    <x v="0"/>
    <s v="SkyWorks"/>
  </r>
  <r>
    <s v="PRD-00570"/>
    <x v="35"/>
    <x v="0"/>
    <x v="0"/>
    <s v="Autoclave-01"/>
    <s v="OP-018"/>
    <x v="2"/>
    <n v="137"/>
    <n v="101"/>
    <n v="2"/>
    <n v="0.4"/>
    <n v="31499.22"/>
    <n v="4.07"/>
    <n v="89.54"/>
    <n v="110"/>
    <d v="2026-03-22T00:00:00"/>
    <d v="2026-03-22T00:00:00"/>
    <x v="0"/>
    <s v="AeroTech UK"/>
  </r>
  <r>
    <s v="PRD-00571"/>
    <x v="52"/>
    <x v="4"/>
    <x v="4"/>
    <s v="Assembly-03"/>
    <s v="OP-027"/>
    <x v="1"/>
    <n v="234"/>
    <n v="266"/>
    <n v="9"/>
    <n v="8.5"/>
    <n v="56735.94"/>
    <n v="5.64"/>
    <n v="146.63999999999999"/>
    <n v="269"/>
    <d v="2026-06-23T00:00:00"/>
    <d v="2026-06-21T00:00:00"/>
    <x v="0"/>
    <s v="NorthStar Aviation"/>
  </r>
  <r>
    <s v="PRD-00572"/>
    <x v="106"/>
    <x v="3"/>
    <x v="3"/>
    <s v="Laser-01"/>
    <s v="OP-008"/>
    <x v="1"/>
    <n v="84"/>
    <n v="79"/>
    <n v="7"/>
    <n v="7"/>
    <n v="9141.16"/>
    <n v="2.84"/>
    <n v="68.16"/>
    <n v="115"/>
    <d v="2026-03-25T00:00:00"/>
    <d v="2026-03-25T00:00:00"/>
    <x v="2"/>
    <s v="SkyWorks"/>
  </r>
  <r>
    <s v="PRD-00573"/>
    <x v="59"/>
    <x v="2"/>
    <x v="2"/>
    <s v="Repair-01"/>
    <s v="OP-021"/>
    <x v="1"/>
    <n v="194"/>
    <n v="159"/>
    <n v="11"/>
    <n v="3.3"/>
    <n v="14936.48"/>
    <n v="3.55"/>
    <n v="71"/>
    <n v="199"/>
    <d v="2026-02-27T00:00:00"/>
    <d v="2026-03-03T00:00:00"/>
    <x v="0"/>
    <s v="AeroTech UK"/>
  </r>
  <r>
    <s v="PRD-00574"/>
    <x v="9"/>
    <x v="3"/>
    <x v="3"/>
    <s v="Press-01"/>
    <s v="OP-020"/>
    <x v="2"/>
    <n v="289"/>
    <n v="257"/>
    <n v="15"/>
    <n v="0.6"/>
    <n v="23797.96"/>
    <n v="10.23"/>
    <n v="245.52"/>
    <n v="274"/>
    <d v="2026-03-31T00:00:00"/>
    <d v="2026-03-31T00:00:00"/>
    <x v="0"/>
    <s v="Global Aero Systems"/>
  </r>
  <r>
    <s v="PRD-00575"/>
    <x v="152"/>
    <x v="7"/>
    <x v="0"/>
    <s v="Autoclave-01"/>
    <s v="OP-024"/>
    <x v="1"/>
    <n v="291"/>
    <n v="211"/>
    <n v="16"/>
    <n v="8.4"/>
    <n v="52352.76"/>
    <n v="5.15"/>
    <n v="133.9"/>
    <n v="254"/>
    <d v="2026-04-11T00:00:00"/>
    <d v="2026-04-10T00:00:00"/>
    <x v="1"/>
    <s v="AeroTech UK"/>
  </r>
  <r>
    <s v="PRD-00576"/>
    <x v="74"/>
    <x v="3"/>
    <x v="3"/>
    <s v="Laser-01"/>
    <s v="OP-004"/>
    <x v="0"/>
    <n v="274"/>
    <n v="263"/>
    <n v="11"/>
    <n v="1.5"/>
    <n v="26340.07"/>
    <n v="5.09"/>
    <n v="111.98"/>
    <n v="373"/>
    <d v="2026-02-24T00:00:00"/>
    <d v="2026-02-22T00:00:00"/>
    <x v="0"/>
    <s v="SkyWorks"/>
  </r>
  <r>
    <s v="PRD-00577"/>
    <x v="64"/>
    <x v="2"/>
    <x v="2"/>
    <s v="Repair-01"/>
    <s v="OP-008"/>
    <x v="2"/>
    <n v="80"/>
    <n v="88"/>
    <n v="0"/>
    <n v="3.8"/>
    <n v="7368.25"/>
    <n v="2.06"/>
    <n v="49.44"/>
    <n v="78"/>
    <d v="2026-02-05T00:00:00"/>
    <d v="2026-02-05T00:00:00"/>
    <x v="3"/>
    <s v="SkyWorks"/>
  </r>
  <r>
    <s v="PRD-00578"/>
    <x v="68"/>
    <x v="0"/>
    <x v="0"/>
    <s v="CNC-01"/>
    <s v="OP-005"/>
    <x v="0"/>
    <n v="165"/>
    <n v="127"/>
    <n v="11"/>
    <n v="8.3000000000000007"/>
    <n v="48300.75"/>
    <n v="2.83"/>
    <n v="73.58"/>
    <n v="210"/>
    <d v="2026-04-13T00:00:00"/>
    <d v="2026-04-13T00:00:00"/>
    <x v="2"/>
    <s v="SkyWorks"/>
  </r>
  <r>
    <s v="PRD-00579"/>
    <x v="44"/>
    <x v="6"/>
    <x v="4"/>
    <s v="Assembly-02"/>
    <s v="OP-005"/>
    <x v="1"/>
    <n v="304"/>
    <n v="232"/>
    <n v="20"/>
    <n v="6"/>
    <n v="50721.69"/>
    <n v="8.14"/>
    <n v="146.52000000000001"/>
    <n v="264"/>
    <d v="2026-06-13T00:00:00"/>
    <d v="2026-06-13T00:00:00"/>
    <x v="0"/>
    <s v="Global Aero Systems"/>
  </r>
  <r>
    <s v="PRD-00580"/>
    <x v="129"/>
    <x v="0"/>
    <x v="0"/>
    <s v="Autoclave-01"/>
    <s v="OP-023"/>
    <x v="1"/>
    <n v="227"/>
    <n v="205"/>
    <n v="14"/>
    <n v="1.3"/>
    <n v="55961.91"/>
    <n v="7.47"/>
    <n v="164.34"/>
    <n v="268"/>
    <d v="2026-05-12T00:00:00"/>
    <d v="2026-05-14T00:00:00"/>
    <x v="2"/>
    <s v="Precision Air"/>
  </r>
  <r>
    <s v="PRD-00581"/>
    <x v="50"/>
    <x v="4"/>
    <x v="4"/>
    <s v="Assembly-01"/>
    <s v="OP-023"/>
    <x v="1"/>
    <n v="285"/>
    <n v="320"/>
    <n v="28"/>
    <n v="3.4"/>
    <n v="65820.679999999993"/>
    <n v="9.5399999999999991"/>
    <n v="248.04"/>
    <n v="303"/>
    <d v="2026-06-20T00:00:00"/>
    <d v="2026-06-19T00:00:00"/>
    <x v="1"/>
    <s v="Precision Air"/>
  </r>
  <r>
    <s v="PRD-00582"/>
    <x v="145"/>
    <x v="1"/>
    <x v="1"/>
    <s v="CNC-04"/>
    <s v="OP-010"/>
    <x v="1"/>
    <n v="102"/>
    <n v="83"/>
    <n v="0"/>
    <n v="8.9"/>
    <n v="15920.67"/>
    <n v="3.4"/>
    <n v="61.2"/>
    <n v="77"/>
    <d v="2026-06-04T00:00:00"/>
    <d v="2026-06-05T00:00:00"/>
    <x v="0"/>
    <s v="NorthStar Aviation"/>
  </r>
  <r>
    <s v="PRD-00584"/>
    <x v="129"/>
    <x v="3"/>
    <x v="3"/>
    <s v="Press-01"/>
    <s v="OP-014"/>
    <x v="0"/>
    <n v="117"/>
    <n v="102"/>
    <n v="1"/>
    <n v="0.7"/>
    <n v="13312.3"/>
    <n v="2.2000000000000002"/>
    <n v="44"/>
    <n v="197"/>
    <d v="2026-05-07T00:00:00"/>
    <d v="2026-05-07T00:00:00"/>
    <x v="2"/>
    <s v="SkyWorks"/>
  </r>
  <r>
    <s v="PRD-00585"/>
    <x v="150"/>
    <x v="7"/>
    <x v="0"/>
    <s v="Autoclave-02"/>
    <s v="OP-017"/>
    <x v="1"/>
    <n v="108"/>
    <n v="84"/>
    <n v="7"/>
    <n v="0.3"/>
    <n v="24449.74"/>
    <n v="1.53"/>
    <n v="36.72"/>
    <n v="184"/>
    <d v="2026-05-04T00:00:00"/>
    <d v="2026-05-04T00:00:00"/>
    <x v="1"/>
    <s v="NorthStar Aviation"/>
  </r>
  <r>
    <s v="PRD-00586"/>
    <x v="156"/>
    <x v="3"/>
    <x v="3"/>
    <s v="Laser-01"/>
    <s v="OP-021"/>
    <x v="0"/>
    <n v="103"/>
    <n v="97"/>
    <n v="9"/>
    <n v="1.1000000000000001"/>
    <n v="10538.57"/>
    <n v="2.2599999999999998"/>
    <n v="45.2"/>
    <n v="82"/>
    <d v="2026-04-28T00:00:00"/>
    <d v="2026-05-02T00:00:00"/>
    <x v="0"/>
    <s v="Global Aero Systems"/>
  </r>
  <r>
    <s v="PRD-00587"/>
    <x v="81"/>
    <x v="3"/>
    <x v="3"/>
    <s v="Press-01"/>
    <s v="OP-018"/>
    <x v="2"/>
    <n v="285"/>
    <n v="250"/>
    <n v="10"/>
    <n v="2.4"/>
    <n v="24260.400000000001"/>
    <n v="9.17"/>
    <n v="201.74"/>
    <n v="252"/>
    <d v="2026-04-13T00:00:00"/>
    <d v="2026-04-13T00:00:00"/>
    <x v="0"/>
    <s v="AeroTech UK"/>
  </r>
  <r>
    <s v="PRD-00588"/>
    <x v="5"/>
    <x v="7"/>
    <x v="0"/>
    <s v="Autoclave-02"/>
    <s v="OP-003"/>
    <x v="1"/>
    <n v="128"/>
    <n v="122"/>
    <n v="7"/>
    <n v="0.3"/>
    <n v="33640.639999999999"/>
    <n v="3.85"/>
    <n v="100.1"/>
    <n v="211"/>
    <d v="2026-02-26T00:00:00"/>
    <d v="2026-02-24T00:00:00"/>
    <x v="0"/>
    <s v="AeroTech UK"/>
  </r>
  <r>
    <s v="PRD-00589"/>
    <x v="68"/>
    <x v="6"/>
    <x v="4"/>
    <s v="Assembly-02"/>
    <s v="OP-019"/>
    <x v="1"/>
    <n v="208"/>
    <n v="167"/>
    <n v="12"/>
    <n v="6.5"/>
    <n v="35989.17"/>
    <n v="3.4"/>
    <n v="81.599999999999994"/>
    <n v="296"/>
    <d v="2026-04-05T00:00:00"/>
    <d v="2026-04-05T00:00:00"/>
    <x v="0"/>
    <s v="Global Aero Systems"/>
  </r>
  <r>
    <s v="PRD-00590"/>
    <x v="135"/>
    <x v="7"/>
    <x v="0"/>
    <s v="Autoclave-02"/>
    <s v="OP-026"/>
    <x v="2"/>
    <n v="121"/>
    <n v="95"/>
    <n v="4"/>
    <n v="8"/>
    <n v="22891.72"/>
    <n v="3.73"/>
    <n v="74.599999999999994"/>
    <n v="122"/>
    <d v="2026-06-10T00:00:00"/>
    <d v="2026-06-11T00:00:00"/>
    <x v="2"/>
    <s v="SkyWorks"/>
  </r>
  <r>
    <s v="PRD-00591"/>
    <x v="140"/>
    <x v="4"/>
    <x v="4"/>
    <s v="Assembly-03"/>
    <s v="OP-026"/>
    <x v="2"/>
    <n v="299"/>
    <n v="336"/>
    <n v="2"/>
    <n v="6.4"/>
    <n v="66629.86"/>
    <n v="14.09"/>
    <n v="366.34"/>
    <n v="278"/>
    <d v="2026-03-20T00:00:00"/>
    <d v="2026-03-24T00:00:00"/>
    <x v="0"/>
    <s v="NorthStar Aviation"/>
  </r>
  <r>
    <s v="PRD-00592"/>
    <x v="9"/>
    <x v="0"/>
    <x v="0"/>
    <s v="Autoclave-02"/>
    <s v="OP-009"/>
    <x v="1"/>
    <n v="104"/>
    <n v="95"/>
    <n v="1"/>
    <n v="2.7"/>
    <n v="26515.07"/>
    <n v="2.52"/>
    <n v="45.36"/>
    <n v="109"/>
    <d v="2026-03-30T00:00:00"/>
    <d v="2026-03-30T00:00:00"/>
    <x v="2"/>
    <s v="NorthStar Aviation"/>
  </r>
  <r>
    <s v="PRD-00593"/>
    <x v="154"/>
    <x v="5"/>
    <x v="5"/>
    <s v="Surface-01"/>
    <s v="OP-017"/>
    <x v="1"/>
    <n v="173"/>
    <n v="188"/>
    <n v="7"/>
    <n v="7.7"/>
    <n v="27825.53"/>
    <n v="5.04"/>
    <n v="131.04"/>
    <n v="213"/>
    <d v="2026-02-08T00:00:00"/>
    <d v="2026-02-07T00:00:00"/>
    <x v="2"/>
    <s v="SkyWorks"/>
  </r>
  <r>
    <s v="PRD-00594"/>
    <x v="7"/>
    <x v="7"/>
    <x v="0"/>
    <s v="CNC-01"/>
    <s v="OP-008"/>
    <x v="1"/>
    <n v="244"/>
    <n v="181"/>
    <n v="13"/>
    <n v="6.3"/>
    <n v="44767.360000000001"/>
    <n v="3.72"/>
    <n v="89.28"/>
    <n v="244"/>
    <d v="2026-07-05T00:00:00"/>
    <d v="2026-07-07T00:00:00"/>
    <x v="0"/>
    <s v="Global Aero Systems"/>
  </r>
  <r>
    <s v="PRD-00595"/>
    <x v="112"/>
    <x v="0"/>
    <x v="0"/>
    <s v="Autoclave-02"/>
    <s v="OP-003"/>
    <x v="1"/>
    <n v="199"/>
    <n v="183"/>
    <n v="9"/>
    <n v="7.4"/>
    <n v="46566.03"/>
    <n v="3.77"/>
    <n v="90.48"/>
    <n v="269"/>
    <d v="2026-06-26T00:00:00"/>
    <d v="2026-06-28T00:00:00"/>
    <x v="0"/>
    <s v="SkyWorks"/>
  </r>
  <r>
    <s v="PRD-00596"/>
    <x v="173"/>
    <x v="5"/>
    <x v="5"/>
    <s v="Surface-01"/>
    <s v="OP-025"/>
    <x v="1"/>
    <n v="259"/>
    <n v="269"/>
    <n v="4"/>
    <n v="4.0999999999999996"/>
    <n v="43747.09"/>
    <n v="5.78"/>
    <n v="115.6"/>
    <n v="300"/>
    <d v="2026-06-15T00:00:00"/>
    <d v="2026-06-13T00:00:00"/>
    <x v="1"/>
    <s v="AeroTech UK"/>
  </r>
  <r>
    <s v="PRD-00597"/>
    <x v="75"/>
    <x v="2"/>
    <x v="2"/>
    <s v="Repair-02"/>
    <s v="OP-003"/>
    <x v="1"/>
    <n v="134"/>
    <n v="99"/>
    <n v="8"/>
    <n v="8.6"/>
    <n v="9119.36"/>
    <n v="3.29"/>
    <n v="59.22"/>
    <n v="130"/>
    <d v="2026-04-06T00:00:00"/>
    <d v="2026-04-06T00:00:00"/>
    <x v="2"/>
    <s v="Global Aero Systems"/>
  </r>
  <r>
    <s v="PRD-00598"/>
    <x v="160"/>
    <x v="1"/>
    <x v="1"/>
    <s v="CNC-04"/>
    <s v="OP-016"/>
    <x v="0"/>
    <n v="308"/>
    <n v="256"/>
    <n v="20"/>
    <n v="0.8"/>
    <n v="64150.3"/>
    <n v="9.24"/>
    <n v="184.8"/>
    <n v="318"/>
    <d v="2026-04-25T00:00:00"/>
    <d v="2026-04-27T00:00:00"/>
    <x v="2"/>
    <s v="NorthStar Aviation"/>
  </r>
  <r>
    <s v="PRD-00599"/>
    <x v="131"/>
    <x v="2"/>
    <x v="2"/>
    <s v="Repair-02"/>
    <s v="OP-005"/>
    <x v="1"/>
    <n v="313"/>
    <n v="318"/>
    <n v="12"/>
    <n v="0.1"/>
    <n v="33102.589999999997"/>
    <n v="6.32"/>
    <n v="164.32"/>
    <n v="310"/>
    <d v="2026-07-05T00:00:00"/>
    <d v="2026-07-06T00:00:00"/>
    <x v="0"/>
    <s v="NorthStar Aviation"/>
  </r>
  <r>
    <s v="PRD-00600"/>
    <x v="174"/>
    <x v="4"/>
    <x v="4"/>
    <s v="Assembly-01"/>
    <s v="OP-007"/>
    <x v="0"/>
    <n v="282"/>
    <n v="320"/>
    <n v="13"/>
    <n v="4.7"/>
    <n v="51875.44"/>
    <n v="12.15"/>
    <n v="243"/>
    <n v="357"/>
    <d v="2026-05-20T00:00:00"/>
    <d v="2026-05-19T00:00:00"/>
    <x v="0"/>
    <s v="NorthStar Aviation"/>
  </r>
  <r>
    <s v="PRD-00601"/>
    <x v="160"/>
    <x v="3"/>
    <x v="3"/>
    <s v="Bender-01"/>
    <s v="OP-027"/>
    <x v="2"/>
    <n v="176"/>
    <n v="143"/>
    <n v="3"/>
    <n v="1.7"/>
    <n v="20064.37"/>
    <n v="3.84"/>
    <n v="84.48"/>
    <n v="140"/>
    <d v="2026-04-24T00:00:00"/>
    <d v="2026-04-24T00:00:00"/>
    <x v="1"/>
    <s v="Global Aero Systems"/>
  </r>
  <r>
    <s v="PRD-00602"/>
    <x v="52"/>
    <x v="5"/>
    <x v="5"/>
    <s v="Surface-02"/>
    <s v="OP-020"/>
    <x v="2"/>
    <n v="185"/>
    <n v="161"/>
    <n v="12"/>
    <n v="3.8"/>
    <n v="25745.1"/>
    <n v="6.48"/>
    <n v="155.52000000000001"/>
    <n v="254"/>
    <d v="2026-06-23T00:00:00"/>
    <d v="2026-06-23T00:00:00"/>
    <x v="1"/>
    <s v="Precision Air"/>
  </r>
  <r>
    <s v="PRD-00603"/>
    <x v="60"/>
    <x v="2"/>
    <x v="2"/>
    <s v="Repair-02"/>
    <s v="OP-020"/>
    <x v="1"/>
    <n v="296"/>
    <n v="297"/>
    <n v="19"/>
    <n v="5.7"/>
    <n v="32774.949999999997"/>
    <n v="11.8"/>
    <n v="212.4"/>
    <n v="278"/>
    <d v="2026-04-25T00:00:00"/>
    <d v="2026-04-24T00:00:00"/>
    <x v="0"/>
    <s v="AeroTech UK"/>
  </r>
  <r>
    <s v="PRD-00604"/>
    <x v="174"/>
    <x v="0"/>
    <x v="0"/>
    <s v="CNC-01"/>
    <s v="OP-004"/>
    <x v="1"/>
    <n v="193"/>
    <n v="180"/>
    <n v="13"/>
    <n v="6"/>
    <n v="60607.839999999997"/>
    <n v="6.6"/>
    <n v="171.6"/>
    <n v="250"/>
    <d v="2026-05-11T00:00:00"/>
    <d v="2026-05-11T00:00:00"/>
    <x v="2"/>
    <s v="Global Aero Systems"/>
  </r>
  <r>
    <s v="PRD-00605"/>
    <x v="120"/>
    <x v="2"/>
    <x v="2"/>
    <s v="Repair-01"/>
    <s v="OP-001"/>
    <x v="2"/>
    <n v="320"/>
    <n v="281"/>
    <n v="7"/>
    <n v="2.6"/>
    <n v="27554.7"/>
    <n v="10.71"/>
    <n v="257.04000000000002"/>
    <n v="341"/>
    <d v="2026-04-18T00:00:00"/>
    <d v="2026-04-20T00:00:00"/>
    <x v="0"/>
    <s v="NorthStar Aviation"/>
  </r>
  <r>
    <s v="PRD-00606"/>
    <x v="66"/>
    <x v="4"/>
    <x v="4"/>
    <s v="Assembly-02"/>
    <s v="OP-013"/>
    <x v="1"/>
    <n v="123"/>
    <n v="139"/>
    <n v="13"/>
    <n v="2.2000000000000002"/>
    <n v="29865.14"/>
    <n v="4.6500000000000004"/>
    <n v="83.7"/>
    <n v="192"/>
    <d v="2026-04-10T00:00:00"/>
    <d v="2026-04-12T00:00:00"/>
    <x v="0"/>
    <s v="Precision Air"/>
  </r>
  <r>
    <s v="PRD-00607"/>
    <x v="111"/>
    <x v="2"/>
    <x v="2"/>
    <s v="Repair-01"/>
    <m/>
    <x v="2"/>
    <n v="105"/>
    <n v="107"/>
    <n v="1"/>
    <n v="1.1000000000000001"/>
    <n v="9832.18"/>
    <n v="3.88"/>
    <n v="85.36"/>
    <n v="105"/>
    <d v="2026-02-17T00:00:00"/>
    <d v="2026-02-17T00:00:00"/>
    <x v="0"/>
    <s v="Global Aero Systems"/>
  </r>
  <r>
    <s v="PRD-00608"/>
    <x v="15"/>
    <x v="3"/>
    <x v="3"/>
    <s v="Press-01"/>
    <s v="OP-010"/>
    <x v="2"/>
    <n v="238"/>
    <n v="243"/>
    <n v="21"/>
    <n v="0.7"/>
    <n v="29111.57"/>
    <n v="5.14"/>
    <n v="123.36"/>
    <n v="289"/>
    <d v="2026-01-07T00:00:00"/>
    <d v="2026-01-07T00:00:00"/>
    <x v="0"/>
    <s v="Precision Air"/>
  </r>
  <r>
    <s v="PRD-00609"/>
    <x v="148"/>
    <x v="2"/>
    <x v="2"/>
    <s v="Repair-02"/>
    <s v="OP-005"/>
    <x v="1"/>
    <n v="248"/>
    <n v="184"/>
    <n v="2"/>
    <n v="1.3"/>
    <n v="15854.79"/>
    <n v="7.14"/>
    <n v="128.52000000000001"/>
    <n v="325"/>
    <d v="2026-03-15T00:00:00"/>
    <d v="2026-03-14T00:00:00"/>
    <x v="0"/>
    <s v="SkyWorks"/>
  </r>
  <r>
    <s v="PRD-00610"/>
    <x v="12"/>
    <x v="0"/>
    <x v="0"/>
    <s v="Autoclave-01"/>
    <s v="OP-029"/>
    <x v="1"/>
    <n v="206"/>
    <n v="223"/>
    <n v="19"/>
    <n v="1.9"/>
    <n v="66727.48"/>
    <n v="6.23"/>
    <n v="149.52000000000001"/>
    <n v="185"/>
    <d v="2026-02-21T00:00:00"/>
    <d v="2026-02-23T00:00:00"/>
    <x v="2"/>
    <s v="Global Aero Systems"/>
  </r>
  <r>
    <s v="PRD-00611"/>
    <x v="119"/>
    <x v="3"/>
    <x v="3"/>
    <s v="Laser-01"/>
    <s v="OP-017"/>
    <x v="0"/>
    <n v="82"/>
    <n v="90"/>
    <n v="5"/>
    <n v="5.7"/>
    <n v="10701.33"/>
    <n v="2.36"/>
    <n v="51.92"/>
    <n v="173"/>
    <d v="2026-02-22T00:00:00"/>
    <d v="2026-02-20T00:00:00"/>
    <x v="0"/>
    <s v="SkyWorks"/>
  </r>
  <r>
    <s v="PRD-00612"/>
    <x v="154"/>
    <x v="1"/>
    <x v="1"/>
    <s v="CNC-04"/>
    <s v="OP-024"/>
    <x v="0"/>
    <n v="87"/>
    <n v="82"/>
    <n v="4"/>
    <n v="6.8"/>
    <n v="16221.97"/>
    <n v="3.24"/>
    <n v="58.32"/>
    <n v="133"/>
    <d v="2026-02-05T00:00:00"/>
    <d v="2026-02-05T00:00:00"/>
    <x v="0"/>
    <s v="NorthStar Aviation"/>
  </r>
  <r>
    <s v="PRD-00613"/>
    <x v="35"/>
    <x v="6"/>
    <x v="4"/>
    <s v="Assembly-02"/>
    <s v="OP-007"/>
    <x v="0"/>
    <n v="131"/>
    <n v="148"/>
    <n v="5"/>
    <n v="5"/>
    <n v="25501.74"/>
    <n v="4.43"/>
    <n v="115.18"/>
    <n v="193"/>
    <d v="2026-03-15T00:00:00"/>
    <d v="2026-03-15T00:00:00"/>
    <x v="0"/>
    <s v="SkyWorks"/>
  </r>
  <r>
    <s v="PRD-00614"/>
    <x v="147"/>
    <x v="0"/>
    <x v="0"/>
    <s v="CNC-01"/>
    <s v="OP-013"/>
    <x v="1"/>
    <n v="283"/>
    <n v="297"/>
    <n v="9"/>
    <n v="7.1"/>
    <n v="111530.92"/>
    <n v="11.64"/>
    <n v="279.36"/>
    <n v="312"/>
    <d v="2026-04-18T00:00:00"/>
    <d v="2026-04-17T00:00:00"/>
    <x v="1"/>
    <s v="NorthStar Aviation"/>
  </r>
  <r>
    <s v="PRD-00615"/>
    <x v="138"/>
    <x v="4"/>
    <x v="4"/>
    <s v="Assembly-02"/>
    <s v="OP-004"/>
    <x v="2"/>
    <n v="309"/>
    <n v="306"/>
    <n v="3"/>
    <n v="1.5"/>
    <n v="51089.03"/>
    <n v="9.82"/>
    <n v="216.04"/>
    <n v="404"/>
    <d v="2026-06-02T00:00:00"/>
    <d v="2026-06-04T00:00:00"/>
    <x v="0"/>
    <s v="SkyWorks"/>
  </r>
  <r>
    <s v="PRD-00616"/>
    <x v="26"/>
    <x v="3"/>
    <x v="3"/>
    <s v="Laser-01"/>
    <s v="OP-026"/>
    <x v="1"/>
    <n v="142"/>
    <n v="106"/>
    <n v="6"/>
    <n v="3.3"/>
    <n v="12319.54"/>
    <n v="2.72"/>
    <n v="48.96"/>
    <n v="186"/>
    <d v="2026-04-25T00:00:00"/>
    <d v="2026-04-29T00:00:00"/>
    <x v="1"/>
    <s v="NorthStar Aviation"/>
  </r>
  <r>
    <s v="PRD-00617"/>
    <x v="172"/>
    <x v="0"/>
    <x v="0"/>
    <s v="Autoclave-02"/>
    <s v="OP-027"/>
    <x v="1"/>
    <n v="152"/>
    <n v="148"/>
    <n v="7"/>
    <n v="0.9"/>
    <n v="45374.04"/>
    <n v="5.8"/>
    <n v="104.4"/>
    <n v="219"/>
    <d v="2026-06-05T00:00:00"/>
    <d v="2026-06-07T00:00:00"/>
    <x v="0"/>
    <s v="NorthStar Aviation"/>
  </r>
  <r>
    <s v="PRD-00618"/>
    <x v="166"/>
    <x v="7"/>
    <x v="0"/>
    <s v="Autoclave-02"/>
    <s v="OP-001"/>
    <x v="1"/>
    <n v="207"/>
    <n v="153"/>
    <n v="4"/>
    <n v="1.1000000000000001"/>
    <n v="41200.74"/>
    <n v="4.92"/>
    <n v="98.4"/>
    <n v="172"/>
    <d v="2026-02-26T00:00:00"/>
    <d v="2026-02-24T00:00:00"/>
    <x v="1"/>
    <s v="SkyWorks"/>
  </r>
  <r>
    <s v="PRD-00619"/>
    <x v="55"/>
    <x v="2"/>
    <x v="2"/>
    <s v="Repair-01"/>
    <s v="OP-013"/>
    <x v="2"/>
    <n v="309"/>
    <n v="293"/>
    <n v="15"/>
    <n v="3"/>
    <n v="22100.400000000001"/>
    <n v="11.11"/>
    <n v="266.64"/>
    <n v="346"/>
    <d v="2026-02-09T00:00:00"/>
    <d v="2026-02-10T00:00:00"/>
    <x v="0"/>
    <s v="Precision Air"/>
  </r>
  <r>
    <s v="PRD-00620"/>
    <x v="94"/>
    <x v="5"/>
    <x v="5"/>
    <s v="Surface-01"/>
    <s v="OP-027"/>
    <x v="2"/>
    <n v="180"/>
    <n v="152"/>
    <n v="14"/>
    <n v="4.4000000000000004"/>
    <n v="25327.82"/>
    <n v="5.81"/>
    <n v="151.06"/>
    <n v="166"/>
    <d v="2026-03-24T00:00:00"/>
    <d v="2026-03-24T00:00:00"/>
    <x v="0"/>
    <s v="NorthStar Aviation"/>
  </r>
  <r>
    <s v="PRD-00621"/>
    <x v="64"/>
    <x v="4"/>
    <x v="4"/>
    <s v="Assembly-03"/>
    <s v="OP-002"/>
    <x v="1"/>
    <n v="265"/>
    <n v="240"/>
    <n v="4"/>
    <n v="1.7"/>
    <n v="53029"/>
    <n v="9.52"/>
    <n v="171.36"/>
    <n v="238"/>
    <d v="2026-02-02T00:00:00"/>
    <d v="2026-01-31T00:00:00"/>
    <x v="0"/>
    <s v="AeroTech UK"/>
  </r>
  <r>
    <s v="PRD-00622"/>
    <x v="128"/>
    <x v="4"/>
    <x v="4"/>
    <s v="Assembly-03"/>
    <s v="OP-022"/>
    <x v="2"/>
    <n v="236"/>
    <n v="250"/>
    <n v="9"/>
    <n v="6.3"/>
    <n v="58942.77"/>
    <n v="5.22"/>
    <n v="114.84"/>
    <n v="233"/>
    <d v="2026-03-20T00:00:00"/>
    <d v="2026-03-22T00:00:00"/>
    <x v="2"/>
    <s v="Precision Air"/>
  </r>
  <r>
    <s v="PRD-00623"/>
    <x v="47"/>
    <x v="1"/>
    <x v="1"/>
    <s v="CNC-04"/>
    <s v="OP-023"/>
    <x v="2"/>
    <n v="202"/>
    <n v="202"/>
    <n v="18"/>
    <n v="2.9"/>
    <n v="46343.96"/>
    <n v="4.91"/>
    <n v="108.02"/>
    <n v="183"/>
    <d v="2026-05-23T00:00:00"/>
    <d v="2026-05-23T00:00:00"/>
    <x v="0"/>
    <s v="AeroTech UK"/>
  </r>
  <r>
    <s v="PRD-00624"/>
    <x v="46"/>
    <x v="7"/>
    <x v="0"/>
    <s v="Autoclave-01"/>
    <s v="OP-021"/>
    <x v="2"/>
    <n v="83"/>
    <n v="83"/>
    <n v="3"/>
    <n v="3.5"/>
    <n v="21096.33"/>
    <n v="3.12"/>
    <n v="81.12"/>
    <n v="181"/>
    <d v="2026-05-14T00:00:00"/>
    <d v="2026-05-14T00:00:00"/>
    <x v="2"/>
    <s v="Precision Air"/>
  </r>
  <r>
    <s v="PRD-00625"/>
    <x v="25"/>
    <x v="3"/>
    <x v="3"/>
    <s v="Press-01"/>
    <s v="OP-021"/>
    <x v="2"/>
    <n v="314"/>
    <n v="275"/>
    <n v="25"/>
    <n v="7.8"/>
    <n v="34895.78"/>
    <n v="6.19"/>
    <n v="136.18"/>
    <n v="382"/>
    <d v="2026-02-01T00:00:00"/>
    <d v="2026-02-01T00:00:00"/>
    <x v="1"/>
    <s v="NorthStar Aviation"/>
  </r>
  <r>
    <s v="PRD-00626"/>
    <x v="30"/>
    <x v="0"/>
    <x v="0"/>
    <s v="CNC-01"/>
    <s v="OP-014"/>
    <x v="2"/>
    <n v="108"/>
    <n v="88"/>
    <n v="7"/>
    <n v="1.7"/>
    <n v="24687.81"/>
    <n v="2.54"/>
    <n v="55.88"/>
    <n v="98"/>
    <d v="2026-05-09T00:00:00"/>
    <d v="2026-05-08T00:00:00"/>
    <x v="0"/>
    <m/>
  </r>
  <r>
    <s v="PRD-00627"/>
    <x v="73"/>
    <x v="2"/>
    <x v="2"/>
    <s v="Repair-02"/>
    <s v="OP-020"/>
    <x v="1"/>
    <n v="93"/>
    <n v="84"/>
    <n v="3"/>
    <n v="0.4"/>
    <n v="8255.98"/>
    <n v="1.9"/>
    <n v="38"/>
    <n v="156"/>
    <d v="2026-04-16T00:00:00"/>
    <d v="2026-04-16T00:00:00"/>
    <x v="1"/>
    <s v="Precision Air"/>
  </r>
  <r>
    <s v="PRD-00628"/>
    <x v="121"/>
    <x v="0"/>
    <x v="0"/>
    <s v="CNC-01"/>
    <s v="OP-029"/>
    <x v="0"/>
    <n v="92"/>
    <n v="91"/>
    <n v="8"/>
    <n v="2"/>
    <n v="21655.47"/>
    <n v="2.2200000000000002"/>
    <n v="39.96"/>
    <n v="188"/>
    <d v="2026-04-24T00:00:00"/>
    <d v="2026-04-24T00:00:00"/>
    <x v="0"/>
    <s v="Global Aero Systems"/>
  </r>
  <r>
    <s v="PRD-00629"/>
    <x v="147"/>
    <x v="2"/>
    <x v="2"/>
    <s v="Repair-01"/>
    <s v="OP-017"/>
    <x v="0"/>
    <n v="136"/>
    <n v="140"/>
    <n v="11"/>
    <n v="2.4"/>
    <n v="12406.38"/>
    <n v="3.69"/>
    <n v="81.180000000000007"/>
    <n v="169"/>
    <d v="2026-04-13T00:00:00"/>
    <d v="2026-04-12T00:00:00"/>
    <x v="0"/>
    <s v="Precision Air"/>
  </r>
  <r>
    <s v="PRD-00630"/>
    <x v="129"/>
    <x v="6"/>
    <x v="4"/>
    <s v="Assembly-03"/>
    <s v="OP-009"/>
    <x v="2"/>
    <n v="141"/>
    <n v="111"/>
    <n v="7"/>
    <n v="1.5"/>
    <n v="17993.8"/>
    <n v="4.5599999999999996"/>
    <n v="109.44"/>
    <n v="210"/>
    <d v="2026-05-10T00:00:00"/>
    <d v="2026-05-08T00:00:00"/>
    <x v="0"/>
    <s v="NorthStar Aviation"/>
  </r>
  <r>
    <s v="PRD-00631"/>
    <x v="92"/>
    <x v="7"/>
    <x v="0"/>
    <s v="CNC-01"/>
    <s v="OP-025"/>
    <x v="2"/>
    <n v="170"/>
    <n v="193"/>
    <n v="11"/>
    <n v="4.4000000000000004"/>
    <n v="41900.92"/>
    <n v="7.27"/>
    <n v="189.02"/>
    <n v="204"/>
    <d v="2026-06-28T00:00:00"/>
    <d v="2026-06-28T00:00:00"/>
    <x v="0"/>
    <s v="AeroTech UK"/>
  </r>
  <r>
    <s v="PRD-00632"/>
    <x v="157"/>
    <x v="4"/>
    <x v="4"/>
    <s v="Assembly-02"/>
    <s v="OP-009"/>
    <x v="0"/>
    <n v="205"/>
    <n v="212"/>
    <n v="19"/>
    <n v="2.2999999999999998"/>
    <n v="40665.93"/>
    <n v="3.88"/>
    <n v="85.36"/>
    <n v="242"/>
    <d v="2026-03-26T00:00:00"/>
    <d v="2026-03-30T00:00:00"/>
    <x v="0"/>
    <s v="Precision Air"/>
  </r>
  <r>
    <s v="PRD-00633"/>
    <x v="0"/>
    <x v="7"/>
    <x v="0"/>
    <s v="Autoclave-01"/>
    <s v="OP-030"/>
    <x v="1"/>
    <n v="185"/>
    <n v="201"/>
    <n v="12"/>
    <n v="1.3"/>
    <n v="49899.05"/>
    <n v="7.19"/>
    <n v="172.56"/>
    <n v="237"/>
    <d v="2026-06-18T00:00:00"/>
    <d v="2026-06-17T00:00:00"/>
    <x v="0"/>
    <s v="AeroTech UK"/>
  </r>
  <r>
    <s v="PRD-00634"/>
    <x v="102"/>
    <x v="5"/>
    <x v="5"/>
    <s v="Surface-01"/>
    <s v="OP-004"/>
    <x v="1"/>
    <n v="147"/>
    <n v="163"/>
    <n v="5"/>
    <n v="3"/>
    <n v="26901.25"/>
    <n v="4.01"/>
    <n v="80.2"/>
    <n v="117"/>
    <d v="2026-03-23T00:00:00"/>
    <d v="2026-03-24T00:00:00"/>
    <x v="1"/>
    <s v="Global Aero Systems"/>
  </r>
  <r>
    <s v="PRD-00635"/>
    <x v="138"/>
    <x v="4"/>
    <x v="4"/>
    <s v="Assembly-02"/>
    <s v="OP-003"/>
    <x v="1"/>
    <n v="108"/>
    <n v="122"/>
    <n v="6"/>
    <n v="6.2"/>
    <n v="21849.759999999998"/>
    <n v="5.03"/>
    <n v="130.78"/>
    <n v="109"/>
    <d v="2026-06-01T00:00:00"/>
    <d v="2026-06-05T00:00:00"/>
    <x v="0"/>
    <s v="AeroTech UK"/>
  </r>
  <r>
    <s v="PRD-00636"/>
    <x v="84"/>
    <x v="7"/>
    <x v="0"/>
    <s v="Autoclave-01"/>
    <s v="OP-026"/>
    <x v="0"/>
    <n v="152"/>
    <n v="163"/>
    <n v="2"/>
    <n v="4.4000000000000004"/>
    <n v="34313.660000000003"/>
    <n v="6.2"/>
    <n v="111.6"/>
    <n v="176"/>
    <d v="2026-05-01T00:00:00"/>
    <d v="2026-05-02T00:00:00"/>
    <x v="0"/>
    <s v="Precision Air"/>
  </r>
  <r>
    <s v="PRD-00637"/>
    <x v="107"/>
    <x v="0"/>
    <x v="0"/>
    <s v="CNC-01"/>
    <s v="OP-013"/>
    <x v="2"/>
    <n v="149"/>
    <n v="116"/>
    <n v="8"/>
    <n v="3.9"/>
    <n v="40802.39"/>
    <n v="2.1800000000000002"/>
    <n v="47.96"/>
    <n v="172"/>
    <d v="2026-02-21T00:00:00"/>
    <d v="2026-02-23T00:00:00"/>
    <x v="2"/>
    <s v="SkyWorks"/>
  </r>
  <r>
    <s v="PRD-00638"/>
    <x v="157"/>
    <x v="6"/>
    <x v="4"/>
    <s v="Assembly-01"/>
    <s v="OP-010"/>
    <x v="0"/>
    <n v="224"/>
    <n v="203"/>
    <n v="17"/>
    <n v="7.2"/>
    <n v="33054.400000000001"/>
    <n v="4.87"/>
    <n v="116.88"/>
    <n v="235"/>
    <d v="2026-03-25T00:00:00"/>
    <d v="2026-03-25T00:00:00"/>
    <x v="0"/>
    <s v="Global Aero Systems"/>
  </r>
  <r>
    <s v="PRD-00639"/>
    <x v="17"/>
    <x v="3"/>
    <x v="3"/>
    <s v="Laser-01"/>
    <s v="OP-014"/>
    <x v="1"/>
    <n v="280"/>
    <n v="307"/>
    <n v="13"/>
    <n v="1.2"/>
    <n v="33545.22"/>
    <n v="12.41"/>
    <n v="273.02"/>
    <n v="359"/>
    <d v="2026-05-27T00:00:00"/>
    <d v="2026-05-29T00:00:00"/>
    <x v="2"/>
    <s v="Global Aero Systems"/>
  </r>
  <r>
    <s v="PRD-00640"/>
    <x v="57"/>
    <x v="7"/>
    <x v="0"/>
    <s v="Autoclave-02"/>
    <s v="OP-013"/>
    <x v="0"/>
    <n v="102"/>
    <n v="106"/>
    <n v="6"/>
    <n v="2.7"/>
    <n v="25734.86"/>
    <n v="2.23"/>
    <n v="57.98"/>
    <n v="137"/>
    <d v="2026-01-10T00:00:00"/>
    <d v="2026-01-12T00:00:00"/>
    <x v="0"/>
    <s v="AeroTech UK"/>
  </r>
  <r>
    <s v="PRD-00641"/>
    <x v="30"/>
    <x v="5"/>
    <x v="5"/>
    <s v="Surface-01"/>
    <s v="OP-022"/>
    <x v="0"/>
    <n v="101"/>
    <n v="75"/>
    <n v="5"/>
    <n v="5.8"/>
    <n v="8987.5400000000009"/>
    <n v="1.87"/>
    <n v="44.88"/>
    <n v="145"/>
    <d v="2026-05-01T00:00:00"/>
    <d v="2026-04-30T00:00:00"/>
    <x v="1"/>
    <s v="AeroTech UK"/>
  </r>
  <r>
    <s v="PRD-00642"/>
    <x v="32"/>
    <x v="1"/>
    <x v="1"/>
    <s v="CNC-04"/>
    <s v="OP-003"/>
    <x v="2"/>
    <n v="116"/>
    <n v="111"/>
    <n v="10"/>
    <n v="1.2"/>
    <n v="30067.08"/>
    <n v="2.41"/>
    <n v="53.02"/>
    <n v="77"/>
    <d v="2026-07-08T00:00:00"/>
    <d v="2026-07-08T00:00:00"/>
    <x v="0"/>
    <s v="NorthStar Aviation"/>
  </r>
  <r>
    <s v="PRD-00643"/>
    <x v="173"/>
    <x v="0"/>
    <x v="0"/>
    <s v="CNC-01"/>
    <s v="OP-027"/>
    <x v="0"/>
    <n v="104"/>
    <n v="85"/>
    <n v="1"/>
    <n v="0.2"/>
    <n v="26777.7"/>
    <n v="3.42"/>
    <n v="75.239999999999995"/>
    <n v="167"/>
    <d v="2026-06-13T00:00:00"/>
    <d v="2026-06-13T00:00:00"/>
    <x v="0"/>
    <s v="SkyWorks"/>
  </r>
  <r>
    <s v="PRD-00644"/>
    <x v="168"/>
    <x v="5"/>
    <x v="5"/>
    <s v="Surface-01"/>
    <s v="OP-010"/>
    <x v="0"/>
    <n v="190"/>
    <n v="148"/>
    <n v="1"/>
    <n v="1.3"/>
    <n v="21410.21"/>
    <n v="4.4800000000000004"/>
    <n v="116.48"/>
    <n v="201"/>
    <d v="2026-06-15T00:00:00"/>
    <d v="2026-06-19T00:00:00"/>
    <x v="0"/>
    <s v="AeroTech UK"/>
  </r>
  <r>
    <s v="PRD-00645"/>
    <x v="135"/>
    <x v="5"/>
    <x v="5"/>
    <s v="Surface-02"/>
    <s v="OP-019"/>
    <x v="1"/>
    <n v="250"/>
    <n v="209"/>
    <n v="8"/>
    <n v="7.2"/>
    <n v="31947.119999999999"/>
    <n v="4.51"/>
    <n v="99.22"/>
    <n v="327"/>
    <d v="2026-06-03T00:00:00"/>
    <d v="2026-06-05T00:00:00"/>
    <x v="0"/>
    <s v="AeroTech UK"/>
  </r>
  <r>
    <s v="PRD-00646"/>
    <x v="63"/>
    <x v="5"/>
    <x v="5"/>
    <s v="Surface-01"/>
    <s v="OP-029"/>
    <x v="0"/>
    <n v="312"/>
    <n v="346"/>
    <n v="31"/>
    <n v="4.2"/>
    <n v="50214.87"/>
    <n v="14.38"/>
    <n v="316.36"/>
    <n v="400"/>
    <d v="2026-06-25T00:00:00"/>
    <d v="2026-06-25T00:00:00"/>
    <x v="0"/>
    <s v="Precision Air"/>
  </r>
  <r>
    <s v="PRD-00647"/>
    <x v="28"/>
    <x v="0"/>
    <x v="0"/>
    <s v="Autoclave-01"/>
    <s v="OP-016"/>
    <x v="0"/>
    <n v="247"/>
    <n v="193"/>
    <n v="12"/>
    <n v="5.0999999999999996"/>
    <n v="67505.36"/>
    <n v="4.12"/>
    <n v="90.64"/>
    <n v="307"/>
    <d v="2026-04-13T00:00:00"/>
    <d v="2026-04-17T00:00:00"/>
    <x v="2"/>
    <s v="NorthStar Aviation"/>
  </r>
  <r>
    <s v="PRD-00648"/>
    <x v="145"/>
    <x v="6"/>
    <x v="4"/>
    <s v="Assembly-01"/>
    <s v="OP-030"/>
    <x v="0"/>
    <n v="258"/>
    <n v="221"/>
    <n v="20"/>
    <n v="3.1"/>
    <n v="39188"/>
    <n v="4.22"/>
    <n v="84.4"/>
    <n v="277"/>
    <d v="2026-05-31T00:00:00"/>
    <d v="2026-05-30T00:00:00"/>
    <x v="2"/>
    <s v="Global Aero Systems"/>
  </r>
  <r>
    <s v="PRD-00649"/>
    <x v="62"/>
    <x v="1"/>
    <x v="1"/>
    <s v="CNC-04"/>
    <s v="OP-002"/>
    <x v="0"/>
    <n v="283"/>
    <n v="232"/>
    <n v="19"/>
    <n v="1.6"/>
    <n v="64673.89"/>
    <n v="6.51"/>
    <n v="117.18"/>
    <n v="258"/>
    <d v="2026-04-04T00:00:00"/>
    <d v="2026-04-04T00:00:00"/>
    <x v="0"/>
    <s v="AeroTech UK"/>
  </r>
  <r>
    <s v="PRD-00650"/>
    <x v="150"/>
    <x v="4"/>
    <x v="4"/>
    <s v="Assembly-03"/>
    <s v="OP-015"/>
    <x v="0"/>
    <n v="241"/>
    <n v="260"/>
    <n v="22"/>
    <n v="2.9"/>
    <n v="53901.45"/>
    <n v="10.85"/>
    <n v="282.10000000000002"/>
    <n v="252"/>
    <d v="2026-04-29T00:00:00"/>
    <d v="2026-04-29T00:00:00"/>
    <x v="2"/>
    <s v="SkyWorks"/>
  </r>
  <r>
    <s v="PRD-00651"/>
    <x v="24"/>
    <x v="1"/>
    <x v="1"/>
    <s v="CNC-04"/>
    <s v="OP-012"/>
    <x v="1"/>
    <n v="121"/>
    <n v="109"/>
    <n v="5"/>
    <n v="7.1"/>
    <n v="18503.18"/>
    <n v="4.47"/>
    <n v="80.459999999999994"/>
    <n v="133"/>
    <d v="2026-03-01T00:00:00"/>
    <d v="2026-03-01T00:00:00"/>
    <x v="0"/>
    <s v="Precision Air"/>
  </r>
  <r>
    <s v="PRD-00652"/>
    <x v="17"/>
    <x v="0"/>
    <x v="0"/>
    <s v="Autoclave-02"/>
    <s v="OP-029"/>
    <x v="0"/>
    <n v="127"/>
    <n v="128"/>
    <n v="11"/>
    <n v="6.6"/>
    <n v="38399.360000000001"/>
    <n v="2.94"/>
    <n v="70.56"/>
    <n v="215"/>
    <d v="2026-05-27T00:00:00"/>
    <d v="2026-05-28T00:00:00"/>
    <x v="1"/>
    <s v="NorthStar Aviation"/>
  </r>
  <r>
    <s v="PRD-00653"/>
    <x v="54"/>
    <x v="5"/>
    <x v="5"/>
    <s v="Surface-02"/>
    <s v="OP-008"/>
    <x v="1"/>
    <n v="240"/>
    <n v="211"/>
    <n v="2"/>
    <n v="0.7"/>
    <n v="31417.31"/>
    <n v="4.4000000000000004"/>
    <n v="88"/>
    <n v="213"/>
    <d v="2026-01-29T00:00:00"/>
    <d v="2026-01-30T00:00:00"/>
    <x v="0"/>
    <s v="SkyWorks"/>
  </r>
  <r>
    <s v="PRD-00654"/>
    <x v="28"/>
    <x v="4"/>
    <x v="4"/>
    <s v="Assembly-01"/>
    <s v="OP-023"/>
    <x v="2"/>
    <n v="303"/>
    <n v="331"/>
    <n v="30"/>
    <n v="0.7"/>
    <n v="74434.62"/>
    <n v="13.36"/>
    <n v="347.36"/>
    <n v="342"/>
    <d v="2026-04-18T00:00:00"/>
    <d v="2026-04-16T00:00:00"/>
    <x v="1"/>
    <s v="Precision Air"/>
  </r>
  <r>
    <s v="PRD-00655"/>
    <x v="67"/>
    <x v="6"/>
    <x v="4"/>
    <s v="Assembly-03"/>
    <s v="OP-026"/>
    <x v="0"/>
    <n v="87"/>
    <n v="63"/>
    <n v="2"/>
    <n v="1.8"/>
    <n v="11059.18"/>
    <n v="1.44"/>
    <n v="31.68"/>
    <n v="65"/>
    <d v="2026-05-06T00:00:00"/>
    <d v="2026-05-10T00:00:00"/>
    <x v="0"/>
    <s v="Precision Air"/>
  </r>
  <r>
    <s v="PRD-00656"/>
    <x v="32"/>
    <x v="7"/>
    <x v="0"/>
    <s v="Autoclave-02"/>
    <s v="OP-017"/>
    <x v="2"/>
    <n v="98"/>
    <n v="110"/>
    <n v="6"/>
    <n v="5.5"/>
    <n v="25250.43"/>
    <n v="4.4800000000000004"/>
    <n v="98.56"/>
    <n v="68"/>
    <d v="2026-07-02T00:00:00"/>
    <d v="2026-06-30T00:00:00"/>
    <x v="2"/>
    <s v="SkyWorks"/>
  </r>
  <r>
    <s v="PRD-00657"/>
    <x v="121"/>
    <x v="5"/>
    <x v="5"/>
    <s v="Surface-02"/>
    <s v="OP-016"/>
    <x v="2"/>
    <n v="280"/>
    <n v="303"/>
    <n v="28"/>
    <n v="0.2"/>
    <n v="39024.949999999997"/>
    <n v="11.35"/>
    <n v="295.10000000000002"/>
    <n v="337"/>
    <d v="2026-05-03T00:00:00"/>
    <d v="2026-05-01T00:00:00"/>
    <x v="1"/>
    <s v="Global Aero Systems"/>
  </r>
  <r>
    <s v="PRD-00658"/>
    <x v="58"/>
    <x v="3"/>
    <x v="3"/>
    <s v="Laser-01"/>
    <s v="OP-008"/>
    <x v="2"/>
    <n v="259"/>
    <n v="234"/>
    <n v="4"/>
    <n v="3.9"/>
    <n v="35478.18"/>
    <n v="6.28"/>
    <n v="125.6"/>
    <n v="306"/>
    <d v="2026-04-15T00:00:00"/>
    <d v="2026-04-13T00:00:00"/>
    <x v="0"/>
    <s v="Precision Air"/>
  </r>
  <r>
    <s v="PRD-00659"/>
    <x v="15"/>
    <x v="1"/>
    <x v="1"/>
    <s v="CNC-03"/>
    <s v="OP-015"/>
    <x v="2"/>
    <n v="271"/>
    <n v="282"/>
    <n v="21"/>
    <n v="4.8"/>
    <n v="58280.3"/>
    <n v="10.99"/>
    <n v="219.8"/>
    <n v="245"/>
    <d v="2026-01-06T00:00:00"/>
    <d v="2026-01-04T00:00:00"/>
    <x v="0"/>
    <s v="SkyWorks"/>
  </r>
  <r>
    <s v="PRD-00660"/>
    <x v="162"/>
    <x v="4"/>
    <x v="4"/>
    <s v="Assembly-02"/>
    <s v="OP-023"/>
    <x v="0"/>
    <n v="234"/>
    <n v="234"/>
    <n v="6"/>
    <n v="2.6"/>
    <n v="48316.959999999999"/>
    <n v="4.9000000000000004"/>
    <n v="88.2"/>
    <n v="213"/>
    <d v="2026-01-18T00:00:00"/>
    <d v="2026-01-18T00:00:00"/>
    <x v="2"/>
    <s v="SkyWorks"/>
  </r>
  <r>
    <s v="PRD-00661"/>
    <x v="19"/>
    <x v="5"/>
    <x v="5"/>
    <s v="Surface-02"/>
    <s v="OP-023"/>
    <x v="0"/>
    <n v="173"/>
    <n v="182"/>
    <n v="5"/>
    <n v="5.9"/>
    <n v="24620.6"/>
    <n v="6.32"/>
    <n v="164.32"/>
    <n v="159"/>
    <d v="2026-02-28T00:00:00"/>
    <d v="2026-03-01T00:00:00"/>
    <x v="2"/>
    <s v="Global Aero Systems"/>
  </r>
  <r>
    <s v="PRD-00662"/>
    <x v="106"/>
    <x v="0"/>
    <x v="0"/>
    <s v="Autoclave-01"/>
    <s v="OP-004"/>
    <x v="2"/>
    <n v="313"/>
    <n v="243"/>
    <n v="22"/>
    <n v="2.1"/>
    <n v="78924.72"/>
    <n v="6.55"/>
    <n v="131"/>
    <n v="282"/>
    <d v="2026-03-18T00:00:00"/>
    <d v="2026-03-22T00:00:00"/>
    <x v="2"/>
    <s v="Global Aero Systems"/>
  </r>
  <r>
    <s v="PRD-00663"/>
    <x v="72"/>
    <x v="6"/>
    <x v="4"/>
    <s v="Assembly-02"/>
    <s v="OP-007"/>
    <x v="1"/>
    <n v="230"/>
    <n v="203"/>
    <n v="16"/>
    <n v="0.8"/>
    <n v="33588.449999999997"/>
    <n v="6.07"/>
    <n v="145.68"/>
    <n v="288"/>
    <d v="2026-01-18T00:00:00"/>
    <d v="2026-01-16T00:00:00"/>
    <x v="0"/>
    <s v="NorthStar Aviation"/>
  </r>
  <r>
    <s v="PRD-00664"/>
    <x v="116"/>
    <x v="2"/>
    <x v="2"/>
    <s v="Repair-01"/>
    <s v="OP-014"/>
    <x v="1"/>
    <n v="249"/>
    <n v="211"/>
    <n v="11"/>
    <n v="3.1"/>
    <n v="16581.66"/>
    <n v="8.32"/>
    <n v="183.04"/>
    <n v="264"/>
    <d v="2026-06-20T00:00:00"/>
    <d v="2026-06-21T00:00:00"/>
    <x v="1"/>
    <s v="AeroTech UK"/>
  </r>
  <r>
    <s v="PRD-00665"/>
    <x v="25"/>
    <x v="2"/>
    <x v="2"/>
    <s v="Repair-02"/>
    <s v="OP-009"/>
    <x v="0"/>
    <n v="299"/>
    <n v="342"/>
    <n v="18"/>
    <n v="3.8"/>
    <n v="36421.620000000003"/>
    <n v="8.2899999999999991"/>
    <n v="198.96"/>
    <n v="378"/>
    <d v="2026-02-02T00:00:00"/>
    <d v="2026-02-02T00:00:00"/>
    <x v="0"/>
    <s v="SkyWorks"/>
  </r>
  <r>
    <s v="PRD-00666"/>
    <x v="71"/>
    <x v="1"/>
    <x v="1"/>
    <s v="CNC-04"/>
    <s v="OP-022"/>
    <x v="1"/>
    <n v="155"/>
    <n v="134"/>
    <n v="5"/>
    <n v="5.5"/>
    <n v="30348.01"/>
    <n v="4.93"/>
    <n v="128.18"/>
    <n v="118"/>
    <d v="2026-01-25T00:00:00"/>
    <d v="2026-01-25T00:00:00"/>
    <x v="1"/>
    <s v="SkyWorks"/>
  </r>
  <r>
    <s v="PRD-00667"/>
    <x v="142"/>
    <x v="5"/>
    <x v="5"/>
    <s v="Surface-02"/>
    <s v="OP-015"/>
    <x v="2"/>
    <n v="84"/>
    <n v="76"/>
    <n v="3"/>
    <n v="8.6999999999999993"/>
    <n v="11774.95"/>
    <n v="1.77"/>
    <n v="31.86"/>
    <n v="70"/>
    <d v="2026-02-21T00:00:00"/>
    <d v="2026-02-22T00:00:00"/>
    <x v="0"/>
    <s v="SkyWorks"/>
  </r>
  <r>
    <s v="PRD-00668"/>
    <x v="102"/>
    <x v="6"/>
    <x v="4"/>
    <s v="Assembly-02"/>
    <s v="OP-018"/>
    <x v="0"/>
    <n v="112"/>
    <n v="91"/>
    <n v="1"/>
    <n v="7.8"/>
    <n v="15582.04"/>
    <n v="3.07"/>
    <n v="61.4"/>
    <n v="201"/>
    <d v="2026-03-21T00:00:00"/>
    <d v="2026-03-22T00:00:00"/>
    <x v="0"/>
    <s v="NorthStar Aviation"/>
  </r>
  <r>
    <s v="PRD-00669"/>
    <x v="53"/>
    <x v="6"/>
    <x v="4"/>
    <s v="Assembly-02"/>
    <s v="OP-003"/>
    <x v="2"/>
    <n v="84"/>
    <n v="84"/>
    <n v="6"/>
    <n v="3.2"/>
    <n v="16247.39"/>
    <n v="2.2200000000000002"/>
    <n v="39.96"/>
    <n v="179"/>
    <d v="2026-01-25T00:00:00"/>
    <d v="2026-01-24T00:00:00"/>
    <x v="1"/>
    <s v="NorthStar Aviation"/>
  </r>
  <r>
    <s v="PRD-00670"/>
    <x v="139"/>
    <x v="4"/>
    <x v="4"/>
    <s v="Assembly-03"/>
    <s v="OP-001"/>
    <x v="2"/>
    <n v="186"/>
    <n v="139"/>
    <n v="6"/>
    <n v="2.5"/>
    <n v="23705.99"/>
    <n v="3.7"/>
    <n v="88.8"/>
    <n v="241"/>
    <d v="2026-04-03T00:00:00"/>
    <d v="2026-04-03T00:00:00"/>
    <x v="1"/>
    <s v="SkyWorks"/>
  </r>
  <r>
    <s v="PRD-00671"/>
    <x v="162"/>
    <x v="6"/>
    <x v="4"/>
    <s v="Assembly-01"/>
    <s v="OP-002"/>
    <x v="0"/>
    <n v="313"/>
    <n v="304"/>
    <n v="4"/>
    <n v="1.9"/>
    <n v="52374.45"/>
    <n v="10.89"/>
    <n v="283.14"/>
    <n v="361"/>
    <d v="2026-01-17T00:00:00"/>
    <d v="2026-01-19T00:00:00"/>
    <x v="1"/>
    <s v="NorthStar Aviation"/>
  </r>
  <r>
    <s v="PRD-00672"/>
    <x v="81"/>
    <x v="0"/>
    <x v="0"/>
    <s v="Autoclave-01"/>
    <s v="OP-017"/>
    <x v="1"/>
    <n v="319"/>
    <n v="365"/>
    <n v="20"/>
    <n v="9"/>
    <n v="131501.91"/>
    <n v="11.29"/>
    <n v="203.22"/>
    <n v="414"/>
    <d v="2026-04-10T00:00:00"/>
    <d v="2026-04-14T00:00:00"/>
    <x v="1"/>
    <s v="SkyWorks"/>
  </r>
  <r>
    <s v="PRD-00673"/>
    <x v="35"/>
    <x v="1"/>
    <x v="1"/>
    <s v="CNC-04"/>
    <s v="OP-003"/>
    <x v="1"/>
    <n v="155"/>
    <n v="172"/>
    <n v="5"/>
    <n v="7.2"/>
    <n v="42758.14"/>
    <n v="4.4000000000000004"/>
    <n v="79.2"/>
    <n v="176"/>
    <d v="2026-03-19T00:00:00"/>
    <d v="2026-03-21T00:00:00"/>
    <x v="0"/>
    <s v="Precision Air"/>
  </r>
  <r>
    <s v="PRD-00674"/>
    <x v="151"/>
    <x v="0"/>
    <x v="0"/>
    <s v="Autoclave-02"/>
    <s v="OP-009"/>
    <x v="1"/>
    <n v="247"/>
    <n v="229"/>
    <n v="5"/>
    <n v="7.1"/>
    <n v="72822.28"/>
    <n v="9.5500000000000007"/>
    <n v="248.3"/>
    <n v="269"/>
    <d v="2026-05-18T00:00:00"/>
    <d v="2026-05-18T00:00:00"/>
    <x v="1"/>
    <s v="SkyWorks"/>
  </r>
  <r>
    <s v="PRD-00675"/>
    <x v="94"/>
    <x v="0"/>
    <x v="0"/>
    <s v="Autoclave-01"/>
    <s v="OP-009"/>
    <x v="0"/>
    <n v="184"/>
    <n v="165"/>
    <n v="15"/>
    <n v="5.2"/>
    <n v="60073.16"/>
    <n v="6.53"/>
    <n v="156.72"/>
    <n v="147"/>
    <d v="2026-03-26T00:00:00"/>
    <d v="2026-03-25T00:00:00"/>
    <x v="2"/>
    <s v="Global Aero Systems"/>
  </r>
  <r>
    <s v="PRD-00676"/>
    <x v="169"/>
    <x v="3"/>
    <x v="3"/>
    <s v="Press-01"/>
    <s v="OP-008"/>
    <x v="0"/>
    <n v="293"/>
    <n v="265"/>
    <n v="17"/>
    <n v="8.9"/>
    <n v="29663.9"/>
    <n v="10.61"/>
    <n v="254.64"/>
    <n v="343"/>
    <d v="2026-01-30T00:00:00"/>
    <d v="2026-02-01T00:00:00"/>
    <x v="1"/>
    <s v="SkyWorks"/>
  </r>
  <r>
    <s v="PRD-00677"/>
    <x v="104"/>
    <x v="4"/>
    <x v="4"/>
    <s v="Assembly-02"/>
    <s v="OP-023"/>
    <x v="2"/>
    <n v="231"/>
    <n v="226"/>
    <n v="3"/>
    <n v="6.5"/>
    <n v="42579.29"/>
    <n v="9.2200000000000006"/>
    <n v="221.28"/>
    <n v="306"/>
    <d v="2026-02-08T00:00:00"/>
    <d v="2026-02-08T00:00:00"/>
    <x v="2"/>
    <s v="NorthStar Aviation"/>
  </r>
  <r>
    <s v="PRD-00678"/>
    <x v="135"/>
    <x v="0"/>
    <x v="0"/>
    <s v="Autoclave-01"/>
    <s v="OP-016"/>
    <x v="1"/>
    <n v="309"/>
    <n v="223"/>
    <n v="13"/>
    <n v="6.1"/>
    <n v="67596.710000000006"/>
    <n v="4.96"/>
    <n v="128.96"/>
    <n v="340"/>
    <d v="2026-06-03T00:00:00"/>
    <d v="2026-06-03T00:00:00"/>
    <x v="0"/>
    <s v="AeroTech UK"/>
  </r>
  <r>
    <s v="PRD-00679"/>
    <x v="85"/>
    <x v="2"/>
    <x v="2"/>
    <s v="Repair-02"/>
    <s v="OP-029"/>
    <x v="0"/>
    <n v="162"/>
    <n v="143"/>
    <n v="10"/>
    <n v="8.6"/>
    <n v="12305.57"/>
    <n v="5.6"/>
    <n v="112"/>
    <n v="232"/>
    <d v="2026-06-04T00:00:00"/>
    <d v="2026-06-04T00:00:00"/>
    <x v="1"/>
    <s v="SkyWorks"/>
  </r>
  <r>
    <s v="PRD-00680"/>
    <x v="169"/>
    <x v="4"/>
    <x v="4"/>
    <s v="Assembly-02"/>
    <s v="OP-004"/>
    <x v="2"/>
    <n v="122"/>
    <n v="94"/>
    <n v="2"/>
    <n v="4"/>
    <n v="20198.28"/>
    <n v="3.76"/>
    <n v="97.76"/>
    <n v="109"/>
    <d v="2026-01-31T00:00:00"/>
    <d v="2026-01-31T00:00:00"/>
    <x v="0"/>
    <s v="Precision Air"/>
  </r>
  <r>
    <s v="PRD-00681"/>
    <x v="143"/>
    <x v="3"/>
    <x v="3"/>
    <s v="Press-01"/>
    <s v="OP-014"/>
    <x v="0"/>
    <n v="233"/>
    <n v="258"/>
    <n v="23"/>
    <n v="4.9000000000000004"/>
    <n v="29137.040000000001"/>
    <n v="9.8000000000000007"/>
    <n v="176.4"/>
    <n v="287"/>
    <d v="2026-05-16T00:00:00"/>
    <d v="2026-05-16T00:00:00"/>
    <x v="1"/>
    <s v="Global Aero Systems"/>
  </r>
  <r>
    <s v="PRD-00682"/>
    <x v="123"/>
    <x v="3"/>
    <x v="3"/>
    <s v="Laser-01"/>
    <s v="OP-026"/>
    <x v="2"/>
    <n v="155"/>
    <n v="172"/>
    <n v="11"/>
    <n v="8.3000000000000007"/>
    <n v="19256.919999999998"/>
    <n v="5.13"/>
    <n v="92.34"/>
    <n v="150"/>
    <d v="2026-05-20T00:00:00"/>
    <d v="2026-05-19T00:00:00"/>
    <x v="0"/>
    <s v="NorthStar Aviation"/>
  </r>
  <r>
    <s v="PRD-00683"/>
    <x v="91"/>
    <x v="4"/>
    <x v="4"/>
    <s v="Assembly-01"/>
    <s v="OP-027"/>
    <x v="0"/>
    <n v="209"/>
    <n v="180"/>
    <n v="8"/>
    <n v="6.6"/>
    <n v="33875.269999999997"/>
    <n v="6.21"/>
    <n v="111.78"/>
    <n v="279"/>
    <d v="2026-01-23T00:00:00"/>
    <d v="2026-01-24T00:00:00"/>
    <x v="0"/>
    <s v="AeroTech UK"/>
  </r>
  <r>
    <s v="PRD-00684"/>
    <x v="50"/>
    <x v="7"/>
    <x v="0"/>
    <s v="Autoclave-01"/>
    <s v="OP-021"/>
    <x v="2"/>
    <n v="115"/>
    <n v="111"/>
    <n v="9"/>
    <n v="2"/>
    <n v="26149.54"/>
    <n v="3.29"/>
    <n v="65.8"/>
    <n v="202"/>
    <d v="2026-06-18T00:00:00"/>
    <d v="2026-06-18T00:00:00"/>
    <x v="0"/>
    <s v="Precision Air"/>
  </r>
  <r>
    <s v="PRD-00685"/>
    <x v="5"/>
    <x v="7"/>
    <x v="0"/>
    <s v="Autoclave-02"/>
    <s v="OP-017"/>
    <x v="0"/>
    <n v="97"/>
    <n v="90"/>
    <n v="5"/>
    <n v="6.4"/>
    <n v="21025.26"/>
    <n v="2.94"/>
    <n v="76.44"/>
    <n v="117"/>
    <d v="2026-03-08T00:00:00"/>
    <d v="2026-03-09T00:00:00"/>
    <x v="2"/>
    <s v="NorthStar Aviation"/>
  </r>
  <r>
    <s v="PRD-00686"/>
    <x v="175"/>
    <x v="1"/>
    <x v="1"/>
    <s v="CNC-03"/>
    <s v="OP-008"/>
    <x v="0"/>
    <n v="251"/>
    <n v="233"/>
    <n v="17"/>
    <n v="3.5"/>
    <n v="50266.68"/>
    <n v="4.7300000000000004"/>
    <n v="85.14"/>
    <n v="284"/>
    <d v="2026-03-26T00:00:00"/>
    <d v="2026-03-30T00:00:00"/>
    <x v="0"/>
    <s v="Global Aero Systems"/>
  </r>
  <r>
    <s v="PRD-00687"/>
    <x v="98"/>
    <x v="3"/>
    <x v="3"/>
    <s v="Laser-01"/>
    <s v="OP-010"/>
    <x v="1"/>
    <n v="161"/>
    <n v="161"/>
    <n v="5"/>
    <n v="3.6"/>
    <n v="18056.97"/>
    <n v="6.14"/>
    <n v="147.36000000000001"/>
    <n v="226"/>
    <d v="2026-02-11T00:00:00"/>
    <d v="2026-02-11T00:00:00"/>
    <x v="0"/>
    <s v="Precision Air"/>
  </r>
  <r>
    <s v="PRD-00688"/>
    <x v="89"/>
    <x v="2"/>
    <x v="2"/>
    <s v="Repair-01"/>
    <s v="OP-021"/>
    <x v="2"/>
    <n v="223"/>
    <n v="234"/>
    <n v="6"/>
    <n v="2.9"/>
    <n v="20381.3"/>
    <n v="6.45"/>
    <n v="116.1"/>
    <n v="251"/>
    <d v="2026-03-06T00:00:00"/>
    <d v="2026-03-06T00:00:00"/>
    <x v="0"/>
    <s v="SkyWorks"/>
  </r>
  <r>
    <s v="PRD-00689"/>
    <x v="36"/>
    <x v="2"/>
    <x v="2"/>
    <s v="Repair-01"/>
    <s v="OP-003"/>
    <x v="0"/>
    <n v="226"/>
    <n v="247"/>
    <n v="13"/>
    <n v="7"/>
    <n v="22003.1"/>
    <n v="8.07"/>
    <n v="161.4"/>
    <n v="324"/>
    <d v="2026-04-27T00:00:00"/>
    <d v="2026-04-25T00:00:00"/>
    <x v="2"/>
    <s v="SkyWorks"/>
  </r>
  <r>
    <s v="PRD-00690"/>
    <x v="11"/>
    <x v="0"/>
    <x v="0"/>
    <s v="CNC-01"/>
    <s v="OP-014"/>
    <x v="2"/>
    <n v="92"/>
    <n v="86"/>
    <n v="3"/>
    <n v="1.8"/>
    <n v="24645.279999999999"/>
    <n v="3.32"/>
    <n v="66.400000000000006"/>
    <n v="126"/>
    <d v="2026-04-05T00:00:00"/>
    <d v="2026-04-06T00:00:00"/>
    <x v="0"/>
    <s v="Precision Air"/>
  </r>
  <r>
    <s v="PRD-00691"/>
    <x v="14"/>
    <x v="7"/>
    <x v="0"/>
    <s v="Autoclave-01"/>
    <s v="OP-009"/>
    <x v="0"/>
    <n v="296"/>
    <n v="215"/>
    <n v="19"/>
    <n v="0.9"/>
    <n v="55010.38"/>
    <n v="4.68"/>
    <n v="102.96"/>
    <n v="262"/>
    <d v="2026-03-10T00:00:00"/>
    <d v="2026-03-10T00:00:00"/>
    <x v="0"/>
    <s v="AeroTech UK"/>
  </r>
  <r>
    <s v="PRD-00692"/>
    <x v="58"/>
    <x v="2"/>
    <x v="2"/>
    <s v="Repair-01"/>
    <s v="OP-024"/>
    <x v="0"/>
    <n v="289"/>
    <n v="300"/>
    <n v="8"/>
    <n v="0.8"/>
    <n v="24775.78"/>
    <n v="10.89"/>
    <n v="261.36"/>
    <n v="254"/>
    <d v="2026-04-09T00:00:00"/>
    <d v="2026-04-09T00:00:00"/>
    <x v="0"/>
    <s v="Global Aero Systems"/>
  </r>
  <r>
    <s v="PRD-00693"/>
    <x v="3"/>
    <x v="6"/>
    <x v="4"/>
    <s v="Assembly-02"/>
    <s v="OP-008"/>
    <x v="1"/>
    <n v="188"/>
    <n v="176"/>
    <n v="1"/>
    <n v="2.5"/>
    <n v="25712.26"/>
    <n v="5.94"/>
    <n v="142.56"/>
    <n v="244"/>
    <d v="2026-02-25T00:00:00"/>
    <d v="2026-02-27T00:00:00"/>
    <x v="0"/>
    <s v="Precision Air"/>
  </r>
  <r>
    <s v="PRD-00694"/>
    <x v="106"/>
    <x v="5"/>
    <x v="5"/>
    <s v="Surface-02"/>
    <s v="OP-001"/>
    <x v="1"/>
    <n v="312"/>
    <n v="318"/>
    <n v="16"/>
    <n v="3.4"/>
    <n v="56759.73"/>
    <n v="12.99"/>
    <n v="337.74"/>
    <n v="299"/>
    <d v="2026-03-22T00:00:00"/>
    <d v="2026-03-22T00:00:00"/>
    <x v="1"/>
    <s v="NorthStar Aviation"/>
  </r>
  <r>
    <s v="PRD-00695"/>
    <x v="36"/>
    <x v="4"/>
    <x v="4"/>
    <s v="Assembly-02"/>
    <s v="OP-005"/>
    <x v="1"/>
    <n v="224"/>
    <n v="171"/>
    <n v="5"/>
    <n v="1.3"/>
    <n v="31812.98"/>
    <n v="5.38"/>
    <n v="107.6"/>
    <n v="309"/>
    <d v="2026-05-06T00:00:00"/>
    <d v="2026-05-06T00:00:00"/>
    <x v="0"/>
    <s v="Precision Air"/>
  </r>
  <r>
    <s v="PRD-00696"/>
    <x v="97"/>
    <x v="1"/>
    <x v="1"/>
    <s v="CNC-02"/>
    <s v="OP-025"/>
    <x v="0"/>
    <n v="276"/>
    <n v="257"/>
    <n v="10"/>
    <n v="6.7"/>
    <n v="57653.81"/>
    <n v="8.8800000000000008"/>
    <n v="230.88"/>
    <n v="340"/>
    <d v="2026-05-04T00:00:00"/>
    <d v="2026-05-04T00:00:00"/>
    <x v="0"/>
    <s v="Global Aero Systems"/>
  </r>
  <r>
    <s v="PRD-00697"/>
    <x v="17"/>
    <x v="5"/>
    <x v="5"/>
    <s v="Surface-02"/>
    <s v="OP-025"/>
    <x v="2"/>
    <n v="246"/>
    <n v="202"/>
    <n v="9"/>
    <n v="4.3"/>
    <n v="31318.66"/>
    <n v="7.19"/>
    <n v="129.41999999999999"/>
    <n v="314"/>
    <d v="2026-05-23T00:00:00"/>
    <d v="2026-05-25T00:00:00"/>
    <x v="0"/>
    <s v="NorthStar Aviation"/>
  </r>
  <r>
    <s v="PRD-00698"/>
    <x v="123"/>
    <x v="0"/>
    <x v="0"/>
    <s v="Autoclave-01"/>
    <s v="OP-001"/>
    <x v="1"/>
    <n v="130"/>
    <n v="118"/>
    <n v="10"/>
    <n v="0.4"/>
    <n v="33894.5"/>
    <n v="4.4000000000000004"/>
    <n v="105.6"/>
    <n v="125"/>
    <d v="2026-05-24T00:00:00"/>
    <d v="2026-05-26T00:00:00"/>
    <x v="2"/>
    <s v="AeroTech UK"/>
  </r>
  <r>
    <s v="PRD-00699"/>
    <x v="60"/>
    <x v="6"/>
    <x v="4"/>
    <s v="Assembly-03"/>
    <s v="OP-023"/>
    <x v="1"/>
    <n v="316"/>
    <n v="347"/>
    <n v="10"/>
    <n v="2.9"/>
    <n v="70272.789999999994"/>
    <n v="7.63"/>
    <n v="167.86"/>
    <n v="409"/>
    <d v="2026-05-04T00:00:00"/>
    <d v="2026-05-04T00:00:00"/>
    <x v="1"/>
    <s v="Precision Air"/>
  </r>
  <r>
    <s v="PRD-00700"/>
    <x v="173"/>
    <x v="6"/>
    <x v="4"/>
    <s v="Assembly-02"/>
    <s v="OP-005"/>
    <x v="1"/>
    <n v="198"/>
    <n v="160"/>
    <n v="5"/>
    <n v="6.7"/>
    <n v="36702.75"/>
    <n v="3.51"/>
    <n v="84.24"/>
    <n v="160"/>
    <d v="2026-06-11T00:00:00"/>
    <d v="2026-06-13T00:00:00"/>
    <x v="0"/>
    <s v="AeroTech UK"/>
  </r>
  <r>
    <s v="PRD-00701"/>
    <x v="117"/>
    <x v="6"/>
    <x v="4"/>
    <s v="Assembly-03"/>
    <s v="OP-021"/>
    <x v="2"/>
    <n v="128"/>
    <n v="103"/>
    <n v="1"/>
    <n v="4.0999999999999996"/>
    <n v="15876.09"/>
    <n v="3.32"/>
    <n v="59.76"/>
    <n v="177"/>
    <d v="2026-01-14T00:00:00"/>
    <d v="2026-01-14T00:00:00"/>
    <x v="0"/>
    <s v="NorthStar Aviation"/>
  </r>
  <r>
    <s v="PRD-00702"/>
    <x v="102"/>
    <x v="6"/>
    <x v="4"/>
    <s v="Assembly-02"/>
    <s v="OP-024"/>
    <x v="2"/>
    <n v="229"/>
    <n v="236"/>
    <n v="8"/>
    <n v="6.9"/>
    <n v="48434.62"/>
    <n v="7.88"/>
    <n v="157.6"/>
    <n v="208"/>
    <d v="2026-03-23T00:00:00"/>
    <d v="2026-03-23T00:00:00"/>
    <x v="0"/>
    <s v="SkyWorks"/>
  </r>
  <r>
    <s v="PRD-00703"/>
    <x v="142"/>
    <x v="6"/>
    <x v="4"/>
    <s v="Assembly-03"/>
    <s v="OP-006"/>
    <x v="2"/>
    <n v="106"/>
    <n v="82"/>
    <n v="4"/>
    <n v="5.8"/>
    <n v="13993.65"/>
    <n v="3.16"/>
    <n v="82.16"/>
    <n v="136"/>
    <d v="2026-02-26T00:00:00"/>
    <d v="2026-03-02T00:00:00"/>
    <x v="0"/>
    <s v="NorthStar Aviation"/>
  </r>
  <r>
    <s v="PRD-00704"/>
    <x v="89"/>
    <x v="0"/>
    <x v="0"/>
    <s v="CNC-01"/>
    <s v="OP-010"/>
    <x v="0"/>
    <n v="117"/>
    <n v="91"/>
    <n v="4"/>
    <n v="0"/>
    <n v="28134.43"/>
    <n v="1.94"/>
    <n v="46.56"/>
    <n v="185"/>
    <d v="2026-03-09T00:00:00"/>
    <d v="2026-03-13T00:00:00"/>
    <x v="0"/>
    <s v="AeroTech UK"/>
  </r>
  <r>
    <s v="PRD-00705"/>
    <x v="41"/>
    <x v="2"/>
    <x v="2"/>
    <s v="Repair-02"/>
    <s v="OP-027"/>
    <x v="1"/>
    <n v="278"/>
    <n v="246"/>
    <n v="11"/>
    <n v="2.8"/>
    <n v="23017.27"/>
    <n v="9.64"/>
    <n v="192.8"/>
    <n v="280"/>
    <d v="2026-03-15T00:00:00"/>
    <d v="2026-03-15T00:00:00"/>
    <x v="0"/>
    <s v="Precision Air"/>
  </r>
  <r>
    <s v="PRD-00706"/>
    <x v="150"/>
    <x v="5"/>
    <x v="5"/>
    <s v="Surface-02"/>
    <s v="OP-012"/>
    <x v="2"/>
    <n v="255"/>
    <n v="196"/>
    <n v="16"/>
    <n v="5.9"/>
    <n v="27184.22"/>
    <n v="7.55"/>
    <n v="166.1"/>
    <n v="323"/>
    <d v="2026-04-29T00:00:00"/>
    <d v="2026-04-29T00:00:00"/>
    <x v="2"/>
    <s v="AeroTech UK"/>
  </r>
  <r>
    <s v="PRD-00707"/>
    <x v="166"/>
    <x v="5"/>
    <x v="5"/>
    <s v="Surface-02"/>
    <s v="OP-013"/>
    <x v="2"/>
    <n v="214"/>
    <n v="172"/>
    <n v="9"/>
    <n v="3"/>
    <n v="31351.3"/>
    <n v="5.17"/>
    <n v="93.06"/>
    <n v="243"/>
    <d v="2026-02-22T00:00:00"/>
    <d v="2026-02-22T00:00:00"/>
    <x v="2"/>
    <s v="SkyWorks"/>
  </r>
  <r>
    <s v="PRD-00708"/>
    <x v="102"/>
    <x v="7"/>
    <x v="0"/>
    <s v="CNC-01"/>
    <s v="OP-020"/>
    <x v="0"/>
    <n v="290"/>
    <n v="212"/>
    <n v="14"/>
    <n v="4.2"/>
    <n v="58013.760000000002"/>
    <n v="4.7"/>
    <n v="122.2"/>
    <n v="276"/>
    <d v="2026-03-14T00:00:00"/>
    <d v="2026-03-15T00:00:00"/>
    <x v="0"/>
    <s v="NorthStar Aviation"/>
  </r>
  <r>
    <s v="PRD-00709"/>
    <x v="142"/>
    <x v="3"/>
    <x v="3"/>
    <s v="Press-01"/>
    <s v="OP-027"/>
    <x v="0"/>
    <n v="187"/>
    <n v="201"/>
    <n v="3"/>
    <n v="4"/>
    <n v="24139.279999999999"/>
    <n v="7.76"/>
    <n v="170.72"/>
    <n v="196"/>
    <d v="2026-02-27T00:00:00"/>
    <d v="2026-02-25T00:00:00"/>
    <x v="0"/>
    <s v="SkyWorks"/>
  </r>
  <r>
    <s v="PRD-00710"/>
    <x v="93"/>
    <x v="4"/>
    <x v="4"/>
    <s v="Assembly-03"/>
    <s v="OP-015"/>
    <x v="2"/>
    <n v="83"/>
    <n v="93"/>
    <n v="3"/>
    <n v="7.5"/>
    <n v="17439.48"/>
    <n v="3.52"/>
    <n v="91.52"/>
    <n v="87"/>
    <d v="2026-02-19T00:00:00"/>
    <d v="2026-02-18T00:00:00"/>
    <x v="0"/>
    <s v="SkyWorks"/>
  </r>
  <r>
    <s v="PRD-00711"/>
    <x v="4"/>
    <x v="1"/>
    <x v="1"/>
    <s v="CNC-04"/>
    <s v="OP-030"/>
    <x v="1"/>
    <n v="209"/>
    <n v="187"/>
    <n v="11"/>
    <n v="7.6"/>
    <n v="47032.01"/>
    <n v="5.88"/>
    <n v="105.84"/>
    <n v="256"/>
    <d v="2026-06-14T00:00:00"/>
    <d v="2026-06-13T00:00:00"/>
    <x v="1"/>
    <s v="AeroTech UK"/>
  </r>
  <r>
    <s v="PRD-00712"/>
    <x v="98"/>
    <x v="0"/>
    <x v="0"/>
    <s v="Autoclave-01"/>
    <s v="OP-027"/>
    <x v="0"/>
    <n v="266"/>
    <n v="201"/>
    <n v="6"/>
    <n v="5.6"/>
    <n v="49081.279999999999"/>
    <n v="3.67"/>
    <n v="80.739999999999995"/>
    <n v="343"/>
    <d v="2026-02-02T00:00:00"/>
    <d v="2026-02-02T00:00:00"/>
    <x v="0"/>
    <s v="NorthStar Aviation"/>
  </r>
  <r>
    <s v="PRD-00713"/>
    <x v="55"/>
    <x v="6"/>
    <x v="4"/>
    <s v="Assembly-01"/>
    <s v="OP-009"/>
    <x v="2"/>
    <n v="177"/>
    <n v="181"/>
    <n v="3"/>
    <n v="1.3"/>
    <n v="27343.38"/>
    <n v="4.08"/>
    <n v="81.599999999999994"/>
    <n v="182"/>
    <d v="2026-02-09T00:00:00"/>
    <d v="2026-02-09T00:00:00"/>
    <x v="2"/>
    <s v="Global Aero Systems"/>
  </r>
  <r>
    <s v="PRD-00714"/>
    <x v="11"/>
    <x v="4"/>
    <x v="4"/>
    <s v="Assembly-02"/>
    <s v="OP-012"/>
    <x v="0"/>
    <n v="277"/>
    <n v="275"/>
    <n v="12"/>
    <n v="5.7"/>
    <n v="53939.02"/>
    <n v="10.46"/>
    <n v="251.04"/>
    <n v="276"/>
    <d v="2026-04-11T00:00:00"/>
    <d v="2026-04-11T00:00:00"/>
    <x v="2"/>
    <s v="SkyWorks"/>
  </r>
  <r>
    <s v="PRD-00715"/>
    <x v="100"/>
    <x v="4"/>
    <x v="4"/>
    <s v="Assembly-03"/>
    <s v="OP-005"/>
    <x v="1"/>
    <n v="208"/>
    <n v="199"/>
    <n v="14"/>
    <n v="2.4"/>
    <n v="36897.760000000002"/>
    <n v="4.62"/>
    <n v="101.64"/>
    <n v="176"/>
    <d v="2026-02-26T00:00:00"/>
    <d v="2026-02-26T00:00:00"/>
    <x v="2"/>
    <s v="Precision Air"/>
  </r>
  <r>
    <s v="PRD-00716"/>
    <x v="62"/>
    <x v="4"/>
    <x v="4"/>
    <s v="Assembly-03"/>
    <s v="OP-021"/>
    <x v="2"/>
    <n v="176"/>
    <n v="176"/>
    <n v="15"/>
    <n v="2.9"/>
    <n v="29052.75"/>
    <n v="6.97"/>
    <n v="139.4"/>
    <n v="243"/>
    <d v="2026-04-02T00:00:00"/>
    <d v="2026-04-03T00:00:00"/>
    <x v="0"/>
    <s v="NorthStar Aviation"/>
  </r>
  <r>
    <s v="PRD-00717"/>
    <x v="68"/>
    <x v="6"/>
    <x v="4"/>
    <s v="Assembly-01"/>
    <s v="OP-020"/>
    <x v="1"/>
    <n v="199"/>
    <n v="190"/>
    <n v="13"/>
    <n v="4"/>
    <n v="35437.68"/>
    <n v="6.59"/>
    <n v="158.16"/>
    <n v="280"/>
    <d v="2026-04-07T00:00:00"/>
    <d v="2026-04-07T00:00:00"/>
    <x v="0"/>
    <s v="Global Aero Systems"/>
  </r>
  <r>
    <s v="PRD-00718"/>
    <x v="92"/>
    <x v="2"/>
    <x v="2"/>
    <s v="Repair-02"/>
    <s v="OP-017"/>
    <x v="2"/>
    <n v="90"/>
    <n v="102"/>
    <n v="8"/>
    <n v="6.9"/>
    <n v="10767"/>
    <n v="2.87"/>
    <n v="63.14"/>
    <n v="152"/>
    <d v="2026-07-04T00:00:00"/>
    <d v="2026-07-02T00:00:00"/>
    <x v="0"/>
    <s v="SkyWorks"/>
  </r>
  <r>
    <s v="PRD-00719"/>
    <x v="65"/>
    <x v="1"/>
    <x v="1"/>
    <s v="CNC-04"/>
    <s v="OP-015"/>
    <x v="2"/>
    <n v="272"/>
    <n v="212"/>
    <n v="13"/>
    <n v="7.1"/>
    <n v="36217.78"/>
    <n v="7.85"/>
    <n v="157"/>
    <n v="320"/>
    <d v="2026-06-11T00:00:00"/>
    <d v="2026-06-13T00:00:00"/>
    <x v="0"/>
    <s v="NorthStar Aviation"/>
  </r>
  <r>
    <s v="PRD-00720"/>
    <x v="74"/>
    <x v="3"/>
    <x v="3"/>
    <s v="Laser-01"/>
    <s v="OP-004"/>
    <x v="1"/>
    <n v="158"/>
    <n v="119"/>
    <n v="3"/>
    <n v="1.8"/>
    <n v="11102.59"/>
    <n v="4.0999999999999996"/>
    <n v="90.2"/>
    <n v="119"/>
    <d v="2026-03-02T00:00:00"/>
    <d v="2026-03-02T00:00:00"/>
    <x v="0"/>
    <s v="Precision Air"/>
  </r>
  <r>
    <s v="PRD-00721"/>
    <x v="158"/>
    <x v="2"/>
    <x v="2"/>
    <s v="Repair-01"/>
    <s v="OP-027"/>
    <x v="0"/>
    <n v="313"/>
    <n v="288"/>
    <n v="11"/>
    <n v="4.2"/>
    <n v="26747.599999999999"/>
    <n v="7.86"/>
    <n v="172.92"/>
    <n v="307"/>
    <d v="2026-07-03T00:00:00"/>
    <d v="2026-07-04T00:00:00"/>
    <x v="0"/>
    <s v="Global Aero Systems"/>
  </r>
  <r>
    <s v="PRD-00722"/>
    <x v="65"/>
    <x v="2"/>
    <x v="2"/>
    <s v="Repair-01"/>
    <s v="OP-020"/>
    <x v="1"/>
    <n v="168"/>
    <n v="156"/>
    <n v="11"/>
    <n v="5.3"/>
    <n v="13300.1"/>
    <n v="5.68"/>
    <n v="124.96"/>
    <n v="220"/>
    <d v="2026-06-09T00:00:00"/>
    <d v="2026-06-07T00:00:00"/>
    <x v="1"/>
    <s v="AeroTech UK"/>
  </r>
  <r>
    <s v="PRD-00723"/>
    <x v="63"/>
    <x v="1"/>
    <x v="1"/>
    <s v="CNC-02"/>
    <s v="OP-009"/>
    <x v="1"/>
    <n v="207"/>
    <n v="165"/>
    <n v="3"/>
    <n v="3.9"/>
    <n v="37006.49"/>
    <n v="4.66"/>
    <n v="102.52"/>
    <n v="246"/>
    <d v="2026-06-23T00:00:00"/>
    <d v="2026-06-27T00:00:00"/>
    <x v="0"/>
    <s v="NorthStar Aviation"/>
  </r>
  <r>
    <s v="PRD-00724"/>
    <x v="119"/>
    <x v="2"/>
    <x v="2"/>
    <s v="Repair-01"/>
    <s v="OP-001"/>
    <x v="1"/>
    <n v="199"/>
    <n v="212"/>
    <n v="7"/>
    <n v="6.6"/>
    <n v="20088"/>
    <n v="7.92"/>
    <n v="158.4"/>
    <n v="240"/>
    <d v="2026-02-15T00:00:00"/>
    <d v="2026-02-17T00:00:00"/>
    <x v="2"/>
    <s v="Global Aero Systems"/>
  </r>
  <r>
    <s v="PRD-00725"/>
    <x v="156"/>
    <x v="7"/>
    <x v="0"/>
    <s v="Autoclave-02"/>
    <s v="OP-026"/>
    <x v="2"/>
    <n v="188"/>
    <n v="156"/>
    <n v="9"/>
    <n v="5.4"/>
    <n v="45520.57"/>
    <n v="4.2"/>
    <n v="100.8"/>
    <n v="233"/>
    <d v="2026-04-29T00:00:00"/>
    <d v="2026-04-30T00:00:00"/>
    <x v="0"/>
    <s v="Global Aero Systems"/>
  </r>
  <r>
    <s v="PRD-00726"/>
    <x v="77"/>
    <x v="2"/>
    <x v="2"/>
    <s v="Repair-01"/>
    <s v="OP-002"/>
    <x v="2"/>
    <n v="118"/>
    <n v="85"/>
    <n v="7"/>
    <n v="6.4"/>
    <n v="7172.57"/>
    <n v="2.78"/>
    <n v="66.72"/>
    <n v="189"/>
    <d v="2026-05-19T00:00:00"/>
    <d v="2026-05-23T00:00:00"/>
    <x v="0"/>
    <s v="Global Aero Systems"/>
  </r>
  <r>
    <s v="PRD-00727"/>
    <x v="87"/>
    <x v="4"/>
    <x v="4"/>
    <s v="Assembly-01"/>
    <s v="OP-001"/>
    <x v="1"/>
    <n v="307"/>
    <n v="300"/>
    <n v="11"/>
    <n v="3.8"/>
    <n v="68344.63"/>
    <n v="5.57"/>
    <n v="122.54"/>
    <n v="312"/>
    <d v="2026-05-04T00:00:00"/>
    <d v="2026-05-05T00:00:00"/>
    <x v="2"/>
    <s v="SkyWorks"/>
  </r>
  <r>
    <s v="PRD-00728"/>
    <x v="175"/>
    <x v="7"/>
    <x v="0"/>
    <s v="CNC-01"/>
    <s v="OP-015"/>
    <x v="0"/>
    <n v="108"/>
    <n v="94"/>
    <n v="0"/>
    <n v="6.6"/>
    <n v="20262.05"/>
    <n v="1.91"/>
    <n v="38.200000000000003"/>
    <n v="194"/>
    <d v="2026-03-26T00:00:00"/>
    <d v="2026-03-26T00:00:00"/>
    <x v="0"/>
    <s v="Precision Air"/>
  </r>
  <r>
    <s v="PRD-00729"/>
    <x v="148"/>
    <x v="5"/>
    <x v="5"/>
    <s v="Surface-01"/>
    <s v="OP-013"/>
    <x v="2"/>
    <n v="99"/>
    <n v="85"/>
    <n v="0"/>
    <n v="5.5"/>
    <n v="14220.66"/>
    <n v="1.74"/>
    <n v="45.24"/>
    <n v="79"/>
    <d v="2026-03-11T00:00:00"/>
    <d v="2026-03-11T00:00:00"/>
    <x v="2"/>
    <s v="NorthStar Aviation"/>
  </r>
  <r>
    <s v="PRD-00730"/>
    <x v="105"/>
    <x v="0"/>
    <x v="0"/>
    <s v="Autoclave-02"/>
    <s v="OP-025"/>
    <x v="1"/>
    <n v="109"/>
    <n v="115"/>
    <n v="6"/>
    <n v="9"/>
    <n v="39199.06"/>
    <n v="4.26"/>
    <n v="76.680000000000007"/>
    <n v="164"/>
    <d v="2026-03-18T00:00:00"/>
    <d v="2026-03-22T00:00:00"/>
    <x v="0"/>
    <s v="SkyWorks"/>
  </r>
  <r>
    <s v="PRD-00731"/>
    <x v="136"/>
    <x v="3"/>
    <x v="3"/>
    <s v="Laser-01"/>
    <s v="OP-009"/>
    <x v="1"/>
    <n v="208"/>
    <n v="209"/>
    <n v="12"/>
    <n v="8.1999999999999993"/>
    <n v="24537.38"/>
    <n v="5.8"/>
    <n v="104.4"/>
    <n v="274"/>
    <d v="2026-07-08T00:00:00"/>
    <d v="2026-07-08T00:00:00"/>
    <x v="0"/>
    <s v="Precision Air"/>
  </r>
  <r>
    <s v="PRD-00732"/>
    <x v="50"/>
    <x v="4"/>
    <x v="4"/>
    <s v="Assembly-01"/>
    <s v="OP-013"/>
    <x v="1"/>
    <n v="136"/>
    <n v="111"/>
    <n v="7"/>
    <n v="2"/>
    <n v="24503.69"/>
    <n v="3.62"/>
    <n v="86.88"/>
    <n v="203"/>
    <d v="2026-06-24T00:00:00"/>
    <d v="2026-06-25T00:00:00"/>
    <x v="1"/>
    <s v="Precision Air"/>
  </r>
  <r>
    <s v="PRD-00733"/>
    <x v="34"/>
    <x v="4"/>
    <x v="4"/>
    <s v="Assembly-02"/>
    <s v="OP-003"/>
    <x v="0"/>
    <n v="161"/>
    <n v="139"/>
    <n v="6"/>
    <n v="4.2"/>
    <n v="27889.49"/>
    <n v="4.83"/>
    <n v="115.92"/>
    <n v="186"/>
    <d v="2026-01-12T00:00:00"/>
    <d v="2026-01-10T00:00:00"/>
    <x v="1"/>
    <s v="Global Aero Systems"/>
  </r>
  <r>
    <s v="PRD-00734"/>
    <x v="172"/>
    <x v="4"/>
    <x v="4"/>
    <s v="Assembly-01"/>
    <s v="OP-014"/>
    <x v="1"/>
    <n v="133"/>
    <n v="138"/>
    <n v="7"/>
    <n v="2.7"/>
    <n v="29705.5"/>
    <n v="4.03"/>
    <n v="80.599999999999994"/>
    <n v="135"/>
    <d v="2026-06-04T00:00:00"/>
    <d v="2026-06-05T00:00:00"/>
    <x v="1"/>
    <s v="AeroTech UK"/>
  </r>
  <r>
    <s v="PRD-00735"/>
    <x v="114"/>
    <x v="5"/>
    <x v="5"/>
    <s v="Surface-01"/>
    <s v="OP-018"/>
    <x v="1"/>
    <n v="176"/>
    <n v="196"/>
    <n v="3"/>
    <n v="5.5"/>
    <n v="28126.81"/>
    <n v="4.55"/>
    <n v="81.900000000000006"/>
    <n v="210"/>
    <d v="2026-03-18T00:00:00"/>
    <d v="2026-03-18T00:00:00"/>
    <x v="2"/>
    <s v="SkyWorks"/>
  </r>
  <r>
    <s v="PRD-00736"/>
    <x v="89"/>
    <x v="2"/>
    <x v="2"/>
    <s v="Repair-02"/>
    <s v="OP-028"/>
    <x v="1"/>
    <n v="161"/>
    <n v="169"/>
    <n v="10"/>
    <n v="6"/>
    <n v="17199.22"/>
    <n v="5.62"/>
    <n v="146.12"/>
    <n v="258"/>
    <d v="2026-03-07T00:00:00"/>
    <d v="2026-03-09T00:00:00"/>
    <x v="0"/>
    <s v="Global Aero Systems"/>
  </r>
  <r>
    <s v="PRD-00737"/>
    <x v="30"/>
    <x v="6"/>
    <x v="4"/>
    <s v="Assembly-02"/>
    <s v="OP-014"/>
    <x v="2"/>
    <n v="120"/>
    <n v="134"/>
    <n v="2"/>
    <n v="2.6"/>
    <n v="22623.13"/>
    <n v="3.9"/>
    <n v="78"/>
    <n v="105"/>
    <d v="2026-05-07T00:00:00"/>
    <d v="2026-05-09T00:00:00"/>
    <x v="2"/>
    <s v="AeroTech UK"/>
  </r>
  <r>
    <s v="PRD-00738"/>
    <x v="18"/>
    <x v="1"/>
    <x v="1"/>
    <s v="CNC-02"/>
    <s v="OP-012"/>
    <x v="2"/>
    <n v="236"/>
    <n v="232"/>
    <n v="22"/>
    <n v="5.4"/>
    <n v="64321.38"/>
    <n v="5.99"/>
    <n v="119.8"/>
    <n v="238"/>
    <d v="2026-06-19T00:00:00"/>
    <d v="2026-06-23T00:00:00"/>
    <x v="0"/>
    <s v="Precision Air"/>
  </r>
  <r>
    <s v="PRD-00739"/>
    <x v="23"/>
    <x v="2"/>
    <x v="2"/>
    <s v="Repair-01"/>
    <s v="OP-029"/>
    <x v="2"/>
    <n v="297"/>
    <n v="330"/>
    <n v="15"/>
    <n v="6.5"/>
    <n v="27328.1"/>
    <n v="11.59"/>
    <n v="231.8"/>
    <n v="339"/>
    <d v="2026-06-21T00:00:00"/>
    <d v="2026-06-21T00:00:00"/>
    <x v="0"/>
    <s v="NorthStar Aviation"/>
  </r>
  <r>
    <s v="PRD-00740"/>
    <x v="145"/>
    <x v="5"/>
    <x v="5"/>
    <s v="Surface-02"/>
    <s v="OP-024"/>
    <x v="2"/>
    <n v="142"/>
    <n v="143"/>
    <n v="6"/>
    <n v="2.2000000000000002"/>
    <n v="17867.95"/>
    <n v="4.78"/>
    <n v="124.28"/>
    <n v="186"/>
    <d v="2026-06-01T00:00:00"/>
    <d v="2026-06-01T00:00:00"/>
    <x v="2"/>
    <s v="AeroTech UK"/>
  </r>
  <r>
    <s v="PRD-00741"/>
    <x v="72"/>
    <x v="2"/>
    <x v="2"/>
    <s v="Repair-02"/>
    <s v="OP-027"/>
    <x v="0"/>
    <n v="300"/>
    <n v="265"/>
    <n v="20"/>
    <n v="8.6"/>
    <n v="28044.85"/>
    <n v="9.32"/>
    <n v="242.32"/>
    <n v="396"/>
    <d v="2026-01-11T00:00:00"/>
    <d v="2026-01-15T00:00:00"/>
    <x v="2"/>
    <s v="AeroTech UK"/>
  </r>
  <r>
    <s v="PRD-00742"/>
    <x v="140"/>
    <x v="2"/>
    <x v="2"/>
    <s v="Repair-01"/>
    <s v="OP-022"/>
    <x v="1"/>
    <n v="173"/>
    <n v="154"/>
    <n v="13"/>
    <n v="5.7"/>
    <n v="14941.04"/>
    <n v="3.15"/>
    <n v="69.3"/>
    <n v="161"/>
    <d v="2026-03-20T00:00:00"/>
    <d v="2026-03-21T00:00:00"/>
    <x v="2"/>
    <s v="NorthStar Aviation"/>
  </r>
  <r>
    <s v="PRD-00743"/>
    <x v="148"/>
    <x v="5"/>
    <x v="5"/>
    <s v="Surface-01"/>
    <s v="OP-026"/>
    <x v="1"/>
    <n v="147"/>
    <n v="111"/>
    <n v="6"/>
    <n v="0.7"/>
    <n v="18097.34"/>
    <n v="2.65"/>
    <n v="58.3"/>
    <n v="194"/>
    <d v="2026-03-10T00:00:00"/>
    <d v="2026-03-14T00:00:00"/>
    <x v="0"/>
    <s v="SkyWorks"/>
  </r>
  <r>
    <s v="PRD-00744"/>
    <x v="138"/>
    <x v="6"/>
    <x v="4"/>
    <s v="Assembly-03"/>
    <s v="OP-023"/>
    <x v="1"/>
    <n v="89"/>
    <n v="93"/>
    <n v="1"/>
    <n v="2.6"/>
    <n v="14103.98"/>
    <n v="2.48"/>
    <n v="54.56"/>
    <n v="128"/>
    <d v="2026-05-30T00:00:00"/>
    <d v="2026-05-30T00:00:00"/>
    <x v="2"/>
    <s v="SkyWorks"/>
  </r>
  <r>
    <s v="PRD-00745"/>
    <x v="107"/>
    <x v="3"/>
    <x v="3"/>
    <s v="Press-01"/>
    <s v="OP-024"/>
    <x v="0"/>
    <n v="235"/>
    <n v="198"/>
    <n v="7"/>
    <n v="5.7"/>
    <n v="17817.32"/>
    <n v="5"/>
    <n v="130"/>
    <n v="198"/>
    <d v="2026-02-15T00:00:00"/>
    <d v="2026-02-16T00:00:00"/>
    <x v="1"/>
    <s v="Global Aero Systems"/>
  </r>
  <r>
    <s v="PRD-00746"/>
    <x v="129"/>
    <x v="3"/>
    <x v="3"/>
    <s v="Laser-01"/>
    <s v="OP-029"/>
    <x v="1"/>
    <n v="244"/>
    <n v="192"/>
    <n v="15"/>
    <n v="2.8"/>
    <n v="23641.73"/>
    <n v="5.69"/>
    <n v="113.8"/>
    <n v="338"/>
    <d v="2026-05-12T00:00:00"/>
    <d v="2026-05-12T00:00:00"/>
    <x v="2"/>
    <s v="AeroTech UK"/>
  </r>
  <r>
    <s v="PRD-00747"/>
    <x v="112"/>
    <x v="0"/>
    <x v="0"/>
    <s v="Autoclave-02"/>
    <s v="OP-029"/>
    <x v="2"/>
    <n v="137"/>
    <n v="116"/>
    <n v="2"/>
    <n v="2.5"/>
    <n v="44526.93"/>
    <n v="3.9"/>
    <n v="85.8"/>
    <n v="224"/>
    <d v="2026-06-30T00:00:00"/>
    <d v="2026-06-28T00:00:00"/>
    <x v="1"/>
    <s v="NorthStar Aviation"/>
  </r>
  <r>
    <s v="PRD-00748"/>
    <x v="99"/>
    <x v="7"/>
    <x v="0"/>
    <s v="Autoclave-02"/>
    <s v="OP-009"/>
    <x v="0"/>
    <n v="240"/>
    <n v="183"/>
    <n v="6"/>
    <n v="0.6"/>
    <n v="50205.13"/>
    <n v="6.55"/>
    <n v="117.9"/>
    <n v="214"/>
    <d v="2026-04-13T00:00:00"/>
    <d v="2026-04-13T00:00:00"/>
    <x v="0"/>
    <s v="NorthStar Aviation"/>
  </r>
  <r>
    <s v="PRD-00749"/>
    <x v="136"/>
    <x v="1"/>
    <x v="1"/>
    <s v="CNC-02"/>
    <s v="OP-007"/>
    <x v="2"/>
    <n v="256"/>
    <n v="263"/>
    <n v="5"/>
    <n v="8.8000000000000007"/>
    <n v="51772.39"/>
    <n v="9.42"/>
    <n v="169.56"/>
    <n v="249"/>
    <d v="2026-07-06T00:00:00"/>
    <d v="2026-07-06T00:00:00"/>
    <x v="0"/>
    <s v="NorthStar Aviation"/>
  </r>
  <r>
    <s v="PRD-00750"/>
    <x v="113"/>
    <x v="5"/>
    <x v="5"/>
    <s v="Surface-02"/>
    <s v="OP-019"/>
    <x v="2"/>
    <n v="105"/>
    <n v="99"/>
    <n v="7"/>
    <n v="2.9"/>
    <n v="13621.51"/>
    <n v="2.06"/>
    <n v="37.08"/>
    <n v="186"/>
    <d v="2026-06-04T00:00:00"/>
    <d v="2026-06-03T00:00:00"/>
    <x v="1"/>
    <s v="Precision Air"/>
  </r>
  <r>
    <s v="PRD-00751"/>
    <x v="29"/>
    <x v="6"/>
    <x v="4"/>
    <s v="Assembly-03"/>
    <s v="OP-020"/>
    <x v="1"/>
    <n v="82"/>
    <n v="79"/>
    <n v="6"/>
    <n v="1"/>
    <n v="16882"/>
    <n v="1.79"/>
    <n v="46.54"/>
    <n v="166"/>
    <d v="2026-05-07T00:00:00"/>
    <d v="2026-05-07T00:00:00"/>
    <x v="2"/>
    <s v="Global Aero Systems"/>
  </r>
  <r>
    <s v="PRD-00752"/>
    <x v="125"/>
    <x v="3"/>
    <x v="3"/>
    <s v="Laser-01"/>
    <s v="OP-025"/>
    <x v="2"/>
    <n v="209"/>
    <n v="193"/>
    <n v="5"/>
    <n v="5.8"/>
    <n v="20926.84"/>
    <n v="5.05"/>
    <n v="131.30000000000001"/>
    <n v="297"/>
    <d v="2026-06-17T00:00:00"/>
    <d v="2026-06-21T00:00:00"/>
    <x v="0"/>
    <s v="Global Aero Systems"/>
  </r>
  <r>
    <s v="PRD-00753"/>
    <x v="117"/>
    <x v="4"/>
    <x v="4"/>
    <s v="Assembly-03"/>
    <s v="OP-025"/>
    <x v="2"/>
    <n v="200"/>
    <n v="186"/>
    <n v="3"/>
    <n v="6.8"/>
    <n v="35231.75"/>
    <n v="7.2"/>
    <n v="158.4"/>
    <n v="297"/>
    <d v="2026-01-06T00:00:00"/>
    <d v="2026-01-06T00:00:00"/>
    <x v="0"/>
    <s v="NorthStar Aviation"/>
  </r>
  <r>
    <s v="PRD-00754"/>
    <x v="130"/>
    <x v="6"/>
    <x v="4"/>
    <s v="Assembly-02"/>
    <s v="OP-020"/>
    <x v="0"/>
    <n v="276"/>
    <n v="261"/>
    <n v="3"/>
    <n v="2.7"/>
    <n v="48274.8"/>
    <n v="5.67"/>
    <n v="113.4"/>
    <n v="285"/>
    <d v="2026-03-28T00:00:00"/>
    <d v="2026-03-28T00:00:00"/>
    <x v="0"/>
    <s v="NorthStar Aviation"/>
  </r>
  <r>
    <s v="PRD-00755"/>
    <x v="139"/>
    <x v="5"/>
    <x v="5"/>
    <s v="Surface-02"/>
    <s v="OP-010"/>
    <x v="1"/>
    <n v="279"/>
    <n v="288"/>
    <n v="7"/>
    <n v="2.4"/>
    <n v="51842.09"/>
    <n v="7.75"/>
    <n v="170.5"/>
    <n v="324"/>
    <d v="2026-04-01T00:00:00"/>
    <d v="2026-04-02T00:00:00"/>
    <x v="2"/>
    <s v="Precision Air"/>
  </r>
  <r>
    <s v="PRD-00756"/>
    <x v="147"/>
    <x v="2"/>
    <x v="2"/>
    <s v="Repair-01"/>
    <s v="OP-010"/>
    <x v="1"/>
    <n v="275"/>
    <n v="309"/>
    <n v="3"/>
    <n v="3.7"/>
    <n v="27057.9"/>
    <n v="8.9499999999999993"/>
    <n v="196.9"/>
    <n v="239"/>
    <d v="2026-04-16T00:00:00"/>
    <d v="2026-04-16T00:00:00"/>
    <x v="0"/>
    <s v="AeroTech UK"/>
  </r>
  <r>
    <s v="PRD-00757"/>
    <x v="62"/>
    <x v="2"/>
    <x v="2"/>
    <s v="Repair-02"/>
    <s v="OP-024"/>
    <x v="0"/>
    <n v="163"/>
    <n v="156"/>
    <n v="11"/>
    <n v="7.2"/>
    <n v="14731.5"/>
    <n v="3.83"/>
    <n v="68.94"/>
    <n v="185"/>
    <d v="2026-03-28T00:00:00"/>
    <d v="2026-03-29T00:00:00"/>
    <x v="2"/>
    <s v="Global Aero Systems"/>
  </r>
  <r>
    <s v="PRD-00758"/>
    <x v="162"/>
    <x v="2"/>
    <x v="2"/>
    <s v="Repair-02"/>
    <s v="OP-005"/>
    <x v="0"/>
    <n v="143"/>
    <n v="120"/>
    <n v="7"/>
    <n v="3.4"/>
    <n v="9817.43"/>
    <n v="2.96"/>
    <n v="65.12"/>
    <n v="215"/>
    <d v="2026-01-18T00:00:00"/>
    <d v="2026-01-17T00:00:00"/>
    <x v="2"/>
    <s v="AeroTech UK"/>
  </r>
  <r>
    <s v="PRD-00759"/>
    <x v="139"/>
    <x v="2"/>
    <x v="2"/>
    <s v="Repair-01"/>
    <s v="OP-025"/>
    <x v="2"/>
    <n v="303"/>
    <n v="237"/>
    <n v="7"/>
    <n v="1.8"/>
    <n v="17317.57"/>
    <n v="7.52"/>
    <n v="165.44"/>
    <n v="398"/>
    <d v="2026-03-31T00:00:00"/>
    <d v="2026-03-29T00:00:00"/>
    <x v="0"/>
    <s v="SkyWorks"/>
  </r>
  <r>
    <s v="PRD-00760"/>
    <x v="75"/>
    <x v="5"/>
    <x v="5"/>
    <s v="Surface-01"/>
    <s v="OP-014"/>
    <x v="1"/>
    <n v="127"/>
    <n v="108"/>
    <n v="2"/>
    <n v="3.3"/>
    <n v="15494.84"/>
    <n v="2.62"/>
    <n v="68.12"/>
    <n v="92"/>
    <d v="2026-04-07T00:00:00"/>
    <d v="2026-04-06T00:00:00"/>
    <x v="2"/>
    <s v="Global Aero Systems"/>
  </r>
  <r>
    <s v="PRD-00761"/>
    <x v="134"/>
    <x v="7"/>
    <x v="0"/>
    <s v="CNC-01"/>
    <s v="OP-024"/>
    <x v="2"/>
    <n v="175"/>
    <n v="127"/>
    <n v="5"/>
    <n v="0.3"/>
    <n v="36631.08"/>
    <n v="4.6900000000000004"/>
    <n v="112.56"/>
    <n v="207"/>
    <d v="2026-01-24T00:00:00"/>
    <d v="2026-01-25T00:00:00"/>
    <x v="0"/>
    <s v="Precision Air"/>
  </r>
  <r>
    <s v="PRD-00762"/>
    <x v="2"/>
    <x v="0"/>
    <x v="0"/>
    <s v="CNC-01"/>
    <s v="OP-029"/>
    <x v="0"/>
    <n v="120"/>
    <n v="127"/>
    <n v="10"/>
    <n v="0.8"/>
    <n v="48780.44"/>
    <n v="5.31"/>
    <n v="95.58"/>
    <n v="190"/>
    <d v="2026-01-30T00:00:00"/>
    <d v="2026-02-03T00:00:00"/>
    <x v="2"/>
    <s v="NorthStar Aviation"/>
  </r>
  <r>
    <s v="PRD-00763"/>
    <x v="52"/>
    <x v="4"/>
    <x v="4"/>
    <s v="Assembly-01"/>
    <s v="OP-020"/>
    <x v="1"/>
    <n v="126"/>
    <n v="125"/>
    <n v="4"/>
    <n v="4.7"/>
    <n v="29028.62"/>
    <n v="3.55"/>
    <n v="63.9"/>
    <n v="188"/>
    <d v="2026-06-27T00:00:00"/>
    <d v="2026-06-27T00:00:00"/>
    <x v="0"/>
    <s v="AeroTech UK"/>
  </r>
  <r>
    <s v="PRD-00764"/>
    <x v="15"/>
    <x v="1"/>
    <x v="1"/>
    <s v="CNC-03"/>
    <s v="OP-025"/>
    <x v="2"/>
    <n v="189"/>
    <n v="148"/>
    <n v="12"/>
    <n v="5.3"/>
    <n v="37415.699999999997"/>
    <n v="4.99"/>
    <n v="99.8"/>
    <n v="239"/>
    <d v="2026-01-14T00:00:00"/>
    <d v="2026-01-14T00:00:00"/>
    <x v="0"/>
    <s v="NorthStar Aviation"/>
  </r>
  <r>
    <s v="PRD-00765"/>
    <x v="130"/>
    <x v="3"/>
    <x v="3"/>
    <s v="Press-01"/>
    <s v="OP-010"/>
    <x v="2"/>
    <n v="86"/>
    <n v="81"/>
    <n v="7"/>
    <n v="0.4"/>
    <n v="7904.73"/>
    <n v="1.59"/>
    <n v="34.979999999999997"/>
    <n v="108"/>
    <d v="2026-04-01T00:00:00"/>
    <d v="2026-04-01T00:00:00"/>
    <x v="0"/>
    <s v="Global Aero Systems"/>
  </r>
  <r>
    <s v="PRD-00766"/>
    <x v="27"/>
    <x v="1"/>
    <x v="1"/>
    <s v="CNC-02"/>
    <s v="OP-015"/>
    <x v="1"/>
    <n v="277"/>
    <n v="241"/>
    <n v="4"/>
    <n v="8.1"/>
    <n v="58716.94"/>
    <n v="6.51"/>
    <n v="156.24"/>
    <n v="290"/>
    <d v="2026-03-19T00:00:00"/>
    <d v="2026-03-17T00:00:00"/>
    <x v="2"/>
    <s v="NorthStar Aviation"/>
  </r>
  <r>
    <s v="PRD-00767"/>
    <x v="59"/>
    <x v="2"/>
    <x v="2"/>
    <s v="Repair-01"/>
    <s v="OP-007"/>
    <x v="2"/>
    <n v="103"/>
    <n v="117"/>
    <n v="5"/>
    <n v="5.2"/>
    <n v="9858.7099999999991"/>
    <n v="2.69"/>
    <n v="64.56"/>
    <n v="154"/>
    <d v="2026-03-01T00:00:00"/>
    <d v="2026-03-03T00:00:00"/>
    <x v="0"/>
    <s v="Precision Air"/>
  </r>
  <r>
    <s v="PRD-00768"/>
    <x v="75"/>
    <x v="5"/>
    <x v="5"/>
    <s v="Surface-02"/>
    <s v="OP-028"/>
    <x v="0"/>
    <n v="210"/>
    <n v="161"/>
    <n v="7"/>
    <n v="0.1"/>
    <n v="24834.45"/>
    <n v="6.21"/>
    <n v="136.62"/>
    <n v="262"/>
    <d v="2026-04-09T00:00:00"/>
    <d v="2026-04-08T00:00:00"/>
    <x v="2"/>
    <s v="SkyWorks"/>
  </r>
  <r>
    <s v="PRD-00769"/>
    <x v="38"/>
    <x v="0"/>
    <x v="0"/>
    <s v="CNC-01"/>
    <s v="OP-001"/>
    <x v="2"/>
    <n v="244"/>
    <n v="260"/>
    <n v="21"/>
    <n v="0.1"/>
    <n v="104314.43"/>
    <n v="10.28"/>
    <n v="185.04"/>
    <n v="240"/>
    <d v="2026-03-05T00:00:00"/>
    <d v="2026-03-05T00:00:00"/>
    <x v="1"/>
    <s v="Precision Air"/>
  </r>
  <r>
    <s v="PRD-00770"/>
    <x v="107"/>
    <x v="3"/>
    <x v="3"/>
    <s v="Bender-01"/>
    <s v="OP-030"/>
    <x v="0"/>
    <n v="200"/>
    <n v="209"/>
    <n v="2"/>
    <n v="7.2"/>
    <n v="28987.81"/>
    <n v="5.63"/>
    <n v="135.12"/>
    <n v="200"/>
    <d v="2026-02-17T00:00:00"/>
    <d v="2026-02-17T00:00:00"/>
    <x v="0"/>
    <s v="NorthStar Aviation"/>
  </r>
  <r>
    <s v="PRD-00771"/>
    <x v="112"/>
    <x v="3"/>
    <x v="3"/>
    <s v="Laser-01"/>
    <s v="OP-001"/>
    <x v="1"/>
    <n v="305"/>
    <n v="340"/>
    <n v="25"/>
    <n v="0.3"/>
    <n v="34765.97"/>
    <n v="9.17"/>
    <n v="201.74"/>
    <n v="347"/>
    <d v="2026-06-23T00:00:00"/>
    <d v="2026-06-21T00:00:00"/>
    <x v="0"/>
    <s v="AeroTech UK"/>
  </r>
  <r>
    <s v="PRD-00772"/>
    <x v="161"/>
    <x v="2"/>
    <x v="2"/>
    <s v="Repair-01"/>
    <s v="OP-015"/>
    <x v="1"/>
    <n v="218"/>
    <n v="192"/>
    <n v="11"/>
    <n v="4.7"/>
    <n v="13489.74"/>
    <n v="7.59"/>
    <n v="136.62"/>
    <n v="285"/>
    <d v="2026-02-09T00:00:00"/>
    <d v="2026-02-08T00:00:00"/>
    <x v="2"/>
    <s v="Precision Air"/>
  </r>
  <r>
    <s v="PRD-00773"/>
    <x v="39"/>
    <x v="3"/>
    <x v="3"/>
    <s v="Bender-01"/>
    <s v="OP-007"/>
    <x v="2"/>
    <n v="287"/>
    <n v="285"/>
    <n v="9"/>
    <n v="4.2"/>
    <n v="34520.400000000001"/>
    <n v="9.6199999999999992"/>
    <n v="211.64"/>
    <n v="271"/>
    <d v="2026-05-02T00:00:00"/>
    <d v="2026-05-06T00:00:00"/>
    <x v="1"/>
    <s v="NorthStar Aviation"/>
  </r>
  <r>
    <s v="PRD-00774"/>
    <x v="78"/>
    <x v="3"/>
    <x v="3"/>
    <s v="Press-01"/>
    <s v="OP-023"/>
    <x v="1"/>
    <n v="137"/>
    <n v="137"/>
    <n v="9"/>
    <n v="6.5"/>
    <n v="15289.47"/>
    <n v="3.29"/>
    <n v="72.38"/>
    <n v="144"/>
    <d v="2026-05-24T00:00:00"/>
    <d v="2026-05-24T00:00:00"/>
    <x v="0"/>
    <s v="Precision Air"/>
  </r>
  <r>
    <s v="PRD-00775"/>
    <x v="123"/>
    <x v="6"/>
    <x v="4"/>
    <s v="Assembly-01"/>
    <s v="OP-005"/>
    <x v="0"/>
    <n v="163"/>
    <n v="146"/>
    <n v="9"/>
    <n v="5.2"/>
    <n v="25807.79"/>
    <n v="5.8"/>
    <n v="139.19999999999999"/>
    <n v="135"/>
    <d v="2026-05-19T00:00:00"/>
    <d v="2026-05-19T00:00:00"/>
    <x v="0"/>
    <s v="AeroTech UK"/>
  </r>
  <r>
    <s v="PRD-00776"/>
    <x v="49"/>
    <x v="3"/>
    <x v="3"/>
    <s v="Laser-01"/>
    <s v="OP-009"/>
    <x v="0"/>
    <n v="162"/>
    <n v="117"/>
    <n v="5"/>
    <n v="7.7"/>
    <n v="13406.42"/>
    <n v="4.83"/>
    <n v="115.92"/>
    <n v="237"/>
    <d v="2026-03-07T00:00:00"/>
    <d v="2026-03-11T00:00:00"/>
    <x v="1"/>
    <s v="Global Aero Systems"/>
  </r>
  <r>
    <s v="PRD-00777"/>
    <x v="104"/>
    <x v="6"/>
    <x v="4"/>
    <s v="Assembly-03"/>
    <s v="OP-025"/>
    <x v="0"/>
    <n v="276"/>
    <n v="259"/>
    <n v="9"/>
    <n v="9"/>
    <n v="38412.53"/>
    <n v="10.08"/>
    <n v="262.08"/>
    <n v="352"/>
    <d v="2026-02-12T00:00:00"/>
    <d v="2026-02-11T00:00:00"/>
    <x v="0"/>
    <s v="SkyWorks"/>
  </r>
  <r>
    <s v="PRD-00778"/>
    <x v="127"/>
    <x v="4"/>
    <x v="4"/>
    <s v="Assembly-02"/>
    <s v="OP-014"/>
    <x v="0"/>
    <n v="244"/>
    <n v="178"/>
    <n v="9"/>
    <n v="0.9"/>
    <n v="45378.32"/>
    <n v="3.72"/>
    <n v="81.84"/>
    <n v="236"/>
    <d v="2026-01-24T00:00:00"/>
    <d v="2026-01-24T00:00:00"/>
    <x v="2"/>
    <s v="AeroTech UK"/>
  </r>
  <r>
    <s v="PRD-00779"/>
    <x v="151"/>
    <x v="3"/>
    <x v="3"/>
    <s v="Laser-01"/>
    <s v="OP-028"/>
    <x v="0"/>
    <n v="289"/>
    <n v="325"/>
    <n v="30"/>
    <n v="1.8"/>
    <n v="39661.75"/>
    <n v="5.98"/>
    <n v="131.56"/>
    <n v="383"/>
    <d v="2026-05-21T00:00:00"/>
    <d v="2026-05-21T00:00:00"/>
    <x v="1"/>
    <s v="Precision Air"/>
  </r>
  <r>
    <s v="PRD-00780"/>
    <x v="134"/>
    <x v="4"/>
    <x v="4"/>
    <s v="Assembly-03"/>
    <s v="OP-009"/>
    <x v="2"/>
    <n v="138"/>
    <n v="140"/>
    <n v="13"/>
    <n v="1.5"/>
    <n v="25749.56"/>
    <n v="4.6500000000000004"/>
    <n v="120.9"/>
    <n v="155"/>
    <d v="2026-01-17T00:00:00"/>
    <d v="2026-01-19T00:00:00"/>
    <x v="0"/>
    <s v="Global Aero Systems"/>
  </r>
  <r>
    <s v="PRD-00781"/>
    <x v="115"/>
    <x v="2"/>
    <x v="2"/>
    <s v="Repair-02"/>
    <s v="OP-025"/>
    <x v="1"/>
    <n v="308"/>
    <n v="284"/>
    <n v="9"/>
    <n v="6.5"/>
    <n v="21504.62"/>
    <n v="9.94"/>
    <n v="218.68"/>
    <n v="321"/>
    <d v="2026-03-28T00:00:00"/>
    <d v="2026-03-27T00:00:00"/>
    <x v="0"/>
    <s v="NorthStar Aviation"/>
  </r>
  <r>
    <s v="PRD-00782"/>
    <x v="161"/>
    <x v="5"/>
    <x v="5"/>
    <s v="Surface-01"/>
    <s v="OP-008"/>
    <x v="1"/>
    <n v="275"/>
    <n v="312"/>
    <n v="28"/>
    <n v="8.8000000000000007"/>
    <n v="38926.550000000003"/>
    <n v="8.75"/>
    <n v="227.5"/>
    <n v="284"/>
    <d v="2026-02-11T00:00:00"/>
    <d v="2026-02-12T00:00:00"/>
    <x v="0"/>
    <s v="NorthStar Aviation"/>
  </r>
  <r>
    <s v="PRD-00783"/>
    <x v="83"/>
    <x v="0"/>
    <x v="0"/>
    <s v="CNC-01"/>
    <s v="OP-016"/>
    <x v="2"/>
    <n v="269"/>
    <n v="261"/>
    <n v="17"/>
    <n v="1.9"/>
    <n v="69216.97"/>
    <n v="6.75"/>
    <n v="121.5"/>
    <n v="362"/>
    <d v="2026-04-19T00:00:00"/>
    <d v="2026-04-18T00:00:00"/>
    <x v="1"/>
    <s v="Global Aero Systems"/>
  </r>
  <r>
    <s v="PRD-00784"/>
    <x v="175"/>
    <x v="0"/>
    <x v="0"/>
    <s v="CNC-01"/>
    <s v="OP-014"/>
    <x v="0"/>
    <n v="270"/>
    <n v="265"/>
    <n v="4"/>
    <n v="7.9"/>
    <n v="99192.82"/>
    <n v="10.34"/>
    <n v="186.12"/>
    <n v="327"/>
    <d v="2026-03-24T00:00:00"/>
    <d v="2026-03-23T00:00:00"/>
    <x v="2"/>
    <s v="NorthStar Aviation"/>
  </r>
  <r>
    <s v="PRD-00785"/>
    <x v="155"/>
    <x v="5"/>
    <x v="5"/>
    <s v="Surface-02"/>
    <s v="OP-028"/>
    <x v="1"/>
    <n v="137"/>
    <n v="129"/>
    <n v="1"/>
    <n v="6.6"/>
    <n v="23580.83"/>
    <n v="3.07"/>
    <n v="73.680000000000007"/>
    <n v="207"/>
    <d v="2026-07-05T00:00:00"/>
    <d v="2026-07-03T00:00:00"/>
    <x v="0"/>
    <s v="SkyWorks"/>
  </r>
  <r>
    <s v="PRD-00786"/>
    <x v="126"/>
    <x v="4"/>
    <x v="4"/>
    <s v="Assembly-02"/>
    <s v="OP-004"/>
    <x v="0"/>
    <n v="250"/>
    <n v="269"/>
    <n v="25"/>
    <n v="0.7"/>
    <n v="49855.33"/>
    <n v="6.41"/>
    <n v="153.84"/>
    <n v="266"/>
    <d v="2026-03-17T00:00:00"/>
    <d v="2026-03-19T00:00:00"/>
    <x v="0"/>
    <s v="Global Aero Systems"/>
  </r>
  <r>
    <s v="PRD-00787"/>
    <x v="172"/>
    <x v="2"/>
    <x v="2"/>
    <s v="Repair-02"/>
    <s v="OP-023"/>
    <x v="0"/>
    <n v="90"/>
    <n v="88"/>
    <n v="5"/>
    <n v="7.1"/>
    <n v="9617.9599999999991"/>
    <n v="1.83"/>
    <n v="36.6"/>
    <n v="142"/>
    <d v="2026-06-04T00:00:00"/>
    <d v="2026-06-06T00:00:00"/>
    <x v="2"/>
    <s v="AeroTech UK"/>
  </r>
  <r>
    <s v="PRD-00788"/>
    <x v="176"/>
    <x v="5"/>
    <x v="5"/>
    <s v="Surface-02"/>
    <s v="OP-021"/>
    <x v="1"/>
    <n v="226"/>
    <n v="246"/>
    <n v="2"/>
    <n v="3.6"/>
    <n v="41561.440000000002"/>
    <n v="6.98"/>
    <n v="125.64"/>
    <n v="241"/>
    <d v="2026-04-10T00:00:00"/>
    <d v="2026-04-10T00:00:00"/>
    <x v="0"/>
    <s v="AeroTech UK"/>
  </r>
  <r>
    <s v="PRD-00789"/>
    <x v="140"/>
    <x v="2"/>
    <x v="2"/>
    <s v="Repair-01"/>
    <s v="OP-023"/>
    <x v="0"/>
    <n v="266"/>
    <n v="243"/>
    <n v="20"/>
    <n v="3.2"/>
    <n v="22905.83"/>
    <n v="10.01"/>
    <n v="220.22"/>
    <n v="340"/>
    <d v="2026-03-18T00:00:00"/>
    <d v="2026-03-19T00:00:00"/>
    <x v="2"/>
    <s v="SkyWorks"/>
  </r>
  <r>
    <s v="PRD-00790"/>
    <x v="119"/>
    <x v="1"/>
    <x v="1"/>
    <s v="CNC-04"/>
    <s v="OP-018"/>
    <x v="0"/>
    <n v="277"/>
    <n v="302"/>
    <n v="19"/>
    <n v="6.7"/>
    <n v="80999.58"/>
    <n v="6.68"/>
    <n v="160.32"/>
    <n v="259"/>
    <d v="2026-02-18T00:00:00"/>
    <d v="2026-02-19T00:00:00"/>
    <x v="1"/>
    <s v="NorthStar Aviation"/>
  </r>
  <r>
    <s v="PRD-00791"/>
    <x v="171"/>
    <x v="6"/>
    <x v="4"/>
    <s v="Assembly-01"/>
    <s v="OP-029"/>
    <x v="1"/>
    <n v="314"/>
    <n v="323"/>
    <n v="20"/>
    <n v="2.8"/>
    <n v="51613.08"/>
    <n v="8.7799999999999994"/>
    <n v="193.16"/>
    <n v="398"/>
    <d v="2026-03-30T00:00:00"/>
    <d v="2026-03-31T00:00:00"/>
    <x v="2"/>
    <s v="NorthStar Aviation"/>
  </r>
  <r>
    <s v="PRD-00792"/>
    <x v="93"/>
    <x v="4"/>
    <x v="4"/>
    <s v="Assembly-01"/>
    <s v="OP-003"/>
    <x v="2"/>
    <n v="108"/>
    <n v="86"/>
    <n v="2"/>
    <n v="4.5999999999999996"/>
    <n v="17096.8"/>
    <n v="2.7"/>
    <n v="54"/>
    <n v="169"/>
    <d v="2026-02-24T00:00:00"/>
    <d v="2026-02-23T00:00:00"/>
    <x v="0"/>
    <s v="Precision Air"/>
  </r>
  <r>
    <s v="PRD-00793"/>
    <x v="42"/>
    <x v="2"/>
    <x v="2"/>
    <s v="Repair-02"/>
    <s v="OP-027"/>
    <x v="2"/>
    <n v="117"/>
    <n v="120"/>
    <n v="6"/>
    <n v="3.6"/>
    <n v="11374.33"/>
    <n v="4.91"/>
    <n v="108.02"/>
    <n v="98"/>
    <d v="2026-06-26T00:00:00"/>
    <d v="2026-06-26T00:00:00"/>
    <x v="2"/>
    <s v="NorthStar Aviation"/>
  </r>
  <r>
    <s v="PRD-00794"/>
    <x v="79"/>
    <x v="3"/>
    <x v="3"/>
    <s v="Bender-01"/>
    <s v="OP-001"/>
    <x v="0"/>
    <n v="150"/>
    <n v="109"/>
    <n v="2"/>
    <n v="6.3"/>
    <n v="12665.21"/>
    <n v="3.11"/>
    <n v="62.2"/>
    <n v="147"/>
    <d v="2026-05-23T00:00:00"/>
    <d v="2026-05-23T00:00:00"/>
    <x v="0"/>
    <s v="Global Aero Systems"/>
  </r>
  <r>
    <s v="PRD-00795"/>
    <x v="39"/>
    <x v="2"/>
    <x v="2"/>
    <s v="Repair-01"/>
    <s v="OP-012"/>
    <x v="2"/>
    <n v="185"/>
    <n v="148"/>
    <n v="7"/>
    <n v="3.6"/>
    <n v="15504.97"/>
    <n v="4.04"/>
    <n v="88.88"/>
    <n v="238"/>
    <d v="2026-04-29T00:00:00"/>
    <d v="2026-05-01T00:00:00"/>
    <x v="0"/>
    <s v="SkyWorks"/>
  </r>
  <r>
    <s v="PRD-00796"/>
    <x v="13"/>
    <x v="4"/>
    <x v="4"/>
    <s v="Assembly-01"/>
    <s v="OP-026"/>
    <x v="0"/>
    <n v="257"/>
    <n v="199"/>
    <n v="16"/>
    <n v="8.9"/>
    <n v="36548.75"/>
    <n v="4.2"/>
    <n v="109.2"/>
    <n v="338"/>
    <d v="2026-05-29T00:00:00"/>
    <d v="2026-05-30T00:00:00"/>
    <x v="0"/>
    <s v="NorthStar Aviation"/>
  </r>
  <r>
    <s v="PRD-00797"/>
    <x v="31"/>
    <x v="1"/>
    <x v="1"/>
    <s v="CNC-03"/>
    <s v="OP-021"/>
    <x v="2"/>
    <n v="148"/>
    <n v="143"/>
    <n v="1"/>
    <n v="5.6"/>
    <n v="32098.15"/>
    <n v="5.85"/>
    <n v="117"/>
    <n v="113"/>
    <d v="2026-04-10T00:00:00"/>
    <d v="2026-04-14T00:00:00"/>
    <x v="1"/>
    <s v="SkyWorks"/>
  </r>
  <r>
    <s v="PRD-00798"/>
    <x v="129"/>
    <x v="3"/>
    <x v="3"/>
    <s v="Press-01"/>
    <s v="OP-007"/>
    <x v="0"/>
    <n v="254"/>
    <n v="221"/>
    <n v="20"/>
    <n v="2.5"/>
    <n v="26154.21"/>
    <n v="4.12"/>
    <n v="107.12"/>
    <n v="339"/>
    <d v="2026-05-11T00:00:00"/>
    <d v="2026-05-11T00:00:00"/>
    <x v="2"/>
    <s v="Global Aero Systems"/>
  </r>
  <r>
    <s v="PRD-00799"/>
    <x v="9"/>
    <x v="6"/>
    <x v="4"/>
    <s v="Assembly-02"/>
    <s v="OP-019"/>
    <x v="2"/>
    <n v="139"/>
    <n v="134"/>
    <n v="11"/>
    <n v="8.5"/>
    <n v="20619.169999999998"/>
    <n v="4.5999999999999996"/>
    <n v="101.2"/>
    <n v="100"/>
    <d v="2026-04-01T00:00:00"/>
    <d v="2026-03-30T00:00:00"/>
    <x v="0"/>
    <s v="AeroTech UK"/>
  </r>
  <r>
    <s v="PRD-00800"/>
    <x v="103"/>
    <x v="0"/>
    <x v="0"/>
    <s v="CNC-01"/>
    <s v="OP-011"/>
    <x v="2"/>
    <n v="185"/>
    <n v="191"/>
    <n v="13"/>
    <n v="2.2000000000000002"/>
    <n v="68558.759999999995"/>
    <n v="4.26"/>
    <n v="85.2"/>
    <n v="152"/>
    <d v="2026-06-19T00:00:00"/>
    <d v="2026-06-23T00:00:00"/>
    <x v="0"/>
    <s v="AeroTech UK"/>
  </r>
  <r>
    <s v="PRD-00801"/>
    <x v="167"/>
    <x v="2"/>
    <x v="2"/>
    <s v="Repair-02"/>
    <s v="OP-013"/>
    <x v="2"/>
    <n v="177"/>
    <n v="180"/>
    <n v="3"/>
    <n v="3.1"/>
    <n v="13613.07"/>
    <n v="6.3"/>
    <n v="138.6"/>
    <n v="264"/>
    <d v="2026-04-17T00:00:00"/>
    <d v="2026-04-17T00:00:00"/>
    <x v="0"/>
    <s v="NorthStar Aviation"/>
  </r>
  <r>
    <s v="PRD-00802"/>
    <x v="31"/>
    <x v="0"/>
    <x v="0"/>
    <s v="Autoclave-02"/>
    <s v="OP-001"/>
    <x v="2"/>
    <n v="195"/>
    <n v="203"/>
    <n v="10"/>
    <n v="0.2"/>
    <n v="77061.66"/>
    <n v="3.94"/>
    <n v="86.68"/>
    <n v="179"/>
    <d v="2026-04-04T00:00:00"/>
    <d v="2026-04-02T00:00:00"/>
    <x v="1"/>
    <s v="SkyWorks"/>
  </r>
  <r>
    <s v="PRD-00803"/>
    <x v="152"/>
    <x v="6"/>
    <x v="4"/>
    <s v="Assembly-01"/>
    <s v="OP-028"/>
    <x v="0"/>
    <n v="284"/>
    <n v="315"/>
    <n v="17"/>
    <n v="7.7"/>
    <n v="58691"/>
    <n v="10.36"/>
    <n v="207.2"/>
    <n v="381"/>
    <d v="2026-04-14T00:00:00"/>
    <d v="2026-04-15T00:00:00"/>
    <x v="0"/>
    <s v="NorthStar Aviation"/>
  </r>
  <r>
    <s v="PRD-00804"/>
    <x v="88"/>
    <x v="4"/>
    <x v="4"/>
    <s v="Assembly-03"/>
    <s v="OP-030"/>
    <x v="1"/>
    <n v="125"/>
    <n v="137"/>
    <n v="9"/>
    <n v="7.9"/>
    <n v="21944.75"/>
    <n v="5.16"/>
    <n v="92.88"/>
    <n v="94"/>
    <d v="2026-06-13T00:00:00"/>
    <d v="2026-06-12T00:00:00"/>
    <x v="0"/>
    <s v="AeroTech UK"/>
  </r>
  <r>
    <s v="PRD-00805"/>
    <x v="31"/>
    <x v="3"/>
    <x v="3"/>
    <s v="Bender-01"/>
    <s v="OP-022"/>
    <x v="0"/>
    <n v="212"/>
    <n v="167"/>
    <n v="2"/>
    <n v="1.7"/>
    <n v="17704.23"/>
    <n v="4.3600000000000003"/>
    <n v="104.64"/>
    <n v="312"/>
    <d v="2026-04-08T00:00:00"/>
    <d v="2026-04-12T00:00:00"/>
    <x v="0"/>
    <s v="AeroTech UK"/>
  </r>
  <r>
    <s v="PRD-00806"/>
    <x v="165"/>
    <x v="1"/>
    <x v="1"/>
    <s v="CNC-03"/>
    <s v="OP-030"/>
    <x v="0"/>
    <n v="116"/>
    <n v="95"/>
    <n v="7"/>
    <n v="1.7"/>
    <n v="20173.349999999999"/>
    <n v="3.8"/>
    <n v="91.2"/>
    <n v="101"/>
    <d v="2026-04-07T00:00:00"/>
    <d v="2026-04-06T00:00:00"/>
    <x v="0"/>
    <s v="Precision Air"/>
  </r>
  <r>
    <s v="PRD-00807"/>
    <x v="145"/>
    <x v="2"/>
    <x v="2"/>
    <s v="Repair-01"/>
    <s v="OP-011"/>
    <x v="0"/>
    <n v="152"/>
    <n v="130"/>
    <n v="5"/>
    <n v="1.8"/>
    <n v="13610.19"/>
    <n v="3.7"/>
    <n v="66.599999999999994"/>
    <n v="237"/>
    <d v="2026-05-30T00:00:00"/>
    <d v="2026-06-03T00:00:00"/>
    <x v="0"/>
    <s v="Global Aero Systems"/>
  </r>
  <r>
    <s v="PRD-00808"/>
    <x v="168"/>
    <x v="2"/>
    <x v="2"/>
    <s v="Repair-02"/>
    <s v="OP-024"/>
    <x v="2"/>
    <n v="207"/>
    <n v="237"/>
    <n v="17"/>
    <n v="6.9"/>
    <n v="23556.79"/>
    <n v="4.5"/>
    <n v="81"/>
    <n v="245"/>
    <d v="2026-06-17T00:00:00"/>
    <d v="2026-06-17T00:00:00"/>
    <x v="0"/>
    <s v="Precision Air"/>
  </r>
  <r>
    <s v="PRD-00809"/>
    <x v="57"/>
    <x v="7"/>
    <x v="0"/>
    <s v="Autoclave-02"/>
    <s v="OP-030"/>
    <x v="2"/>
    <n v="178"/>
    <n v="142"/>
    <n v="13"/>
    <n v="0.5"/>
    <n v="46540.49"/>
    <n v="5.07"/>
    <n v="131.82"/>
    <n v="183"/>
    <d v="2026-01-18T00:00:00"/>
    <d v="2026-01-19T00:00:00"/>
    <x v="0"/>
    <s v="AeroTech UK"/>
  </r>
  <r>
    <s v="PRD-00810"/>
    <x v="87"/>
    <x v="3"/>
    <x v="3"/>
    <s v="Press-01"/>
    <s v="OP-029"/>
    <x v="2"/>
    <n v="262"/>
    <n v="224"/>
    <n v="15"/>
    <n v="4.5"/>
    <n v="27804.95"/>
    <n v="4.28"/>
    <n v="102.72"/>
    <n v="274"/>
    <d v="2026-05-01T00:00:00"/>
    <d v="2026-05-01T00:00:00"/>
    <x v="0"/>
    <s v="SkyWorks"/>
  </r>
  <r>
    <s v="PRD-00811"/>
    <x v="142"/>
    <x v="2"/>
    <x v="2"/>
    <s v="Repair-01"/>
    <s v="OP-023"/>
    <x v="2"/>
    <n v="175"/>
    <n v="195"/>
    <n v="8"/>
    <n v="1.4"/>
    <n v="19199.02"/>
    <n v="4.72"/>
    <n v="113.28"/>
    <n v="214"/>
    <d v="2026-02-20T00:00:00"/>
    <d v="2026-02-20T00:00:00"/>
    <x v="2"/>
    <s v="Global Aero Systems"/>
  </r>
  <r>
    <s v="PRD-00812"/>
    <x v="120"/>
    <x v="2"/>
    <x v="2"/>
    <s v="Repair-02"/>
    <s v="OP-021"/>
    <x v="2"/>
    <n v="295"/>
    <n v="326"/>
    <n v="25"/>
    <n v="4.4000000000000004"/>
    <n v="32151.94"/>
    <n v="8.9600000000000009"/>
    <n v="215.04"/>
    <n v="287"/>
    <d v="2026-04-28T00:00:00"/>
    <d v="2026-04-28T00:00:00"/>
    <x v="0"/>
    <s v="AeroTech UK"/>
  </r>
  <r>
    <s v="PRD-00813"/>
    <x v="111"/>
    <x v="5"/>
    <x v="5"/>
    <s v="Surface-01"/>
    <s v="OP-009"/>
    <x v="2"/>
    <n v="126"/>
    <n v="119"/>
    <n v="2"/>
    <n v="6.7"/>
    <n v="20928.18"/>
    <n v="4.13"/>
    <n v="90.86"/>
    <n v="223"/>
    <d v="2026-02-16T00:00:00"/>
    <d v="2026-02-16T00:00:00"/>
    <x v="1"/>
    <s v="AeroTech UK"/>
  </r>
  <r>
    <s v="PRD-00814"/>
    <x v="73"/>
    <x v="1"/>
    <x v="1"/>
    <s v="CNC-02"/>
    <s v="OP-008"/>
    <x v="1"/>
    <n v="222"/>
    <n v="240"/>
    <n v="5"/>
    <n v="4.7"/>
    <n v="45434.400000000001"/>
    <n v="4.96"/>
    <n v="89.28"/>
    <n v="281"/>
    <d v="2026-04-16T00:00:00"/>
    <d v="2026-04-15T00:00:00"/>
    <x v="0"/>
    <s v="Precision Air"/>
  </r>
  <r>
    <s v="PRD-00815"/>
    <x v="51"/>
    <x v="5"/>
    <x v="5"/>
    <s v="Surface-01"/>
    <s v="OP-011"/>
    <x v="1"/>
    <n v="193"/>
    <n v="188"/>
    <n v="1"/>
    <n v="8.4"/>
    <n v="26988.87"/>
    <n v="4.33"/>
    <n v="95.26"/>
    <n v="164"/>
    <d v="2026-04-16T00:00:00"/>
    <d v="2026-04-14T00:00:00"/>
    <x v="0"/>
    <s v="NorthStar Aviation"/>
  </r>
  <r>
    <s v="PRD-00816"/>
    <x v="31"/>
    <x v="5"/>
    <x v="5"/>
    <s v="Surface-01"/>
    <s v="OP-028"/>
    <x v="1"/>
    <n v="310"/>
    <n v="309"/>
    <n v="12"/>
    <n v="1.4"/>
    <n v="36068.660000000003"/>
    <n v="6.93"/>
    <n v="138.6"/>
    <n v="355"/>
    <d v="2026-04-12T00:00:00"/>
    <d v="2026-04-16T00:00:00"/>
    <x v="0"/>
    <s v="AeroTech UK"/>
  </r>
  <r>
    <s v="PRD-00817"/>
    <x v="148"/>
    <x v="6"/>
    <x v="4"/>
    <s v="Assembly-03"/>
    <s v="OP-005"/>
    <x v="2"/>
    <n v="121"/>
    <n v="94"/>
    <n v="8"/>
    <n v="0.5"/>
    <n v="17084.400000000001"/>
    <n v="2.9"/>
    <n v="75.400000000000006"/>
    <n v="124"/>
    <d v="2026-03-11T00:00:00"/>
    <d v="2026-03-12T00:00:00"/>
    <x v="0"/>
    <s v="NorthStar Aviation"/>
  </r>
  <r>
    <s v="PRD-00818"/>
    <x v="117"/>
    <x v="2"/>
    <x v="2"/>
    <s v="Repair-01"/>
    <s v="OP-021"/>
    <x v="1"/>
    <n v="224"/>
    <n v="166"/>
    <n v="6"/>
    <n v="5.0999999999999996"/>
    <n v="18459.5"/>
    <n v="3.13"/>
    <n v="81.38"/>
    <n v="202"/>
    <d v="2026-01-04T00:00:00"/>
    <d v="2026-01-08T00:00:00"/>
    <x v="1"/>
    <s v="SkyWorks"/>
  </r>
  <r>
    <s v="PRD-00819"/>
    <x v="158"/>
    <x v="2"/>
    <x v="2"/>
    <s v="Repair-02"/>
    <s v="OP-005"/>
    <x v="1"/>
    <n v="313"/>
    <n v="326"/>
    <n v="21"/>
    <n v="5.5"/>
    <n v="32045.85"/>
    <n v="9.43"/>
    <n v="188.6"/>
    <n v="389"/>
    <d v="2026-07-05T00:00:00"/>
    <d v="2026-07-06T00:00:00"/>
    <x v="0"/>
    <s v="NorthStar Aviation"/>
  </r>
  <r>
    <s v="PRD-00820"/>
    <x v="28"/>
    <x v="6"/>
    <x v="4"/>
    <s v="Assembly-01"/>
    <s v="OP-013"/>
    <x v="1"/>
    <n v="174"/>
    <n v="180"/>
    <n v="7"/>
    <n v="2.7"/>
    <n v="25626.17"/>
    <n v="7.04"/>
    <n v="140.80000000000001"/>
    <n v="236"/>
    <d v="2026-04-14T00:00:00"/>
    <d v="2026-04-15T00:00:00"/>
    <x v="0"/>
    <s v="Global Aero Systems"/>
  </r>
  <r>
    <s v="PRD-00821"/>
    <x v="87"/>
    <x v="5"/>
    <x v="5"/>
    <s v="Surface-02"/>
    <s v="OP-018"/>
    <x v="1"/>
    <n v="179"/>
    <n v="164"/>
    <n v="5"/>
    <n v="6"/>
    <n v="20499.689999999999"/>
    <n v="3.92"/>
    <n v="78.400000000000006"/>
    <n v="188"/>
    <d v="2026-05-10T00:00:00"/>
    <d v="2026-05-11T00:00:00"/>
    <x v="2"/>
    <s v="SkyWorks"/>
  </r>
  <r>
    <s v="PRD-00822"/>
    <x v="177"/>
    <x v="6"/>
    <x v="4"/>
    <s v="Assembly-01"/>
    <s v="OP-011"/>
    <x v="0"/>
    <n v="180"/>
    <n v="140"/>
    <n v="2"/>
    <n v="5.9"/>
    <n v="24712.23"/>
    <n v="5.12"/>
    <n v="133.12"/>
    <n v="245"/>
    <d v="2026-06-16T00:00:00"/>
    <d v="2026-06-16T00:00:00"/>
    <x v="0"/>
    <s v="NorthStar Aviation"/>
  </r>
  <r>
    <s v="PRD-00823"/>
    <x v="116"/>
    <x v="2"/>
    <x v="2"/>
    <s v="Repair-02"/>
    <s v="OP-026"/>
    <x v="2"/>
    <n v="126"/>
    <n v="141"/>
    <n v="1"/>
    <n v="1.9"/>
    <n v="12131.09"/>
    <n v="5.87"/>
    <n v="152.62"/>
    <n v="125"/>
    <d v="2026-06-30T00:00:00"/>
    <d v="2026-07-02T00:00:00"/>
    <x v="1"/>
    <s v="NorthStar Aviation"/>
  </r>
  <r>
    <s v="PRD-00824"/>
    <x v="120"/>
    <x v="4"/>
    <x v="4"/>
    <s v="Assembly-02"/>
    <s v="OP-001"/>
    <x v="2"/>
    <n v="142"/>
    <n v="155"/>
    <n v="2"/>
    <n v="8.4"/>
    <n v="32308.95"/>
    <n v="5.07"/>
    <n v="91.26"/>
    <n v="126"/>
    <d v="2026-04-19T00:00:00"/>
    <d v="2026-04-18T00:00:00"/>
    <x v="0"/>
    <s v="SkyWorks"/>
  </r>
  <r>
    <s v="PRD-00825"/>
    <x v="2"/>
    <x v="4"/>
    <x v="4"/>
    <s v="Assembly-02"/>
    <s v="OP-010"/>
    <x v="2"/>
    <n v="131"/>
    <n v="136"/>
    <n v="12"/>
    <n v="2.8"/>
    <n v="23710.63"/>
    <n v="3.48"/>
    <n v="83.52"/>
    <n v="212"/>
    <d v="2026-01-31T00:00:00"/>
    <d v="2026-01-31T00:00:00"/>
    <x v="0"/>
    <s v="Precision Air"/>
  </r>
  <r>
    <s v="PRD-00826"/>
    <x v="111"/>
    <x v="3"/>
    <x v="3"/>
    <s v="Press-01"/>
    <s v="OP-004"/>
    <x v="2"/>
    <n v="186"/>
    <n v="143"/>
    <n v="12"/>
    <n v="3.7"/>
    <n v="17763.419999999998"/>
    <n v="4.9800000000000004"/>
    <n v="109.56"/>
    <n v="209"/>
    <d v="2026-02-13T00:00:00"/>
    <d v="2026-02-13T00:00:00"/>
    <x v="2"/>
    <s v="NorthStar Aviation"/>
  </r>
  <r>
    <s v="PRD-00827"/>
    <x v="81"/>
    <x v="5"/>
    <x v="5"/>
    <s v="Surface-02"/>
    <s v="OP-012"/>
    <x v="1"/>
    <n v="202"/>
    <n v="160"/>
    <n v="1"/>
    <n v="6.2"/>
    <n v="28415.86"/>
    <n v="5.13"/>
    <n v="102.6"/>
    <n v="276"/>
    <d v="2026-04-10T00:00:00"/>
    <d v="2026-04-14T00:00:00"/>
    <x v="1"/>
    <s v="AeroTech UK"/>
  </r>
  <r>
    <s v="PRD-00828"/>
    <x v="51"/>
    <x v="0"/>
    <x v="0"/>
    <s v="Autoclave-01"/>
    <s v="OP-020"/>
    <x v="1"/>
    <n v="114"/>
    <n v="112"/>
    <n v="7"/>
    <n v="8.3000000000000007"/>
    <n v="34824.1"/>
    <n v="4.5999999999999996"/>
    <n v="92"/>
    <n v="156"/>
    <d v="2026-04-11T00:00:00"/>
    <d v="2026-04-10T00:00:00"/>
    <x v="0"/>
    <s v="AeroTech UK"/>
  </r>
  <r>
    <s v="PRD-00829"/>
    <x v="44"/>
    <x v="2"/>
    <x v="2"/>
    <s v="Repair-01"/>
    <s v="OP-009"/>
    <x v="1"/>
    <n v="173"/>
    <n v="187"/>
    <n v="4"/>
    <n v="2.5"/>
    <n v="19276"/>
    <n v="5.56"/>
    <n v="111.2"/>
    <n v="146"/>
    <d v="2026-06-21T00:00:00"/>
    <d v="2026-06-21T00:00:00"/>
    <x v="0"/>
    <s v="Global Aero Systems"/>
  </r>
  <r>
    <s v="PRD-00830"/>
    <x v="165"/>
    <x v="7"/>
    <x v="0"/>
    <s v="Autoclave-02"/>
    <s v="OP-013"/>
    <x v="2"/>
    <n v="271"/>
    <n v="311"/>
    <n v="19"/>
    <n v="5.9"/>
    <n v="68174.58"/>
    <n v="12.11"/>
    <n v="314.86"/>
    <n v="233"/>
    <d v="2026-04-08T00:00:00"/>
    <d v="2026-04-06T00:00:00"/>
    <x v="0"/>
    <s v="Global Aero Systems"/>
  </r>
  <r>
    <s v="PRD-00831"/>
    <x v="81"/>
    <x v="2"/>
    <x v="2"/>
    <s v="Repair-01"/>
    <s v="OP-018"/>
    <x v="2"/>
    <n v="257"/>
    <n v="259"/>
    <n v="17"/>
    <n v="3"/>
    <n v="28954.02"/>
    <n v="9.5399999999999991"/>
    <n v="228.96"/>
    <n v="304"/>
    <d v="2026-04-12T00:00:00"/>
    <d v="2026-04-13T00:00:00"/>
    <x v="0"/>
    <s v="Global Aero Systems"/>
  </r>
  <r>
    <s v="PRD-00832"/>
    <x v="114"/>
    <x v="6"/>
    <x v="4"/>
    <s v="Assembly-01"/>
    <s v="OP-006"/>
    <x v="1"/>
    <n v="313"/>
    <n v="285"/>
    <n v="18"/>
    <n v="7.2"/>
    <n v="62706.7"/>
    <n v="11.26"/>
    <n v="202.68"/>
    <n v="305"/>
    <d v="2026-03-17T00:00:00"/>
    <d v="2026-03-17T00:00:00"/>
    <x v="0"/>
    <s v="AeroTech UK"/>
  </r>
  <r>
    <s v="PRD-00833"/>
    <x v="107"/>
    <x v="1"/>
    <x v="1"/>
    <s v="CNC-02"/>
    <s v="OP-020"/>
    <x v="2"/>
    <n v="301"/>
    <n v="226"/>
    <n v="15"/>
    <n v="6.6"/>
    <n v="54041.16"/>
    <n v="4.45"/>
    <n v="115.7"/>
    <n v="378"/>
    <d v="2026-02-21T00:00:00"/>
    <d v="2026-02-22T00:00:00"/>
    <x v="0"/>
    <s v="AeroTech UK"/>
  </r>
  <r>
    <s v="PRD-00834"/>
    <x v="6"/>
    <x v="1"/>
    <x v="1"/>
    <s v="CNC-04"/>
    <s v="OP-007"/>
    <x v="1"/>
    <n v="317"/>
    <n v="239"/>
    <n v="3"/>
    <n v="8.6"/>
    <n v="48379.83"/>
    <n v="5.64"/>
    <n v="101.52"/>
    <n v="297"/>
    <d v="2026-02-13T00:00:00"/>
    <d v="2026-02-14T00:00:00"/>
    <x v="1"/>
    <s v="NorthStar Aviation"/>
  </r>
  <r>
    <s v="PRD-00835"/>
    <x v="46"/>
    <x v="3"/>
    <x v="3"/>
    <s v="Laser-01"/>
    <s v="OP-023"/>
    <x v="2"/>
    <n v="153"/>
    <n v="158"/>
    <n v="9"/>
    <n v="7.7"/>
    <n v="18213.849999999999"/>
    <n v="3.15"/>
    <n v="63"/>
    <n v="180"/>
    <d v="2026-05-11T00:00:00"/>
    <d v="2026-05-11T00:00:00"/>
    <x v="0"/>
    <s v="NorthStar Aviation"/>
  </r>
  <r>
    <s v="PRD-00836"/>
    <x v="153"/>
    <x v="4"/>
    <x v="4"/>
    <s v="Assembly-01"/>
    <s v="OP-010"/>
    <x v="2"/>
    <n v="121"/>
    <n v="107"/>
    <n v="8"/>
    <n v="2.7"/>
    <n v="21506.959999999999"/>
    <n v="2.4900000000000002"/>
    <n v="54.78"/>
    <n v="169"/>
    <d v="2026-02-22T00:00:00"/>
    <d v="2026-02-20T00:00:00"/>
    <x v="0"/>
    <s v="AeroTech UK"/>
  </r>
  <r>
    <s v="PRD-00837"/>
    <x v="53"/>
    <x v="0"/>
    <x v="0"/>
    <s v="Autoclave-02"/>
    <s v="OP-019"/>
    <x v="1"/>
    <n v="168"/>
    <n v="186"/>
    <n v="1"/>
    <n v="6.8"/>
    <n v="61456.1"/>
    <n v="7.36"/>
    <n v="176.64"/>
    <n v="131"/>
    <d v="2026-01-28T00:00:00"/>
    <d v="2026-01-27T00:00:00"/>
    <x v="0"/>
    <s v="Precision Air"/>
  </r>
  <r>
    <s v="PRD-00838"/>
    <x v="92"/>
    <x v="0"/>
    <x v="0"/>
    <s v="CNC-01"/>
    <s v="OP-019"/>
    <x v="2"/>
    <n v="147"/>
    <n v="151"/>
    <n v="5"/>
    <n v="3.2"/>
    <n v="52489.74"/>
    <n v="3.81"/>
    <n v="91.44"/>
    <n v="187"/>
    <d v="2026-07-03T00:00:00"/>
    <d v="2026-07-03T00:00:00"/>
    <x v="0"/>
    <s v="AeroTech UK"/>
  </r>
  <r>
    <s v="PRD-00839"/>
    <x v="136"/>
    <x v="4"/>
    <x v="4"/>
    <s v="Assembly-02"/>
    <s v="OP-014"/>
    <x v="2"/>
    <n v="199"/>
    <n v="218"/>
    <n v="7"/>
    <n v="7.2"/>
    <n v="49283.8"/>
    <n v="8.4700000000000006"/>
    <n v="203.28"/>
    <n v="274"/>
    <d v="2026-06-30T00:00:00"/>
    <d v="2026-06-30T00:00:00"/>
    <x v="2"/>
    <s v="NorthStar Aviation"/>
  </r>
  <r>
    <s v="PRD-00840"/>
    <x v="171"/>
    <x v="2"/>
    <x v="2"/>
    <s v="Repair-01"/>
    <s v="OP-005"/>
    <x v="1"/>
    <n v="182"/>
    <n v="159"/>
    <n v="7"/>
    <n v="7.4"/>
    <n v="15209.04"/>
    <n v="6.47"/>
    <n v="129.4"/>
    <n v="166"/>
    <d v="2026-03-25T00:00:00"/>
    <d v="2026-03-27T00:00:00"/>
    <x v="2"/>
    <s v="SkyWorks"/>
  </r>
  <r>
    <s v="PRD-00841"/>
    <x v="166"/>
    <x v="7"/>
    <x v="0"/>
    <s v="Autoclave-02"/>
    <s v="OP-022"/>
    <x v="2"/>
    <n v="180"/>
    <n v="141"/>
    <n v="11"/>
    <n v="7.7"/>
    <n v="31723.26"/>
    <n v="4.59"/>
    <n v="110.16"/>
    <n v="250"/>
    <d v="2026-02-28T00:00:00"/>
    <d v="2026-02-28T00:00:00"/>
    <x v="2"/>
    <s v="SkyWorks"/>
  </r>
  <r>
    <s v="PRD-00842"/>
    <x v="25"/>
    <x v="0"/>
    <x v="0"/>
    <s v="Autoclave-02"/>
    <s v="OP-021"/>
    <x v="1"/>
    <n v="260"/>
    <n v="240"/>
    <n v="7"/>
    <n v="2.1"/>
    <n v="97454.97"/>
    <n v="6.72"/>
    <n v="120.96"/>
    <n v="298"/>
    <d v="2026-02-09T00:00:00"/>
    <d v="2026-02-09T00:00:00"/>
    <x v="0"/>
    <s v="Precision Air"/>
  </r>
  <r>
    <s v="PRD-00843"/>
    <x v="26"/>
    <x v="0"/>
    <x v="0"/>
    <s v="CNC-01"/>
    <s v="OP-014"/>
    <x v="2"/>
    <n v="113"/>
    <n v="107"/>
    <n v="3"/>
    <n v="3.4"/>
    <n v="33319.72"/>
    <n v="3.38"/>
    <n v="81.12"/>
    <n v="89"/>
    <d v="2026-04-22T00:00:00"/>
    <d v="2026-04-26T00:00:00"/>
    <x v="0"/>
    <s v="NorthStar Aviation"/>
  </r>
  <r>
    <s v="PRD-00844"/>
    <x v="139"/>
    <x v="1"/>
    <x v="1"/>
    <s v="CNC-03"/>
    <s v="OP-020"/>
    <x v="2"/>
    <n v="242"/>
    <n v="269"/>
    <n v="24"/>
    <n v="7.1"/>
    <n v="64007.3"/>
    <n v="6.98"/>
    <n v="139.6"/>
    <n v="234"/>
    <d v="2026-04-01T00:00:00"/>
    <d v="2026-04-01T00:00:00"/>
    <x v="1"/>
    <s v="NorthStar Aviation"/>
  </r>
  <r>
    <s v="PRD-00845"/>
    <x v="80"/>
    <x v="5"/>
    <x v="5"/>
    <s v="Surface-01"/>
    <s v="OP-025"/>
    <x v="2"/>
    <n v="160"/>
    <n v="150"/>
    <n v="2"/>
    <n v="6.8"/>
    <n v="19875.77"/>
    <n v="4.47"/>
    <n v="116.22"/>
    <n v="188"/>
    <d v="2026-05-09T00:00:00"/>
    <d v="2026-05-13T00:00:00"/>
    <x v="2"/>
    <s v="SkyWorks"/>
  </r>
  <r>
    <s v="PRD-00846"/>
    <x v="161"/>
    <x v="4"/>
    <x v="4"/>
    <s v="Assembly-01"/>
    <s v="OP-029"/>
    <x v="0"/>
    <n v="201"/>
    <n v="166"/>
    <n v="10"/>
    <n v="2.9"/>
    <n v="36913.86"/>
    <n v="3.57"/>
    <n v="78.540000000000006"/>
    <n v="242"/>
    <d v="2026-02-15T00:00:00"/>
    <d v="2026-02-16T00:00:00"/>
    <x v="1"/>
    <s v="NorthStar Aviation"/>
  </r>
  <r>
    <s v="PRD-00847"/>
    <x v="63"/>
    <x v="1"/>
    <x v="1"/>
    <s v="CNC-04"/>
    <s v="OP-007"/>
    <x v="2"/>
    <n v="234"/>
    <n v="180"/>
    <n v="12"/>
    <n v="6.6"/>
    <n v="39559.68"/>
    <n v="4.46"/>
    <n v="107.04"/>
    <n v="302"/>
    <d v="2026-06-17T00:00:00"/>
    <d v="2026-06-17T00:00:00"/>
    <x v="0"/>
    <s v="SkyWorks"/>
  </r>
  <r>
    <s v="PRD-00848"/>
    <x v="1"/>
    <x v="7"/>
    <x v="0"/>
    <s v="CNC-01"/>
    <s v="OP-004"/>
    <x v="1"/>
    <n v="244"/>
    <n v="255"/>
    <n v="3"/>
    <n v="4.2"/>
    <n v="70679.399999999994"/>
    <n v="8.42"/>
    <n v="218.92"/>
    <n v="244"/>
    <d v="2026-01-18T00:00:00"/>
    <d v="2026-01-22T00:00:00"/>
    <x v="0"/>
    <s v="Global Aero Systems"/>
  </r>
  <r>
    <s v="PRD-00849"/>
    <x v="102"/>
    <x v="1"/>
    <x v="1"/>
    <s v="CNC-04"/>
    <s v="OP-027"/>
    <x v="0"/>
    <n v="235"/>
    <n v="215"/>
    <n v="4"/>
    <n v="1.2"/>
    <n v="51458.1"/>
    <n v="8.35"/>
    <n v="217.1"/>
    <n v="317"/>
    <d v="2026-03-19T00:00:00"/>
    <d v="2026-03-19T00:00:00"/>
    <x v="0"/>
    <s v="Global Aero Systems"/>
  </r>
  <r>
    <s v="PRD-00850"/>
    <x v="79"/>
    <x v="7"/>
    <x v="0"/>
    <s v="CNC-01"/>
    <s v="OP-016"/>
    <x v="2"/>
    <n v="191"/>
    <n v="190"/>
    <n v="7"/>
    <n v="2.9"/>
    <n v="49725.26"/>
    <n v="4.71"/>
    <n v="122.46"/>
    <n v="161"/>
    <d v="2026-05-31T00:00:00"/>
    <d v="2026-05-29T00:00:00"/>
    <x v="0"/>
    <s v="AeroTech UK"/>
  </r>
  <r>
    <s v="PRD-00851"/>
    <x v="6"/>
    <x v="3"/>
    <x v="3"/>
    <s v="Press-01"/>
    <s v="OP-002"/>
    <x v="0"/>
    <n v="213"/>
    <n v="168"/>
    <n v="11"/>
    <n v="0.8"/>
    <n v="18026.21"/>
    <n v="3.35"/>
    <n v="73.7"/>
    <n v="190"/>
    <d v="2026-02-14T00:00:00"/>
    <d v="2026-02-16T00:00:00"/>
    <x v="1"/>
    <s v="Global Aero Systems"/>
  </r>
  <r>
    <s v="PRD-00852"/>
    <x v="177"/>
    <x v="2"/>
    <x v="2"/>
    <s v="Repair-01"/>
    <s v="OP-021"/>
    <x v="0"/>
    <n v="220"/>
    <n v="236"/>
    <n v="18"/>
    <n v="4"/>
    <n v="20781.82"/>
    <n v="5.72"/>
    <n v="114.4"/>
    <n v="194"/>
    <d v="2026-06-26T00:00:00"/>
    <d v="2026-06-24T00:00:00"/>
    <x v="0"/>
    <s v="NorthStar Aviation"/>
  </r>
  <r>
    <s v="PRD-00853"/>
    <x v="129"/>
    <x v="7"/>
    <x v="0"/>
    <s v="Autoclave-01"/>
    <s v="OP-001"/>
    <x v="0"/>
    <n v="136"/>
    <n v="142"/>
    <n v="12"/>
    <n v="8.6"/>
    <n v="31339.84"/>
    <n v="3.88"/>
    <n v="93.12"/>
    <n v="100"/>
    <d v="2026-05-13T00:00:00"/>
    <d v="2026-05-13T00:00:00"/>
    <x v="2"/>
    <s v="Global Aero Systems"/>
  </r>
  <r>
    <s v="PRD-00854"/>
    <x v="79"/>
    <x v="0"/>
    <x v="0"/>
    <s v="Autoclave-01"/>
    <s v="OP-005"/>
    <x v="0"/>
    <n v="131"/>
    <n v="127"/>
    <n v="3"/>
    <n v="5.2"/>
    <n v="35659.620000000003"/>
    <n v="4.0599999999999996"/>
    <n v="89.32"/>
    <n v="221"/>
    <d v="2026-05-25T00:00:00"/>
    <d v="2026-05-27T00:00:00"/>
    <x v="0"/>
    <s v="AeroTech UK"/>
  </r>
  <r>
    <s v="PRD-00855"/>
    <x v="159"/>
    <x v="6"/>
    <x v="4"/>
    <s v="Assembly-02"/>
    <s v="OP-001"/>
    <x v="1"/>
    <n v="222"/>
    <n v="195"/>
    <n v="7"/>
    <n v="7.5"/>
    <n v="34742.550000000003"/>
    <n v="4.43"/>
    <n v="97.46"/>
    <n v="282"/>
    <d v="2026-06-13T00:00:00"/>
    <d v="2026-06-13T00:00:00"/>
    <x v="2"/>
    <s v="Precision Air"/>
  </r>
  <r>
    <s v="PRD-00856"/>
    <x v="52"/>
    <x v="2"/>
    <x v="2"/>
    <s v="Repair-01"/>
    <s v="OP-015"/>
    <x v="2"/>
    <n v="127"/>
    <n v="97"/>
    <n v="3"/>
    <n v="1"/>
    <n v="9510.0300000000007"/>
    <n v="3.51"/>
    <n v="77.22"/>
    <n v="141"/>
    <d v="2026-06-27T00:00:00"/>
    <d v="2026-06-27T00:00:00"/>
    <x v="0"/>
    <s v="NorthStar Aviation"/>
  </r>
  <r>
    <s v="PRD-00857"/>
    <x v="138"/>
    <x v="6"/>
    <x v="4"/>
    <s v="Assembly-01"/>
    <s v="OP-025"/>
    <x v="2"/>
    <n v="210"/>
    <n v="153"/>
    <n v="0"/>
    <n v="7.5"/>
    <n v="27810.81"/>
    <n v="6.23"/>
    <n v="149.52000000000001"/>
    <n v="253"/>
    <d v="2026-06-04T00:00:00"/>
    <d v="2026-06-06T00:00:00"/>
    <x v="1"/>
    <s v="Global Aero Systems"/>
  </r>
  <r>
    <s v="PRD-00858"/>
    <x v="129"/>
    <x v="6"/>
    <x v="4"/>
    <s v="Assembly-03"/>
    <s v="OP-013"/>
    <x v="0"/>
    <n v="299"/>
    <n v="335"/>
    <n v="4"/>
    <n v="1"/>
    <n v="41954.04"/>
    <n v="6.43"/>
    <n v="115.74"/>
    <n v="329"/>
    <d v="2026-05-05T00:00:00"/>
    <d v="2026-05-05T00:00:00"/>
    <x v="2"/>
    <s v="Precision Air"/>
  </r>
  <r>
    <s v="PRD-00859"/>
    <x v="111"/>
    <x v="0"/>
    <x v="0"/>
    <s v="Autoclave-01"/>
    <s v="OP-005"/>
    <x v="1"/>
    <n v="174"/>
    <n v="141"/>
    <n v="3"/>
    <n v="3.8"/>
    <n v="45966.75"/>
    <n v="3.95"/>
    <n v="71.099999999999994"/>
    <n v="210"/>
    <d v="2026-02-12T00:00:00"/>
    <d v="2026-02-11T00:00:00"/>
    <x v="0"/>
    <s v="Global Aero Systems"/>
  </r>
  <r>
    <s v="PRD-00860"/>
    <x v="59"/>
    <x v="0"/>
    <x v="0"/>
    <s v="CNC-01"/>
    <s v="OP-001"/>
    <x v="0"/>
    <n v="270"/>
    <n v="304"/>
    <n v="23"/>
    <n v="7.9"/>
    <n v="103851.91"/>
    <n v="6.29"/>
    <n v="125.8"/>
    <n v="346"/>
    <d v="2026-03-05T00:00:00"/>
    <d v="2026-03-05T00:00:00"/>
    <x v="0"/>
    <s v="Precision Air"/>
  </r>
  <r>
    <s v="PRD-00861"/>
    <x v="129"/>
    <x v="0"/>
    <x v="0"/>
    <s v="CNC-01"/>
    <s v="OP-025"/>
    <x v="1"/>
    <n v="257"/>
    <n v="201"/>
    <n v="2"/>
    <n v="6.1"/>
    <n v="54040.28"/>
    <n v="7.62"/>
    <n v="182.88"/>
    <n v="261"/>
    <d v="2026-05-05T00:00:00"/>
    <d v="2026-05-03T00:00:00"/>
    <x v="0"/>
    <s v="SkyWorks"/>
  </r>
  <r>
    <s v="PRD-00862"/>
    <x v="129"/>
    <x v="1"/>
    <x v="1"/>
    <s v="CNC-03"/>
    <s v="OP-023"/>
    <x v="0"/>
    <n v="86"/>
    <n v="86"/>
    <n v="7"/>
    <n v="1.7"/>
    <n v="22747.01"/>
    <n v="3.6"/>
    <n v="64.8"/>
    <n v="161"/>
    <d v="2026-05-13T00:00:00"/>
    <d v="2026-05-17T00:00:00"/>
    <x v="0"/>
    <s v="AeroTech UK"/>
  </r>
  <r>
    <s v="PRD-00863"/>
    <x v="70"/>
    <x v="4"/>
    <x v="4"/>
    <s v="Assembly-01"/>
    <s v="OP-006"/>
    <x v="0"/>
    <n v="233"/>
    <n v="204"/>
    <n v="16"/>
    <n v="4.9000000000000004"/>
    <n v="43132.72"/>
    <n v="7.23"/>
    <n v="187.98"/>
    <n v="230"/>
    <d v="2026-03-22T00:00:00"/>
    <d v="2026-03-23T00:00:00"/>
    <x v="2"/>
    <s v="Global Aero Systems"/>
  </r>
  <r>
    <s v="PRD-00864"/>
    <x v="66"/>
    <x v="5"/>
    <x v="5"/>
    <s v="Surface-02"/>
    <s v="OP-011"/>
    <x v="1"/>
    <n v="276"/>
    <n v="233"/>
    <n v="18"/>
    <n v="6.8"/>
    <n v="33600.050000000003"/>
    <n v="6.21"/>
    <n v="149.04"/>
    <n v="258"/>
    <d v="2026-04-17T00:00:00"/>
    <d v="2026-04-17T00:00:00"/>
    <x v="0"/>
    <s v="Global Aero Systems"/>
  </r>
  <r>
    <s v="PRD-00865"/>
    <x v="56"/>
    <x v="3"/>
    <x v="3"/>
    <s v="Press-01"/>
    <s v="OP-027"/>
    <x v="1"/>
    <n v="167"/>
    <n v="156"/>
    <n v="12"/>
    <n v="5.6"/>
    <n v="19182.169999999998"/>
    <n v="5.92"/>
    <n v="118.4"/>
    <n v="162"/>
    <d v="2026-05-01T00:00:00"/>
    <d v="2026-05-03T00:00:00"/>
    <x v="0"/>
    <s v="AeroTech UK"/>
  </r>
  <r>
    <s v="PRD-00866"/>
    <x v="118"/>
    <x v="7"/>
    <x v="0"/>
    <s v="CNC-01"/>
    <s v="OP-018"/>
    <x v="1"/>
    <n v="106"/>
    <n v="102"/>
    <n v="2"/>
    <n v="5"/>
    <n v="33558.58"/>
    <n v="3.51"/>
    <n v="77.22"/>
    <n v="191"/>
    <d v="2026-05-12T00:00:00"/>
    <d v="2026-05-13T00:00:00"/>
    <x v="0"/>
    <s v="Precision Air"/>
  </r>
  <r>
    <s v="PRD-00867"/>
    <x v="116"/>
    <x v="2"/>
    <x v="2"/>
    <s v="Repair-01"/>
    <s v="OP-005"/>
    <x v="2"/>
    <n v="227"/>
    <n v="197"/>
    <n v="8"/>
    <n v="6.8"/>
    <n v="16154.24"/>
    <n v="5.69"/>
    <n v="113.8"/>
    <n v="187"/>
    <d v="2026-06-28T00:00:00"/>
    <d v="2026-06-27T00:00:00"/>
    <x v="2"/>
    <s v="SkyWorks"/>
  </r>
  <r>
    <s v="PRD-00868"/>
    <x v="41"/>
    <x v="2"/>
    <x v="2"/>
    <s v="Repair-02"/>
    <s v="OP-009"/>
    <x v="1"/>
    <n v="291"/>
    <n v="235"/>
    <n v="14"/>
    <n v="8.6"/>
    <n v="16740.02"/>
    <n v="5.9"/>
    <n v="118"/>
    <n v="298"/>
    <d v="2026-03-15T00:00:00"/>
    <d v="2026-03-14T00:00:00"/>
    <x v="0"/>
    <s v="AeroTech UK"/>
  </r>
  <r>
    <s v="PRD-00869"/>
    <x v="156"/>
    <x v="4"/>
    <x v="4"/>
    <s v="Assembly-03"/>
    <s v="OP-016"/>
    <x v="1"/>
    <n v="183"/>
    <n v="132"/>
    <n v="7"/>
    <n v="3.1"/>
    <n v="23889.85"/>
    <n v="4.34"/>
    <n v="104.16"/>
    <n v="153"/>
    <d v="2026-05-01T00:00:00"/>
    <d v="2026-05-05T00:00:00"/>
    <x v="0"/>
    <s v="SkyWorks"/>
  </r>
  <r>
    <s v="PRD-00870"/>
    <x v="57"/>
    <x v="6"/>
    <x v="4"/>
    <s v="Assembly-03"/>
    <s v="OP-016"/>
    <x v="2"/>
    <n v="201"/>
    <n v="219"/>
    <n v="8"/>
    <n v="4.9000000000000004"/>
    <n v="34359.879999999997"/>
    <n v="7.2"/>
    <n v="158.4"/>
    <n v="286"/>
    <d v="2026-01-10T00:00:00"/>
    <d v="2026-01-12T00:00:00"/>
    <x v="0"/>
    <s v="Global Aero Systems"/>
  </r>
  <r>
    <s v="PRD-00871"/>
    <x v="126"/>
    <x v="0"/>
    <x v="0"/>
    <s v="Autoclave-01"/>
    <s v="OP-025"/>
    <x v="0"/>
    <n v="142"/>
    <n v="146"/>
    <n v="10"/>
    <n v="8.3000000000000007"/>
    <n v="49611.91"/>
    <n v="3.47"/>
    <n v="83.28"/>
    <n v="110"/>
    <d v="2026-03-13T00:00:00"/>
    <d v="2026-03-13T00:00:00"/>
    <x v="1"/>
    <s v="Global Aero Systems"/>
  </r>
  <r>
    <s v="PRD-00872"/>
    <x v="89"/>
    <x v="2"/>
    <x v="2"/>
    <s v="Repair-01"/>
    <s v="OP-021"/>
    <x v="0"/>
    <n v="82"/>
    <n v="83"/>
    <n v="4"/>
    <n v="6.1"/>
    <n v="6355"/>
    <n v="1.63"/>
    <n v="32.6"/>
    <n v="168"/>
    <d v="2026-03-03T00:00:00"/>
    <d v="2026-03-05T00:00:00"/>
    <x v="1"/>
    <s v="AeroTech UK"/>
  </r>
  <r>
    <s v="PRD-00873"/>
    <x v="126"/>
    <x v="0"/>
    <x v="0"/>
    <s v="CNC-01"/>
    <s v="OP-016"/>
    <x v="2"/>
    <n v="212"/>
    <n v="197"/>
    <n v="16"/>
    <n v="2.6"/>
    <n v="52905.59"/>
    <n v="5.1100000000000003"/>
    <n v="91.98"/>
    <n v="211"/>
    <d v="2026-03-09T00:00:00"/>
    <d v="2026-03-09T00:00:00"/>
    <x v="2"/>
    <s v="AeroTech UK"/>
  </r>
  <r>
    <s v="PRD-00874"/>
    <x v="28"/>
    <x v="3"/>
    <x v="3"/>
    <s v="Laser-01"/>
    <s v="OP-024"/>
    <x v="0"/>
    <n v="91"/>
    <n v="77"/>
    <n v="1"/>
    <n v="7.8"/>
    <n v="9301.1299999999992"/>
    <n v="2.71"/>
    <n v="48.78"/>
    <n v="76"/>
    <d v="2026-04-14T00:00:00"/>
    <d v="2026-04-14T00:00:00"/>
    <x v="0"/>
    <s v="Precision Air"/>
  </r>
  <r>
    <s v="PRD-00875"/>
    <x v="1"/>
    <x v="5"/>
    <x v="5"/>
    <s v="Surface-02"/>
    <s v="OP-018"/>
    <x v="0"/>
    <n v="173"/>
    <n v="183"/>
    <n v="7"/>
    <n v="6.4"/>
    <n v="28835.48"/>
    <n v="5.68"/>
    <n v="136.32"/>
    <n v="254"/>
    <d v="2026-01-09T00:00:00"/>
    <d v="2026-01-09T00:00:00"/>
    <x v="2"/>
    <s v="Global Aero Systems"/>
  </r>
  <r>
    <s v="PRD-00876"/>
    <x v="54"/>
    <x v="0"/>
    <x v="0"/>
    <s v="Autoclave-01"/>
    <s v="OP-019"/>
    <x v="2"/>
    <n v="147"/>
    <n v="161"/>
    <n v="10"/>
    <n v="4.3"/>
    <n v="48680.05"/>
    <n v="6.48"/>
    <n v="129.6"/>
    <n v="137"/>
    <d v="2026-01-20T00:00:00"/>
    <d v="2026-01-20T00:00:00"/>
    <x v="0"/>
    <s v="NorthStar Aviation"/>
  </r>
  <r>
    <s v="PRD-00877"/>
    <x v="36"/>
    <x v="4"/>
    <x v="4"/>
    <s v="Assembly-03"/>
    <s v="OP-001"/>
    <x v="1"/>
    <n v="147"/>
    <n v="136"/>
    <n v="12"/>
    <n v="5.9"/>
    <n v="25127.23"/>
    <n v="2.58"/>
    <n v="51.6"/>
    <n v="144"/>
    <d v="2026-05-01T00:00:00"/>
    <d v="2026-05-01T00:00:00"/>
    <x v="2"/>
    <s v="AeroTech UK"/>
  </r>
  <r>
    <s v="PRD-00878"/>
    <x v="143"/>
    <x v="7"/>
    <x v="0"/>
    <s v="Autoclave-01"/>
    <s v="OP-016"/>
    <x v="2"/>
    <n v="214"/>
    <n v="215"/>
    <n v="12"/>
    <n v="0.1"/>
    <n v="58858.21"/>
    <n v="8.6199999999999992"/>
    <n v="206.88"/>
    <n v="228"/>
    <d v="2026-05-16T00:00:00"/>
    <d v="2026-05-20T00:00:00"/>
    <x v="2"/>
    <s v="AeroTech UK"/>
  </r>
  <r>
    <s v="PRD-00879"/>
    <x v="149"/>
    <x v="2"/>
    <x v="2"/>
    <s v="Repair-01"/>
    <s v="OP-008"/>
    <x v="1"/>
    <n v="117"/>
    <n v="117"/>
    <n v="9"/>
    <n v="1.3"/>
    <n v="11712.73"/>
    <n v="4.8899999999999997"/>
    <n v="88.02"/>
    <n v="119"/>
    <d v="2026-02-19T00:00:00"/>
    <d v="2026-02-21T00:00:00"/>
    <x v="0"/>
    <s v="Global Aero Systems"/>
  </r>
  <r>
    <s v="PRD-00880"/>
    <x v="53"/>
    <x v="2"/>
    <x v="2"/>
    <s v="Repair-01"/>
    <s v="OP-008"/>
    <x v="0"/>
    <n v="302"/>
    <n v="259"/>
    <n v="10"/>
    <n v="1.7"/>
    <n v="24919.69"/>
    <n v="7.46"/>
    <n v="149.19999999999999"/>
    <n v="294"/>
    <d v="2026-01-25T00:00:00"/>
    <d v="2026-01-27T00:00:00"/>
    <x v="0"/>
    <s v="Precision Air"/>
  </r>
  <r>
    <s v="PRD-00881"/>
    <x v="70"/>
    <x v="5"/>
    <x v="5"/>
    <s v="Surface-01"/>
    <s v="OP-015"/>
    <x v="0"/>
    <n v="190"/>
    <n v="185"/>
    <n v="7"/>
    <n v="5.0999999999999996"/>
    <n v="30482.32"/>
    <n v="6.76"/>
    <n v="121.68"/>
    <n v="244"/>
    <d v="2026-03-21T00:00:00"/>
    <d v="2026-03-23T00:00:00"/>
    <x v="0"/>
    <s v="SkyWorks"/>
  </r>
  <r>
    <s v="PRD-00882"/>
    <x v="157"/>
    <x v="4"/>
    <x v="4"/>
    <s v="Assembly-02"/>
    <s v="OP-023"/>
    <x v="1"/>
    <n v="298"/>
    <n v="336"/>
    <n v="17"/>
    <n v="3.5"/>
    <n v="80032.44"/>
    <n v="11.65"/>
    <n v="302.89999999999998"/>
    <n v="293"/>
    <d v="2026-03-28T00:00:00"/>
    <d v="2026-03-29T00:00:00"/>
    <x v="0"/>
    <s v="SkyWorks"/>
  </r>
  <r>
    <s v="PRD-00883"/>
    <x v="77"/>
    <x v="0"/>
    <x v="0"/>
    <s v="Autoclave-02"/>
    <s v="OP-027"/>
    <x v="1"/>
    <n v="241"/>
    <n v="201"/>
    <n v="5"/>
    <n v="2.6"/>
    <n v="62136.88"/>
    <n v="7.99"/>
    <n v="159.80000000000001"/>
    <n v="249"/>
    <d v="2026-05-24T00:00:00"/>
    <d v="2026-05-24T00:00:00"/>
    <x v="0"/>
    <s v="Precision Air"/>
  </r>
  <r>
    <s v="PRD-00884"/>
    <x v="92"/>
    <x v="2"/>
    <x v="2"/>
    <s v="Repair-02"/>
    <s v="OP-018"/>
    <x v="1"/>
    <n v="147"/>
    <n v="143"/>
    <n v="9"/>
    <n v="1.7"/>
    <n v="14755.05"/>
    <n v="5.33"/>
    <n v="117.26"/>
    <n v="155"/>
    <d v="2026-07-05T00:00:00"/>
    <d v="2026-07-06T00:00:00"/>
    <x v="1"/>
    <s v="NorthStar Aviation"/>
  </r>
  <r>
    <s v="PRD-00885"/>
    <x v="30"/>
    <x v="3"/>
    <x v="3"/>
    <s v="Press-01"/>
    <s v="OP-023"/>
    <x v="1"/>
    <n v="265"/>
    <n v="273"/>
    <n v="8"/>
    <n v="2.2000000000000002"/>
    <n v="34389.85"/>
    <n v="7.12"/>
    <n v="170.88"/>
    <n v="320"/>
    <d v="2026-05-04T00:00:00"/>
    <d v="2026-05-06T00:00:00"/>
    <x v="2"/>
    <s v="Precision Air"/>
  </r>
  <r>
    <s v="PRD-00886"/>
    <x v="87"/>
    <x v="4"/>
    <x v="4"/>
    <s v="Assembly-01"/>
    <s v="OP-019"/>
    <x v="1"/>
    <n v="145"/>
    <n v="142"/>
    <n v="3"/>
    <n v="8.6999999999999993"/>
    <n v="35699.35"/>
    <n v="2.57"/>
    <n v="51.4"/>
    <n v="170"/>
    <d v="2026-05-07T00:00:00"/>
    <d v="2026-05-11T00:00:00"/>
    <x v="1"/>
    <s v="Precision Air"/>
  </r>
  <r>
    <s v="PRD-00887"/>
    <x v="138"/>
    <x v="2"/>
    <x v="2"/>
    <s v="Repair-01"/>
    <s v="OP-025"/>
    <x v="2"/>
    <n v="148"/>
    <n v="109"/>
    <n v="4"/>
    <n v="8.8000000000000007"/>
    <n v="10314.719999999999"/>
    <n v="2.97"/>
    <n v="53.46"/>
    <n v="143"/>
    <d v="2026-05-30T00:00:00"/>
    <d v="2026-05-29T00:00:00"/>
    <x v="0"/>
    <s v="AeroTech UK"/>
  </r>
  <r>
    <s v="PRD-00888"/>
    <x v="54"/>
    <x v="6"/>
    <x v="4"/>
    <s v="Assembly-01"/>
    <s v="OP-020"/>
    <x v="0"/>
    <n v="220"/>
    <n v="209"/>
    <n v="3"/>
    <n v="0.9"/>
    <n v="38874.29"/>
    <n v="3.96"/>
    <n v="102.96"/>
    <n v="195"/>
    <d v="2026-01-20T00:00:00"/>
    <d v="2026-01-19T00:00:00"/>
    <x v="0"/>
    <s v="SkyWorks"/>
  </r>
  <r>
    <s v="PRD-00889"/>
    <x v="114"/>
    <x v="2"/>
    <x v="2"/>
    <s v="Repair-01"/>
    <s v="OP-007"/>
    <x v="0"/>
    <n v="139"/>
    <n v="113"/>
    <n v="6"/>
    <n v="6.8"/>
    <n v="11536.28"/>
    <n v="2.68"/>
    <n v="48.24"/>
    <n v="180"/>
    <d v="2026-03-19T00:00:00"/>
    <d v="2026-03-19T00:00:00"/>
    <x v="2"/>
    <s v="Precision Air"/>
  </r>
  <r>
    <s v="PRD-00890"/>
    <x v="90"/>
    <x v="3"/>
    <x v="3"/>
    <s v="Press-01"/>
    <s v="OP-030"/>
    <x v="2"/>
    <n v="226"/>
    <n v="234"/>
    <n v="21"/>
    <n v="2.4"/>
    <n v="24392.38"/>
    <n v="8.9600000000000009"/>
    <n v="179.2"/>
    <n v="247"/>
    <d v="2026-01-14T00:00:00"/>
    <d v="2026-01-14T00:00:00"/>
    <x v="0"/>
    <s v="SkyWorks"/>
  </r>
  <r>
    <s v="PRD-00891"/>
    <x v="25"/>
    <x v="7"/>
    <x v="0"/>
    <s v="Autoclave-01"/>
    <s v="OP-024"/>
    <x v="1"/>
    <n v="251"/>
    <n v="214"/>
    <n v="12"/>
    <n v="5.4"/>
    <n v="50545.24"/>
    <n v="4.37"/>
    <n v="78.66"/>
    <n v="315"/>
    <d v="2026-02-06T00:00:00"/>
    <d v="2026-02-10T00:00:00"/>
    <x v="0"/>
    <s v="Precision Air"/>
  </r>
  <r>
    <s v="PRD-00892"/>
    <x v="81"/>
    <x v="7"/>
    <x v="0"/>
    <s v="CNC-01"/>
    <s v="OP-020"/>
    <x v="2"/>
    <n v="275"/>
    <n v="230"/>
    <n v="19"/>
    <n v="4.4000000000000004"/>
    <n v="68169.94"/>
    <n v="5.92"/>
    <n v="142.08000000000001"/>
    <n v="364"/>
    <d v="2026-04-19T00:00:00"/>
    <d v="2026-04-21T00:00:00"/>
    <x v="2"/>
    <s v="SkyWorks"/>
  </r>
  <r>
    <s v="PRD-00893"/>
    <x v="161"/>
    <x v="0"/>
    <x v="0"/>
    <s v="CNC-01"/>
    <s v="OP-029"/>
    <x v="1"/>
    <n v="294"/>
    <n v="300"/>
    <n v="11"/>
    <n v="7.1"/>
    <n v="82588.81"/>
    <n v="8.32"/>
    <n v="166.4"/>
    <n v="328"/>
    <d v="2026-02-11T00:00:00"/>
    <d v="2026-02-13T00:00:00"/>
    <x v="1"/>
    <s v="AeroTech UK"/>
  </r>
  <r>
    <s v="PRD-00894"/>
    <x v="158"/>
    <x v="1"/>
    <x v="1"/>
    <s v="CNC-04"/>
    <m/>
    <x v="1"/>
    <n v="258"/>
    <n v="192"/>
    <n v="13"/>
    <n v="0.2"/>
    <n v="43330.16"/>
    <n v="3.55"/>
    <n v="85.2"/>
    <n v="332"/>
    <d v="2026-07-03T00:00:00"/>
    <d v="2026-07-02T00:00:00"/>
    <x v="2"/>
    <s v="NorthStar Aviation"/>
  </r>
  <r>
    <s v="PRD-00895"/>
    <x v="35"/>
    <x v="4"/>
    <x v="4"/>
    <s v="Assembly-02"/>
    <s v="OP-003"/>
    <x v="0"/>
    <n v="202"/>
    <n v="159"/>
    <n v="3"/>
    <n v="5.3"/>
    <n v="32265.599999999999"/>
    <n v="3.61"/>
    <n v="64.98"/>
    <n v="259"/>
    <d v="2026-03-17T00:00:00"/>
    <d v="2026-03-15T00:00:00"/>
    <x v="0"/>
    <s v="NorthStar Aviation"/>
  </r>
  <r>
    <s v="PRD-00896"/>
    <x v="2"/>
    <x v="7"/>
    <x v="0"/>
    <s v="Autoclave-02"/>
    <s v="OP-017"/>
    <x v="2"/>
    <n v="100"/>
    <n v="94"/>
    <n v="2"/>
    <n v="1.3"/>
    <n v="21460.75"/>
    <n v="3.66"/>
    <n v="73.2"/>
    <n v="118"/>
    <d v="2026-02-01T00:00:00"/>
    <d v="2026-02-01T00:00:00"/>
    <x v="0"/>
    <s v="NorthStar Aviation"/>
  </r>
  <r>
    <s v="PRD-00897"/>
    <x v="2"/>
    <x v="7"/>
    <x v="0"/>
    <s v="CNC-01"/>
    <s v="OP-020"/>
    <x v="0"/>
    <n v="247"/>
    <n v="261"/>
    <n v="21"/>
    <n v="7.8"/>
    <n v="71361.649999999994"/>
    <n v="7.64"/>
    <n v="183.36"/>
    <n v="249"/>
    <d v="2026-01-29T00:00:00"/>
    <d v="2026-01-27T00:00:00"/>
    <x v="0"/>
    <s v="AeroTech UK"/>
  </r>
  <r>
    <s v="PRD-00898"/>
    <x v="54"/>
    <x v="0"/>
    <x v="0"/>
    <s v="Autoclave-02"/>
    <s v="OP-028"/>
    <x v="2"/>
    <n v="289"/>
    <n v="305"/>
    <n v="16"/>
    <n v="7"/>
    <n v="97141.85"/>
    <n v="6.8"/>
    <n v="176.8"/>
    <n v="296"/>
    <d v="2026-01-23T00:00:00"/>
    <d v="2026-01-21T00:00:00"/>
    <x v="0"/>
    <s v="SkyWorks"/>
  </r>
  <r>
    <s v="PRD-00899"/>
    <x v="78"/>
    <x v="7"/>
    <x v="0"/>
    <s v="CNC-01"/>
    <s v="OP-008"/>
    <x v="1"/>
    <n v="209"/>
    <n v="230"/>
    <n v="9"/>
    <n v="1.5"/>
    <n v="66285.37"/>
    <n v="5.48"/>
    <n v="142.47999999999999"/>
    <n v="263"/>
    <d v="2026-05-23T00:00:00"/>
    <d v="2026-05-23T00:00:00"/>
    <x v="2"/>
    <s v="NorthStar Aviation"/>
  </r>
  <r>
    <s v="PRD-00900"/>
    <x v="170"/>
    <x v="1"/>
    <x v="1"/>
    <s v="CNC-02"/>
    <s v="OP-015"/>
    <x v="0"/>
    <n v="243"/>
    <n v="238"/>
    <n v="2"/>
    <n v="8.8000000000000007"/>
    <n v="44582.2"/>
    <n v="7.31"/>
    <n v="175.44"/>
    <n v="304"/>
    <d v="2026-02-08T00:00:00"/>
    <d v="2026-02-10T00:00:00"/>
    <x v="1"/>
    <s v="Precision Air"/>
  </r>
  <r>
    <s v="PRD-00901"/>
    <x v="11"/>
    <x v="2"/>
    <x v="2"/>
    <s v="Repair-02"/>
    <s v="OP-013"/>
    <x v="1"/>
    <n v="214"/>
    <n v="240"/>
    <n v="4"/>
    <n v="7.7"/>
    <n v="16751.099999999999"/>
    <n v="4.74"/>
    <n v="104.28"/>
    <n v="250"/>
    <d v="2026-04-04T00:00:00"/>
    <d v="2026-04-06T00:00:00"/>
    <x v="2"/>
    <s v="SkyWorks"/>
  </r>
  <r>
    <s v="PRD-00902"/>
    <x v="1"/>
    <x v="4"/>
    <x v="4"/>
    <s v="Assembly-02"/>
    <s v="OP-001"/>
    <x v="2"/>
    <n v="130"/>
    <n v="135"/>
    <n v="3"/>
    <n v="7"/>
    <n v="29042.55"/>
    <n v="4.34"/>
    <n v="86.8"/>
    <n v="167"/>
    <d v="2026-01-15T00:00:00"/>
    <d v="2026-01-15T00:00:00"/>
    <x v="0"/>
    <s v="Global Aero Systems"/>
  </r>
  <r>
    <s v="PRD-00903"/>
    <x v="126"/>
    <x v="5"/>
    <x v="5"/>
    <s v="Surface-02"/>
    <s v="OP-012"/>
    <x v="1"/>
    <n v="199"/>
    <n v="204"/>
    <n v="7"/>
    <n v="1.8"/>
    <n v="28377.759999999998"/>
    <n v="4.87"/>
    <n v="97.4"/>
    <n v="184"/>
    <d v="2026-03-12T00:00:00"/>
    <d v="2026-03-13T00:00:00"/>
    <x v="0"/>
    <s v="Global Aero Systems"/>
  </r>
  <r>
    <s v="PRD-00904"/>
    <x v="23"/>
    <x v="2"/>
    <x v="2"/>
    <s v="Repair-01"/>
    <s v="OP-030"/>
    <x v="0"/>
    <n v="233"/>
    <n v="197"/>
    <n v="15"/>
    <n v="5"/>
    <n v="17089.27"/>
    <n v="7.55"/>
    <n v="135.9"/>
    <n v="283"/>
    <d v="2026-06-24T00:00:00"/>
    <d v="2026-06-24T00:00:00"/>
    <x v="0"/>
    <s v="NorthStar Aviation"/>
  </r>
  <r>
    <s v="PRD-00905"/>
    <x v="15"/>
    <x v="0"/>
    <x v="0"/>
    <s v="Autoclave-01"/>
    <s v="OP-020"/>
    <x v="1"/>
    <n v="270"/>
    <n v="276"/>
    <n v="8"/>
    <n v="0.2"/>
    <n v="80784.38"/>
    <n v="5.13"/>
    <n v="123.12"/>
    <n v="315"/>
    <d v="2026-01-14T00:00:00"/>
    <d v="2026-01-18T00:00:00"/>
    <x v="0"/>
    <s v="SkyWorks"/>
  </r>
  <r>
    <s v="PRD-00906"/>
    <x v="51"/>
    <x v="7"/>
    <x v="0"/>
    <s v="CNC-01"/>
    <s v="OP-011"/>
    <x v="0"/>
    <n v="229"/>
    <n v="177"/>
    <n v="7"/>
    <n v="4.4000000000000004"/>
    <n v="45267.9"/>
    <n v="6.5"/>
    <n v="169"/>
    <n v="318"/>
    <d v="2026-04-08T00:00:00"/>
    <d v="2026-04-08T00:00:00"/>
    <x v="2"/>
    <s v="Global Aero Systems"/>
  </r>
  <r>
    <s v="PRD-00907"/>
    <x v="50"/>
    <x v="6"/>
    <x v="4"/>
    <s v="Assembly-01"/>
    <s v="OP-007"/>
    <x v="1"/>
    <n v="116"/>
    <n v="121"/>
    <n v="2"/>
    <n v="5.6"/>
    <n v="17969.11"/>
    <n v="2.31"/>
    <n v="41.58"/>
    <n v="110"/>
    <d v="2026-06-17T00:00:00"/>
    <d v="2026-06-19T00:00:00"/>
    <x v="1"/>
    <s v="NorthStar Aviation"/>
  </r>
  <r>
    <s v="PRD-00908"/>
    <x v="26"/>
    <x v="6"/>
    <x v="4"/>
    <s v="Assembly-01"/>
    <s v="OP-026"/>
    <x v="1"/>
    <n v="80"/>
    <n v="91"/>
    <n v="1"/>
    <n v="0.3"/>
    <n v="18511.75"/>
    <n v="2.12"/>
    <n v="42.4"/>
    <n v="176"/>
    <d v="2026-04-23T00:00:00"/>
    <d v="2026-04-22T00:00:00"/>
    <x v="2"/>
    <s v="Precision Air"/>
  </r>
  <r>
    <s v="PRD-00909"/>
    <x v="66"/>
    <x v="5"/>
    <x v="5"/>
    <s v="Surface-02"/>
    <s v="OP-025"/>
    <x v="2"/>
    <n v="227"/>
    <n v="217"/>
    <n v="18"/>
    <n v="7.3"/>
    <n v="30398.7"/>
    <n v="6.65"/>
    <n v="172.9"/>
    <n v="320"/>
    <d v="2026-04-18T00:00:00"/>
    <d v="2026-04-18T00:00:00"/>
    <x v="1"/>
    <s v="NorthStar Aviation"/>
  </r>
  <r>
    <s v="PRD-00910"/>
    <x v="110"/>
    <x v="2"/>
    <x v="2"/>
    <s v="Repair-02"/>
    <s v="OP-008"/>
    <x v="2"/>
    <n v="149"/>
    <n v="128"/>
    <n v="6"/>
    <n v="4.5"/>
    <n v="12412.23"/>
    <n v="5.23"/>
    <n v="115.06"/>
    <n v="174"/>
    <d v="2026-01-09T00:00:00"/>
    <d v="2026-01-09T00:00:00"/>
    <x v="1"/>
    <s v="NorthStar Aviation"/>
  </r>
  <r>
    <s v="PRD-00911"/>
    <x v="30"/>
    <x v="3"/>
    <x v="3"/>
    <s v="Press-01"/>
    <s v="OP-030"/>
    <x v="2"/>
    <n v="258"/>
    <n v="245"/>
    <n v="9"/>
    <n v="6.7"/>
    <n v="26682.37"/>
    <n v="4.8899999999999997"/>
    <n v="97.8"/>
    <n v="341"/>
    <d v="2026-05-11T00:00:00"/>
    <d v="2026-05-10T00:00:00"/>
    <x v="0"/>
    <s v="Global Aero Systems"/>
  </r>
  <r>
    <s v="PRD-00912"/>
    <x v="167"/>
    <x v="2"/>
    <x v="2"/>
    <s v="Repair-01"/>
    <s v="OP-014"/>
    <x v="2"/>
    <n v="186"/>
    <n v="171"/>
    <n v="1"/>
    <n v="8.4"/>
    <n v="12619.87"/>
    <n v="6.69"/>
    <n v="160.56"/>
    <n v="247"/>
    <d v="2026-04-25T00:00:00"/>
    <d v="2026-04-25T00:00:00"/>
    <x v="2"/>
    <s v="SkyWorks"/>
  </r>
  <r>
    <s v="PRD-00913"/>
    <x v="148"/>
    <x v="3"/>
    <x v="3"/>
    <s v="Laser-01"/>
    <s v="OP-030"/>
    <x v="0"/>
    <n v="120"/>
    <n v="117"/>
    <n v="6"/>
    <n v="7.7"/>
    <n v="10452.629999999999"/>
    <n v="4.18"/>
    <n v="83.6"/>
    <n v="218"/>
    <d v="2026-03-12T00:00:00"/>
    <d v="2026-03-16T00:00:00"/>
    <x v="0"/>
    <s v="NorthStar Aviation"/>
  </r>
  <r>
    <s v="PRD-00914"/>
    <x v="16"/>
    <x v="7"/>
    <x v="0"/>
    <s v="Autoclave-02"/>
    <s v="OP-011"/>
    <x v="2"/>
    <n v="125"/>
    <n v="91"/>
    <n v="2"/>
    <n v="7.6"/>
    <n v="28722.62"/>
    <n v="3.17"/>
    <n v="82.42"/>
    <n v="107"/>
    <d v="2026-01-16T00:00:00"/>
    <d v="2026-01-16T00:00:00"/>
    <x v="0"/>
    <s v="AeroTech UK"/>
  </r>
  <r>
    <s v="PRD-00915"/>
    <x v="113"/>
    <x v="0"/>
    <x v="0"/>
    <s v="Autoclave-01"/>
    <s v="OP-010"/>
    <x v="2"/>
    <n v="237"/>
    <n v="170"/>
    <n v="14"/>
    <n v="7.1"/>
    <n v="68385.259999999995"/>
    <n v="5.0599999999999996"/>
    <n v="111.32"/>
    <n v="271"/>
    <d v="2026-06-10T00:00:00"/>
    <d v="2026-06-09T00:00:00"/>
    <x v="1"/>
    <s v="AeroTech UK"/>
  </r>
  <r>
    <s v="PRD-00916"/>
    <x v="30"/>
    <x v="6"/>
    <x v="4"/>
    <s v="Assembly-01"/>
    <s v="OP-017"/>
    <x v="1"/>
    <n v="244"/>
    <n v="257"/>
    <n v="13"/>
    <n v="4.5"/>
    <n v="38075.71"/>
    <n v="7.05"/>
    <n v="155.1"/>
    <n v="245"/>
    <d v="2026-05-08T00:00:00"/>
    <d v="2026-05-12T00:00:00"/>
    <x v="0"/>
    <s v="SkyWorks"/>
  </r>
  <r>
    <s v="PRD-00917"/>
    <x v="23"/>
    <x v="2"/>
    <x v="2"/>
    <s v="Repair-02"/>
    <s v="OP-029"/>
    <x v="2"/>
    <n v="286"/>
    <n v="320"/>
    <n v="24"/>
    <n v="7.6"/>
    <n v="28807.62"/>
    <n v="9.3000000000000007"/>
    <n v="186"/>
    <n v="255"/>
    <d v="2026-06-20T00:00:00"/>
    <d v="2026-06-18T00:00:00"/>
    <x v="1"/>
    <s v="NorthStar Aviation"/>
  </r>
  <r>
    <s v="PRD-00918"/>
    <x v="25"/>
    <x v="5"/>
    <x v="5"/>
    <s v="Surface-01"/>
    <s v="OP-029"/>
    <x v="1"/>
    <n v="118"/>
    <n v="121"/>
    <n v="3"/>
    <n v="3"/>
    <n v="15038.74"/>
    <n v="3.58"/>
    <n v="85.92"/>
    <n v="109"/>
    <d v="2026-02-09T00:00:00"/>
    <d v="2026-02-09T00:00:00"/>
    <x v="0"/>
    <s v="AeroTech UK"/>
  </r>
  <r>
    <s v="PRD-00919"/>
    <x v="99"/>
    <x v="3"/>
    <x v="3"/>
    <s v="Laser-01"/>
    <s v="OP-027"/>
    <x v="1"/>
    <n v="129"/>
    <n v="112"/>
    <n v="1"/>
    <n v="7.6"/>
    <n v="14163.82"/>
    <n v="4.2"/>
    <n v="100.8"/>
    <n v="190"/>
    <d v="2026-04-11T00:00:00"/>
    <d v="2026-04-15T00:00:00"/>
    <x v="0"/>
    <s v="Global Aero Systems"/>
  </r>
  <r>
    <s v="PRD-00920"/>
    <x v="116"/>
    <x v="4"/>
    <x v="4"/>
    <s v="Assembly-03"/>
    <s v="OP-017"/>
    <x v="0"/>
    <n v="302"/>
    <n v="308"/>
    <n v="1"/>
    <n v="7"/>
    <n v="70067.44"/>
    <n v="9.14"/>
    <n v="201.08"/>
    <n v="299"/>
    <d v="2026-06-20T00:00:00"/>
    <d v="2026-06-20T00:00:00"/>
    <x v="0"/>
    <s v="Global Aero Systems"/>
  </r>
  <r>
    <s v="PRD-00921"/>
    <x v="106"/>
    <x v="1"/>
    <x v="1"/>
    <s v="CNC-04"/>
    <s v="OP-005"/>
    <x v="1"/>
    <n v="126"/>
    <n v="113"/>
    <n v="8"/>
    <n v="5.7"/>
    <n v="30031.48"/>
    <n v="3.05"/>
    <n v="54.9"/>
    <n v="112"/>
    <d v="2026-03-22T00:00:00"/>
    <d v="2026-03-22T00:00:00"/>
    <x v="0"/>
    <s v="Precision Air"/>
  </r>
  <r>
    <s v="PRD-00922"/>
    <x v="102"/>
    <x v="2"/>
    <x v="2"/>
    <s v="Repair-01"/>
    <s v="OP-014"/>
    <x v="0"/>
    <n v="191"/>
    <n v="200"/>
    <n v="14"/>
    <n v="0.4"/>
    <n v="22015.439999999999"/>
    <n v="4.99"/>
    <n v="119.76"/>
    <n v="162"/>
    <d v="2026-03-18T00:00:00"/>
    <d v="2026-03-19T00:00:00"/>
    <x v="0"/>
    <s v="AeroTech UK"/>
  </r>
  <r>
    <s v="PRD-00923"/>
    <x v="97"/>
    <x v="2"/>
    <x v="2"/>
    <s v="Repair-02"/>
    <s v="OP-009"/>
    <x v="2"/>
    <n v="314"/>
    <n v="345"/>
    <n v="19"/>
    <n v="8.3000000000000007"/>
    <n v="32954.019999999997"/>
    <n v="8.4"/>
    <n v="151.19999999999999"/>
    <n v="332"/>
    <d v="2026-05-14T00:00:00"/>
    <d v="2026-05-14T00:00:00"/>
    <x v="2"/>
    <s v="Precision Air"/>
  </r>
  <r>
    <s v="PRD-00924"/>
    <x v="38"/>
    <x v="7"/>
    <x v="0"/>
    <s v="Autoclave-01"/>
    <s v="OP-022"/>
    <x v="2"/>
    <n v="290"/>
    <n v="264"/>
    <n v="10"/>
    <n v="3.9"/>
    <n v="88675.03"/>
    <n v="6.49"/>
    <n v="168.74"/>
    <n v="356"/>
    <d v="2026-03-02T00:00:00"/>
    <d v="2026-03-02T00:00:00"/>
    <x v="1"/>
    <s v="Global Aero Systems"/>
  </r>
  <r>
    <s v="PRD-00925"/>
    <x v="146"/>
    <x v="1"/>
    <x v="1"/>
    <s v="CNC-04"/>
    <s v="OP-022"/>
    <x v="1"/>
    <n v="249"/>
    <n v="238"/>
    <n v="17"/>
    <n v="7.7"/>
    <n v="60879.29"/>
    <n v="8.43"/>
    <n v="168.6"/>
    <n v="348"/>
    <d v="2026-06-10T00:00:00"/>
    <d v="2026-06-10T00:00:00"/>
    <x v="0"/>
    <s v="AeroTech UK"/>
  </r>
  <r>
    <s v="PRD-00926"/>
    <x v="10"/>
    <x v="1"/>
    <x v="1"/>
    <s v="CNC-03"/>
    <s v="OP-004"/>
    <x v="1"/>
    <n v="85"/>
    <n v="64"/>
    <n v="5"/>
    <n v="6.6"/>
    <n v="12170.63"/>
    <n v="1.55"/>
    <n v="31"/>
    <n v="159"/>
    <d v="2026-03-31T00:00:00"/>
    <d v="2026-03-31T00:00:00"/>
    <x v="0"/>
    <s v="SkyWorks"/>
  </r>
  <r>
    <s v="PRD-00927"/>
    <x v="13"/>
    <x v="0"/>
    <x v="0"/>
    <s v="Autoclave-01"/>
    <s v="OP-004"/>
    <x v="0"/>
    <n v="119"/>
    <n v="130"/>
    <n v="10"/>
    <n v="0"/>
    <n v="40999.440000000002"/>
    <n v="4.82"/>
    <n v="106.04"/>
    <n v="124"/>
    <d v="2026-05-22T00:00:00"/>
    <d v="2026-05-26T00:00:00"/>
    <x v="0"/>
    <s v="Precision Air"/>
  </r>
  <r>
    <s v="PRD-00928"/>
    <x v="48"/>
    <x v="0"/>
    <x v="0"/>
    <s v="Autoclave-02"/>
    <s v="OP-006"/>
    <x v="2"/>
    <n v="251"/>
    <n v="247"/>
    <n v="18"/>
    <n v="3.2"/>
    <n v="62330.64"/>
    <n v="9.23"/>
    <n v="239.98"/>
    <n v="275"/>
    <d v="2026-05-02T00:00:00"/>
    <d v="2026-05-01T00:00:00"/>
    <x v="0"/>
    <s v="SkyWorks"/>
  </r>
  <r>
    <s v="PRD-00929"/>
    <x v="119"/>
    <x v="1"/>
    <x v="1"/>
    <s v="CNC-03"/>
    <s v="OP-020"/>
    <x v="0"/>
    <n v="316"/>
    <n v="330"/>
    <n v="12"/>
    <n v="3.1"/>
    <n v="77409.81"/>
    <n v="6.76"/>
    <n v="175.76"/>
    <n v="379"/>
    <d v="2026-02-16T00:00:00"/>
    <d v="2026-02-16T00:00:00"/>
    <x v="0"/>
    <s v="Global Aero Systems"/>
  </r>
  <r>
    <s v="PRD-00930"/>
    <x v="135"/>
    <x v="0"/>
    <x v="0"/>
    <s v="CNC-01"/>
    <s v="OP-007"/>
    <x v="2"/>
    <n v="138"/>
    <n v="148"/>
    <n v="13"/>
    <n v="7"/>
    <n v="48369.22"/>
    <n v="3.81"/>
    <n v="83.82"/>
    <n v="148"/>
    <d v="2026-06-02T00:00:00"/>
    <d v="2026-05-31T00:00:00"/>
    <x v="2"/>
    <s v="Precision Air"/>
  </r>
  <r>
    <s v="PRD-00931"/>
    <x v="11"/>
    <x v="7"/>
    <x v="0"/>
    <s v="CNC-01"/>
    <s v="OP-005"/>
    <x v="1"/>
    <n v="319"/>
    <n v="280"/>
    <n v="9"/>
    <n v="6.7"/>
    <n v="58394.38"/>
    <n v="8.15"/>
    <n v="163"/>
    <n v="303"/>
    <d v="2026-04-12T00:00:00"/>
    <d v="2026-04-11T00:00:00"/>
    <x v="1"/>
    <s v="Global Aero Systems"/>
  </r>
  <r>
    <s v="PRD-00932"/>
    <x v="22"/>
    <x v="4"/>
    <x v="4"/>
    <s v="Assembly-01"/>
    <s v="OP-023"/>
    <x v="1"/>
    <n v="239"/>
    <n v="255"/>
    <n v="19"/>
    <n v="5.7"/>
    <n v="46803.11"/>
    <n v="7.19"/>
    <n v="129.41999999999999"/>
    <n v="226"/>
    <d v="2026-05-24T00:00:00"/>
    <d v="2026-05-24T00:00:00"/>
    <x v="0"/>
    <s v="Global Aero Systems"/>
  </r>
  <r>
    <s v="PRD-00933"/>
    <x v="107"/>
    <x v="6"/>
    <x v="4"/>
    <s v="Assembly-02"/>
    <s v="OP-023"/>
    <x v="2"/>
    <n v="297"/>
    <n v="266"/>
    <n v="3"/>
    <n v="4.8"/>
    <n v="37326.879999999997"/>
    <n v="6.7"/>
    <n v="120.6"/>
    <n v="263"/>
    <d v="2026-02-15T00:00:00"/>
    <d v="2026-02-16T00:00:00"/>
    <x v="0"/>
    <s v="NorthStar Aviation"/>
  </r>
  <r>
    <s v="PRD-00934"/>
    <x v="76"/>
    <x v="0"/>
    <x v="0"/>
    <s v="Autoclave-02"/>
    <s v="OP-027"/>
    <x v="0"/>
    <n v="109"/>
    <n v="82"/>
    <n v="2"/>
    <n v="3"/>
    <n v="27697.01"/>
    <n v="1.89"/>
    <n v="34.020000000000003"/>
    <n v="128"/>
    <d v="2026-05-17T00:00:00"/>
    <d v="2026-05-17T00:00:00"/>
    <x v="0"/>
    <s v="Precision Air"/>
  </r>
  <r>
    <s v="PRD-00935"/>
    <x v="8"/>
    <x v="6"/>
    <x v="4"/>
    <s v="Assembly-03"/>
    <s v="OP-004"/>
    <x v="0"/>
    <n v="248"/>
    <n v="210"/>
    <n v="17"/>
    <n v="6.8"/>
    <n v="34040.32"/>
    <n v="5.9"/>
    <n v="129.80000000000001"/>
    <n v="276"/>
    <d v="2026-01-23T00:00:00"/>
    <d v="2026-01-23T00:00:00"/>
    <x v="0"/>
    <s v="AeroTech UK"/>
  </r>
  <r>
    <s v="PRD-00936"/>
    <x v="25"/>
    <x v="5"/>
    <x v="5"/>
    <s v="Surface-01"/>
    <s v="OP-021"/>
    <x v="0"/>
    <n v="200"/>
    <n v="213"/>
    <n v="8"/>
    <n v="1"/>
    <n v="29836.400000000001"/>
    <n v="8.41"/>
    <n v="168.2"/>
    <n v="180"/>
    <d v="2026-02-04T00:00:00"/>
    <d v="2026-02-04T00:00:00"/>
    <x v="0"/>
    <s v="AeroTech UK"/>
  </r>
  <r>
    <s v="PRD-00937"/>
    <x v="125"/>
    <x v="7"/>
    <x v="0"/>
    <s v="Autoclave-02"/>
    <s v="OP-026"/>
    <x v="0"/>
    <n v="135"/>
    <n v="139"/>
    <n v="2"/>
    <n v="6.6"/>
    <n v="43391.69"/>
    <n v="3.3"/>
    <n v="79.2"/>
    <n v="96"/>
    <d v="2026-06-23T00:00:00"/>
    <d v="2026-06-23T00:00:00"/>
    <x v="1"/>
    <s v="NorthStar Aviation"/>
  </r>
  <r>
    <s v="PRD-00938"/>
    <x v="46"/>
    <x v="1"/>
    <x v="1"/>
    <s v="CNC-02"/>
    <s v="OP-008"/>
    <x v="0"/>
    <n v="190"/>
    <n v="154"/>
    <n v="10"/>
    <n v="1.7"/>
    <n v="34074.06"/>
    <n v="4.2699999999999996"/>
    <n v="111.02"/>
    <n v="255"/>
    <d v="2026-05-18T00:00:00"/>
    <d v="2026-05-18T00:00:00"/>
    <x v="0"/>
    <s v="AeroTech UK"/>
  </r>
  <r>
    <s v="PRD-00939"/>
    <x v="160"/>
    <x v="6"/>
    <x v="4"/>
    <s v="Assembly-03"/>
    <s v="OP-023"/>
    <x v="2"/>
    <n v="234"/>
    <n v="218"/>
    <n v="20"/>
    <n v="3.6"/>
    <n v="31597.8"/>
    <n v="4.59"/>
    <n v="91.8"/>
    <n v="224"/>
    <d v="2026-04-30T00:00:00"/>
    <d v="2026-04-30T00:00:00"/>
    <x v="0"/>
    <s v="NorthStar Aviation"/>
  </r>
  <r>
    <s v="PRD-00940"/>
    <x v="14"/>
    <x v="7"/>
    <x v="0"/>
    <s v="CNC-01"/>
    <s v="OP-007"/>
    <x v="1"/>
    <n v="98"/>
    <n v="99"/>
    <n v="1"/>
    <n v="2"/>
    <n v="31384.3"/>
    <n v="3.33"/>
    <n v="59.94"/>
    <n v="61"/>
    <d v="2026-03-13T00:00:00"/>
    <d v="2026-03-12T00:00:00"/>
    <x v="0"/>
    <s v="NorthStar Aviation"/>
  </r>
  <r>
    <s v="PRD-00941"/>
    <x v="144"/>
    <x v="0"/>
    <x v="0"/>
    <s v="Autoclave-02"/>
    <s v="OP-028"/>
    <x v="0"/>
    <n v="163"/>
    <n v="185"/>
    <n v="7"/>
    <n v="4.7"/>
    <n v="57465.25"/>
    <n v="7.14"/>
    <n v="142.80000000000001"/>
    <n v="175"/>
    <d v="2026-02-15T00:00:00"/>
    <d v="2026-02-16T00:00:00"/>
    <x v="0"/>
    <s v="NorthStar Aviation"/>
  </r>
  <r>
    <s v="PRD-00942"/>
    <x v="80"/>
    <x v="5"/>
    <x v="5"/>
    <s v="Surface-02"/>
    <s v="OP-004"/>
    <x v="1"/>
    <n v="191"/>
    <n v="141"/>
    <n v="0"/>
    <n v="4.2"/>
    <n v="18730.96"/>
    <n v="2.74"/>
    <n v="65.760000000000005"/>
    <n v="285"/>
    <d v="2026-05-12T00:00:00"/>
    <d v="2026-05-12T00:00:00"/>
    <x v="2"/>
    <s v="NorthStar Aviation"/>
  </r>
  <r>
    <s v="PRD-00943"/>
    <x v="114"/>
    <x v="6"/>
    <x v="4"/>
    <s v="Assembly-01"/>
    <s v="OP-013"/>
    <x v="1"/>
    <n v="189"/>
    <n v="198"/>
    <n v="9"/>
    <n v="6.9"/>
    <n v="28809.05"/>
    <n v="5"/>
    <n v="100"/>
    <n v="264"/>
    <d v="2026-03-19T00:00:00"/>
    <d v="2026-03-19T00:00:00"/>
    <x v="2"/>
    <s v="NorthStar Aviation"/>
  </r>
  <r>
    <s v="PRD-00944"/>
    <x v="129"/>
    <x v="1"/>
    <x v="1"/>
    <s v="CNC-03"/>
    <s v="OP-009"/>
    <x v="0"/>
    <n v="311"/>
    <n v="241"/>
    <n v="18"/>
    <n v="5.8"/>
    <n v="59680.71"/>
    <n v="7.53"/>
    <n v="150.6"/>
    <n v="299"/>
    <d v="2026-05-09T00:00:00"/>
    <d v="2026-05-10T00:00:00"/>
    <x v="1"/>
    <s v="AeroTech UK"/>
  </r>
  <r>
    <s v="PRD-00945"/>
    <x v="27"/>
    <x v="6"/>
    <x v="4"/>
    <s v="Assembly-03"/>
    <s v="OP-001"/>
    <x v="2"/>
    <n v="183"/>
    <n v="133"/>
    <n v="7"/>
    <n v="8"/>
    <n v="19836.89"/>
    <n v="4.9800000000000004"/>
    <n v="129.47999999999999"/>
    <n v="278"/>
    <d v="2026-03-15T00:00:00"/>
    <d v="2026-03-19T00:00:00"/>
    <x v="1"/>
    <s v="AeroTech UK"/>
  </r>
  <r>
    <s v="PRD-00946"/>
    <x v="139"/>
    <x v="2"/>
    <x v="2"/>
    <s v="Repair-02"/>
    <s v="OP-019"/>
    <x v="0"/>
    <n v="80"/>
    <n v="74"/>
    <n v="1"/>
    <n v="6.6"/>
    <n v="7207.36"/>
    <n v="2.57"/>
    <n v="56.54"/>
    <n v="101"/>
    <d v="2026-04-06T00:00:00"/>
    <d v="2026-04-08T00:00:00"/>
    <x v="1"/>
    <s v="SkyWorks"/>
  </r>
  <r>
    <s v="PRD-00947"/>
    <x v="109"/>
    <x v="2"/>
    <x v="2"/>
    <s v="Repair-02"/>
    <s v="OP-001"/>
    <x v="0"/>
    <n v="239"/>
    <n v="192"/>
    <n v="5"/>
    <n v="0.4"/>
    <n v="16508.16"/>
    <n v="4.57"/>
    <n v="100.54"/>
    <n v="325"/>
    <d v="2026-01-30T00:00:00"/>
    <d v="2026-02-01T00:00:00"/>
    <x v="1"/>
    <s v="AeroTech UK"/>
  </r>
  <r>
    <s v="PRD-00948"/>
    <x v="64"/>
    <x v="3"/>
    <x v="3"/>
    <s v="Press-01"/>
    <s v="OP-007"/>
    <x v="1"/>
    <n v="185"/>
    <n v="202"/>
    <n v="4"/>
    <n v="3.7"/>
    <n v="24766.81"/>
    <n v="6.94"/>
    <n v="180.44"/>
    <n v="257"/>
    <d v="2026-01-31T00:00:00"/>
    <d v="2026-01-31T00:00:00"/>
    <x v="0"/>
    <s v="AeroTech UK"/>
  </r>
  <r>
    <s v="PRD-00949"/>
    <x v="164"/>
    <x v="6"/>
    <x v="4"/>
    <s v="Assembly-01"/>
    <s v="OP-026"/>
    <x v="1"/>
    <n v="315"/>
    <n v="306"/>
    <n v="4"/>
    <n v="2.5"/>
    <n v="54399.62"/>
    <n v="7.04"/>
    <n v="154.88"/>
    <n v="335"/>
    <d v="2026-01-21T00:00:00"/>
    <d v="2026-01-20T00:00:00"/>
    <x v="0"/>
    <s v="Precision Air"/>
  </r>
  <r>
    <s v="PRD-00950"/>
    <x v="124"/>
    <x v="1"/>
    <x v="1"/>
    <s v="CNC-02"/>
    <s v="OP-017"/>
    <x v="0"/>
    <n v="201"/>
    <n v="204"/>
    <n v="10"/>
    <n v="5.9"/>
    <n v="43325.11"/>
    <n v="7.79"/>
    <n v="155.80000000000001"/>
    <n v="266"/>
    <d v="2026-05-25T00:00:00"/>
    <d v="2026-05-24T00:00:00"/>
    <x v="0"/>
    <s v="NorthStar Aviation"/>
  </r>
  <r>
    <s v="PRD-00951"/>
    <x v="145"/>
    <x v="6"/>
    <x v="4"/>
    <s v="Assembly-01"/>
    <s v="OP-006"/>
    <x v="2"/>
    <n v="189"/>
    <n v="192"/>
    <n v="17"/>
    <n v="6.8"/>
    <n v="31133.03"/>
    <n v="6.86"/>
    <n v="178.36"/>
    <n v="154"/>
    <d v="2026-06-09T00:00:00"/>
    <d v="2026-06-09T00:00:00"/>
    <x v="0"/>
    <s v="NorthStar Aviation"/>
  </r>
  <r>
    <s v="PRD-00952"/>
    <x v="162"/>
    <x v="3"/>
    <x v="3"/>
    <s v="Press-01"/>
    <s v="OP-005"/>
    <x v="0"/>
    <n v="291"/>
    <n v="235"/>
    <n v="3"/>
    <n v="4.0999999999999996"/>
    <n v="27067.43"/>
    <n v="4.99"/>
    <n v="89.82"/>
    <n v="303"/>
    <d v="2026-01-19T00:00:00"/>
    <d v="2026-01-19T00:00:00"/>
    <x v="2"/>
    <s v="AeroTech UK"/>
  </r>
  <r>
    <s v="PRD-00953"/>
    <x v="111"/>
    <x v="5"/>
    <x v="5"/>
    <s v="Surface-02"/>
    <s v="OP-004"/>
    <x v="1"/>
    <n v="81"/>
    <n v="64"/>
    <n v="0"/>
    <n v="1.6"/>
    <n v="10053.76"/>
    <n v="1.28"/>
    <n v="25.6"/>
    <n v="104"/>
    <d v="2026-02-13T00:00:00"/>
    <d v="2026-02-13T00:00:00"/>
    <x v="2"/>
    <s v="NorthStar Aviation"/>
  </r>
  <r>
    <s v="PRD-00954"/>
    <x v="32"/>
    <x v="3"/>
    <x v="3"/>
    <s v="Laser-01"/>
    <s v="OP-018"/>
    <x v="0"/>
    <n v="262"/>
    <n v="247"/>
    <n v="13"/>
    <n v="6.1"/>
    <n v="37616.54"/>
    <n v="9.7799999999999994"/>
    <n v="254.28"/>
    <n v="306"/>
    <d v="2026-07-08T00:00:00"/>
    <d v="2026-07-08T00:00:00"/>
    <x v="1"/>
    <s v="Precision Air"/>
  </r>
  <r>
    <s v="PRD-00955"/>
    <x v="89"/>
    <x v="5"/>
    <x v="5"/>
    <s v="Surface-02"/>
    <s v="OP-025"/>
    <x v="0"/>
    <n v="124"/>
    <n v="121"/>
    <n v="9"/>
    <n v="2.5"/>
    <n v="14586.83"/>
    <n v="4.3099999999999996"/>
    <n v="77.58"/>
    <n v="134"/>
    <d v="2026-03-05T00:00:00"/>
    <d v="2026-03-05T00:00:00"/>
    <x v="2"/>
    <s v="Global Aero Systems"/>
  </r>
  <r>
    <s v="PRD-00956"/>
    <x v="2"/>
    <x v="0"/>
    <x v="0"/>
    <s v="CNC-01"/>
    <s v="OP-029"/>
    <x v="2"/>
    <n v="112"/>
    <n v="124"/>
    <n v="3"/>
    <n v="6.3"/>
    <n v="41824.720000000001"/>
    <n v="3.66"/>
    <n v="95.16"/>
    <n v="106"/>
    <d v="2026-01-26T00:00:00"/>
    <d v="2026-01-26T00:00:00"/>
    <x v="1"/>
    <s v="NorthStar Aviation"/>
  </r>
  <r>
    <s v="PRD-00957"/>
    <x v="41"/>
    <x v="7"/>
    <x v="0"/>
    <s v="CNC-01"/>
    <s v="OP-002"/>
    <x v="1"/>
    <n v="299"/>
    <n v="293"/>
    <n v="24"/>
    <n v="2.2000000000000002"/>
    <n v="76184.59"/>
    <n v="9.0500000000000007"/>
    <n v="199.1"/>
    <n v="325"/>
    <d v="2026-03-10T00:00:00"/>
    <d v="2026-03-10T00:00:00"/>
    <x v="0"/>
    <s v="Global Aero Systems"/>
  </r>
  <r>
    <s v="PRD-00958"/>
    <x v="59"/>
    <x v="3"/>
    <x v="3"/>
    <s v="Press-01"/>
    <s v="OP-001"/>
    <x v="2"/>
    <n v="258"/>
    <n v="256"/>
    <n v="13"/>
    <n v="5.6"/>
    <n v="26938"/>
    <n v="7.97"/>
    <n v="175.34"/>
    <n v="335"/>
    <d v="2026-02-26T00:00:00"/>
    <d v="2026-02-26T00:00:00"/>
    <x v="0"/>
    <s v="AeroTech UK"/>
  </r>
  <r>
    <s v="PRD-00959"/>
    <x v="1"/>
    <x v="7"/>
    <x v="0"/>
    <s v="CNC-01"/>
    <s v="OP-026"/>
    <x v="0"/>
    <n v="87"/>
    <n v="65"/>
    <n v="1"/>
    <n v="6.7"/>
    <n v="16150.53"/>
    <n v="2.2400000000000002"/>
    <n v="53.76"/>
    <n v="75"/>
    <d v="2026-01-16T00:00:00"/>
    <d v="2026-01-17T00:00:00"/>
    <x v="0"/>
    <s v="Precision Air"/>
  </r>
  <r>
    <s v="PRD-00960"/>
    <x v="1"/>
    <x v="3"/>
    <x v="3"/>
    <s v="Laser-01"/>
    <s v="OP-016"/>
    <x v="0"/>
    <n v="160"/>
    <n v="141"/>
    <n v="2"/>
    <n v="8.1999999999999993"/>
    <n v="18610.759999999998"/>
    <n v="3.42"/>
    <n v="61.56"/>
    <n v="259"/>
    <d v="2026-01-11T00:00:00"/>
    <d v="2026-01-15T00:00:00"/>
    <x v="0"/>
    <s v="AeroTech UK"/>
  </r>
  <r>
    <s v="PRD-00961"/>
    <x v="178"/>
    <x v="3"/>
    <x v="3"/>
    <s v="Laser-01"/>
    <s v="OP-013"/>
    <x v="1"/>
    <n v="208"/>
    <n v="205"/>
    <n v="1"/>
    <n v="3.4"/>
    <n v="19746.259999999998"/>
    <n v="3.82"/>
    <n v="99.32"/>
    <n v="180"/>
    <d v="2026-02-10T00:00:00"/>
    <d v="2026-02-10T00:00:00"/>
    <x v="0"/>
    <s v="SkyWorks"/>
  </r>
  <r>
    <s v="PRD-00962"/>
    <x v="61"/>
    <x v="4"/>
    <x v="4"/>
    <s v="Assembly-03"/>
    <s v="OP-012"/>
    <x v="1"/>
    <n v="212"/>
    <n v="177"/>
    <n v="3"/>
    <n v="3.4"/>
    <n v="29885.69"/>
    <n v="6.57"/>
    <n v="170.82"/>
    <n v="230"/>
    <d v="2026-01-30T00:00:00"/>
    <d v="2026-01-31T00:00:00"/>
    <x v="0"/>
    <s v="NorthStar Aviation"/>
  </r>
  <r>
    <s v="PRD-00963"/>
    <x v="145"/>
    <x v="2"/>
    <x v="2"/>
    <s v="Repair-01"/>
    <s v="OP-025"/>
    <x v="0"/>
    <n v="221"/>
    <n v="226"/>
    <n v="13"/>
    <n v="0.5"/>
    <n v="18173.14"/>
    <n v="8.7100000000000009"/>
    <n v="226.46"/>
    <n v="298"/>
    <d v="2026-06-08T00:00:00"/>
    <d v="2026-06-09T00:00:00"/>
    <x v="0"/>
    <s v="Precision Air"/>
  </r>
  <r>
    <s v="PRD-00964"/>
    <x v="153"/>
    <x v="3"/>
    <x v="3"/>
    <s v="Press-01"/>
    <s v="OP-028"/>
    <x v="0"/>
    <n v="95"/>
    <n v="79"/>
    <n v="0"/>
    <n v="1.1000000000000001"/>
    <n v="9718.24"/>
    <n v="1.66"/>
    <n v="43.16"/>
    <n v="190"/>
    <d v="2026-02-19T00:00:00"/>
    <d v="2026-02-19T00:00:00"/>
    <x v="0"/>
    <s v="NorthStar Aviation"/>
  </r>
  <r>
    <s v="PRD-00965"/>
    <x v="79"/>
    <x v="5"/>
    <x v="5"/>
    <s v="Surface-02"/>
    <s v="OP-023"/>
    <x v="1"/>
    <n v="305"/>
    <n v="341"/>
    <n v="17"/>
    <n v="3.4"/>
    <n v="53752.67"/>
    <n v="6.66"/>
    <n v="146.52000000000001"/>
    <n v="327"/>
    <d v="2026-05-25T00:00:00"/>
    <d v="2026-05-24T00:00:00"/>
    <x v="0"/>
    <s v="Precision Air"/>
  </r>
  <r>
    <s v="PRD-00966"/>
    <x v="92"/>
    <x v="6"/>
    <x v="4"/>
    <s v="Assembly-03"/>
    <s v="OP-004"/>
    <x v="1"/>
    <n v="123"/>
    <n v="116"/>
    <n v="7"/>
    <n v="6"/>
    <n v="17831.080000000002"/>
    <n v="2.15"/>
    <n v="51.6"/>
    <n v="116"/>
    <d v="2026-06-30T00:00:00"/>
    <d v="2026-07-02T00:00:00"/>
    <x v="0"/>
    <s v="SkyWorks"/>
  </r>
  <r>
    <s v="PRD-00967"/>
    <x v="71"/>
    <x v="5"/>
    <x v="5"/>
    <s v="Surface-01"/>
    <s v="OP-024"/>
    <x v="0"/>
    <n v="290"/>
    <n v="257"/>
    <n v="23"/>
    <n v="5.7"/>
    <n v="36024.120000000003"/>
    <n v="6.93"/>
    <n v="152.46"/>
    <n v="260"/>
    <d v="2026-01-26T00:00:00"/>
    <d v="2026-01-28T00:00:00"/>
    <x v="0"/>
    <s v="SkyWorks"/>
  </r>
  <r>
    <s v="PRD-00968"/>
    <x v="132"/>
    <x v="3"/>
    <x v="3"/>
    <s v="Laser-01"/>
    <s v="OP-024"/>
    <x v="2"/>
    <n v="129"/>
    <n v="146"/>
    <n v="12"/>
    <n v="0.2"/>
    <n v="14107.25"/>
    <n v="4.07"/>
    <n v="89.54"/>
    <n v="163"/>
    <d v="2026-04-08T00:00:00"/>
    <d v="2026-04-06T00:00:00"/>
    <x v="0"/>
    <s v="SkyWorks"/>
  </r>
  <r>
    <s v="PRD-00969"/>
    <x v="41"/>
    <x v="3"/>
    <x v="3"/>
    <s v="Laser-01"/>
    <s v="OP-030"/>
    <x v="2"/>
    <n v="164"/>
    <n v="169"/>
    <n v="2"/>
    <n v="5.5"/>
    <n v="22251.27"/>
    <n v="4.42"/>
    <n v="97.24"/>
    <n v="138"/>
    <d v="2026-03-09T00:00:00"/>
    <d v="2026-03-09T00:00:00"/>
    <x v="0"/>
    <s v="NorthStar Aviation"/>
  </r>
  <r>
    <s v="PRD-00970"/>
    <x v="11"/>
    <x v="1"/>
    <x v="1"/>
    <s v="CNC-04"/>
    <s v="OP-015"/>
    <x v="0"/>
    <n v="145"/>
    <n v="141"/>
    <n v="11"/>
    <n v="1.1000000000000001"/>
    <n v="37747.769999999997"/>
    <n v="5.27"/>
    <n v="94.86"/>
    <n v="129"/>
    <d v="2026-04-12T00:00:00"/>
    <d v="2026-04-16T00:00:00"/>
    <x v="1"/>
    <s v="AeroTech UK"/>
  </r>
  <r>
    <s v="PRD-00971"/>
    <x v="17"/>
    <x v="7"/>
    <x v="0"/>
    <s v="CNC-01"/>
    <s v="OP-003"/>
    <x v="0"/>
    <n v="130"/>
    <n v="107"/>
    <n v="1"/>
    <n v="6.1"/>
    <n v="25677.37"/>
    <n v="3.58"/>
    <n v="71.599999999999994"/>
    <n v="100"/>
    <d v="2026-05-28T00:00:00"/>
    <d v="2026-05-26T00:00:00"/>
    <x v="0"/>
    <s v="Precision Air"/>
  </r>
  <r>
    <s v="PRD-00972"/>
    <x v="174"/>
    <x v="4"/>
    <x v="4"/>
    <s v="Assembly-02"/>
    <s v="OP-019"/>
    <x v="2"/>
    <n v="104"/>
    <n v="95"/>
    <n v="4"/>
    <n v="3.7"/>
    <n v="21248.73"/>
    <n v="3.74"/>
    <n v="67.319999999999993"/>
    <n v="111"/>
    <d v="2026-05-13T00:00:00"/>
    <d v="2026-05-11T00:00:00"/>
    <x v="0"/>
    <s v="SkyWorks"/>
  </r>
  <r>
    <s v="PRD-00973"/>
    <x v="40"/>
    <x v="0"/>
    <x v="0"/>
    <s v="CNC-01"/>
    <s v="OP-030"/>
    <x v="2"/>
    <n v="112"/>
    <n v="120"/>
    <n v="6"/>
    <n v="0.1"/>
    <n v="39651.89"/>
    <n v="3.99"/>
    <n v="95.76"/>
    <n v="139"/>
    <d v="2026-04-23T00:00:00"/>
    <d v="2026-04-22T00:00:00"/>
    <x v="2"/>
    <s v="Precision Air"/>
  </r>
  <r>
    <s v="PRD-00974"/>
    <x v="7"/>
    <x v="1"/>
    <x v="1"/>
    <s v="CNC-03"/>
    <s v="OP-008"/>
    <x v="1"/>
    <n v="174"/>
    <n v="170"/>
    <n v="6"/>
    <n v="8"/>
    <n v="33847.86"/>
    <n v="6.36"/>
    <n v="165.36"/>
    <n v="207"/>
    <d v="2026-06-27T00:00:00"/>
    <d v="2026-06-27T00:00:00"/>
    <x v="0"/>
    <s v="Precision Air"/>
  </r>
  <r>
    <s v="PRD-00975"/>
    <x v="129"/>
    <x v="4"/>
    <x v="4"/>
    <s v="Assembly-01"/>
    <s v="OP-015"/>
    <x v="1"/>
    <n v="230"/>
    <n v="179"/>
    <n v="16"/>
    <n v="1.8"/>
    <n v="36210.67"/>
    <n v="4.1500000000000004"/>
    <n v="107.9"/>
    <n v="319"/>
    <d v="2026-05-07T00:00:00"/>
    <d v="2026-05-06T00:00:00"/>
    <x v="0"/>
    <s v="SkyWorks"/>
  </r>
  <r>
    <s v="PRD-00976"/>
    <x v="165"/>
    <x v="2"/>
    <x v="2"/>
    <s v="Repair-01"/>
    <s v="OP-008"/>
    <x v="1"/>
    <n v="103"/>
    <n v="85"/>
    <n v="0"/>
    <n v="6.7"/>
    <n v="7636.93"/>
    <n v="2.62"/>
    <n v="47.16"/>
    <n v="156"/>
    <d v="2026-04-09T00:00:00"/>
    <d v="2026-04-07T00:00:00"/>
    <x v="0"/>
    <s v="Global Aero Systems"/>
  </r>
  <r>
    <s v="PRD-00977"/>
    <x v="26"/>
    <x v="2"/>
    <x v="2"/>
    <s v="Repair-01"/>
    <s v="OP-013"/>
    <x v="1"/>
    <n v="212"/>
    <n v="215"/>
    <n v="3"/>
    <n v="1.2"/>
    <n v="18981.330000000002"/>
    <n v="4.09"/>
    <n v="81.8"/>
    <n v="186"/>
    <d v="2026-04-30T00:00:00"/>
    <d v="2026-04-30T00:00:00"/>
    <x v="0"/>
    <s v="Precision Air"/>
  </r>
  <r>
    <s v="PRD-00978"/>
    <x v="61"/>
    <x v="7"/>
    <x v="0"/>
    <s v="Autoclave-02"/>
    <s v="OP-017"/>
    <x v="0"/>
    <n v="119"/>
    <n v="120"/>
    <n v="1"/>
    <n v="8.5"/>
    <n v="32174.1"/>
    <n v="4.37"/>
    <n v="96.14"/>
    <n v="166"/>
    <d v="2026-01-30T00:00:00"/>
    <d v="2026-01-28T00:00:00"/>
    <x v="2"/>
    <s v="NorthStar Aviation"/>
  </r>
  <r>
    <s v="PRD-00979"/>
    <x v="60"/>
    <x v="0"/>
    <x v="0"/>
    <s v="Autoclave-02"/>
    <s v="OP-010"/>
    <x v="0"/>
    <n v="240"/>
    <n v="260"/>
    <n v="11"/>
    <n v="5.0999999999999996"/>
    <n v="99526.57"/>
    <n v="10.82"/>
    <n v="238.04"/>
    <n v="274"/>
    <d v="2026-04-24T00:00:00"/>
    <d v="2026-04-23T00:00:00"/>
    <x v="0"/>
    <s v="AeroTech UK"/>
  </r>
  <r>
    <s v="PRD-00980"/>
    <x v="47"/>
    <x v="5"/>
    <x v="5"/>
    <s v="Surface-01"/>
    <s v="OP-024"/>
    <x v="2"/>
    <n v="167"/>
    <n v="141"/>
    <n v="6"/>
    <n v="6"/>
    <n v="22671.98"/>
    <n v="3"/>
    <n v="54"/>
    <n v="181"/>
    <d v="2026-05-21T00:00:00"/>
    <d v="2026-05-22T00:00:00"/>
    <x v="1"/>
    <s v="AeroTech UK"/>
  </r>
  <r>
    <s v="PRD-00981"/>
    <x v="64"/>
    <x v="4"/>
    <x v="4"/>
    <s v="Assembly-02"/>
    <s v="OP-023"/>
    <x v="1"/>
    <n v="256"/>
    <n v="260"/>
    <n v="15"/>
    <n v="0.4"/>
    <n v="50394.63"/>
    <n v="9.1"/>
    <n v="200.2"/>
    <n v="289"/>
    <d v="2026-02-07T00:00:00"/>
    <d v="2026-02-07T00:00:00"/>
    <x v="0"/>
    <s v="SkyWorks"/>
  </r>
  <r>
    <s v="PRD-00982"/>
    <x v="113"/>
    <x v="3"/>
    <x v="3"/>
    <s v="Laser-01"/>
    <s v="OP-018"/>
    <x v="1"/>
    <n v="273"/>
    <n v="266"/>
    <n v="15"/>
    <n v="8.5"/>
    <n v="31368.38"/>
    <n v="9.9499999999999993"/>
    <n v="218.9"/>
    <n v="349"/>
    <d v="2026-06-02T00:00:00"/>
    <d v="2026-06-02T00:00:00"/>
    <x v="0"/>
    <s v="Precision Air"/>
  </r>
  <r>
    <s v="PRD-00983"/>
    <x v="152"/>
    <x v="1"/>
    <x v="1"/>
    <s v="CNC-02"/>
    <s v="OP-027"/>
    <x v="2"/>
    <n v="164"/>
    <n v="157"/>
    <n v="4"/>
    <n v="7"/>
    <n v="41655.49"/>
    <n v="5.81"/>
    <n v="116.2"/>
    <n v="168"/>
    <d v="2026-04-14T00:00:00"/>
    <d v="2026-04-13T00:00:00"/>
    <x v="0"/>
    <s v="SkyWorks"/>
  </r>
  <r>
    <s v="PRD-00984"/>
    <x v="161"/>
    <x v="2"/>
    <x v="2"/>
    <s v="Repair-02"/>
    <s v="OP-021"/>
    <x v="1"/>
    <n v="224"/>
    <n v="215"/>
    <n v="19"/>
    <n v="3.7"/>
    <n v="24002.83"/>
    <n v="6.31"/>
    <n v="151.44"/>
    <n v="214"/>
    <d v="2026-02-15T00:00:00"/>
    <d v="2026-02-17T00:00:00"/>
    <x v="0"/>
    <s v="NorthStar Aviation"/>
  </r>
  <r>
    <s v="PRD-00985"/>
    <x v="89"/>
    <x v="6"/>
    <x v="4"/>
    <s v="Assembly-03"/>
    <s v="OP-027"/>
    <x v="2"/>
    <n v="265"/>
    <n v="216"/>
    <n v="12"/>
    <n v="2.9"/>
    <n v="44285.72"/>
    <n v="7.26"/>
    <n v="188.76"/>
    <n v="260"/>
    <d v="2026-03-09T00:00:00"/>
    <d v="2026-03-07T00:00:00"/>
    <x v="0"/>
    <s v="SkyWorks"/>
  </r>
  <r>
    <s v="PRD-00986"/>
    <x v="82"/>
    <x v="0"/>
    <x v="0"/>
    <s v="Autoclave-01"/>
    <s v="OP-022"/>
    <x v="1"/>
    <n v="310"/>
    <n v="315"/>
    <n v="18"/>
    <n v="3.1"/>
    <n v="113521.09"/>
    <n v="6.78"/>
    <n v="176.28"/>
    <n v="361"/>
    <d v="2026-04-25T00:00:00"/>
    <d v="2026-04-25T00:00:00"/>
    <x v="2"/>
    <s v="AeroTech UK"/>
  </r>
  <r>
    <s v="PRD-00987"/>
    <x v="79"/>
    <x v="2"/>
    <x v="2"/>
    <s v="Repair-02"/>
    <s v="OP-011"/>
    <x v="2"/>
    <n v="168"/>
    <n v="150"/>
    <n v="1"/>
    <n v="7.5"/>
    <n v="11344.32"/>
    <n v="4.2300000000000004"/>
    <n v="84.6"/>
    <n v="176"/>
    <d v="2026-05-31T00:00:00"/>
    <d v="2026-06-01T00:00:00"/>
    <x v="1"/>
    <s v="SkyWorks"/>
  </r>
  <r>
    <s v="PRD-00988"/>
    <x v="3"/>
    <x v="6"/>
    <x v="4"/>
    <s v="Assembly-02"/>
    <s v="OP-001"/>
    <x v="0"/>
    <n v="218"/>
    <n v="170"/>
    <n v="9"/>
    <n v="7"/>
    <n v="31383.119999999999"/>
    <n v="6.73"/>
    <n v="121.14"/>
    <n v="220"/>
    <d v="2026-02-28T00:00:00"/>
    <d v="2026-02-28T00:00:00"/>
    <x v="0"/>
    <s v="Precision Air"/>
  </r>
  <r>
    <s v="PRD-00989"/>
    <x v="60"/>
    <x v="2"/>
    <x v="2"/>
    <s v="Repair-02"/>
    <s v="OP-013"/>
    <x v="0"/>
    <n v="96"/>
    <n v="110"/>
    <n v="1"/>
    <n v="8.8000000000000007"/>
    <n v="8941.86"/>
    <n v="2.19"/>
    <n v="43.8"/>
    <n v="141"/>
    <d v="2026-04-24T00:00:00"/>
    <d v="2026-04-22T00:00:00"/>
    <x v="0"/>
    <s v="AeroTech UK"/>
  </r>
  <r>
    <s v="PRD-00990"/>
    <x v="168"/>
    <x v="6"/>
    <x v="4"/>
    <s v="Assembly-01"/>
    <s v="OP-021"/>
    <x v="2"/>
    <n v="155"/>
    <n v="153"/>
    <n v="1"/>
    <n v="6.6"/>
    <n v="21877.23"/>
    <n v="3.4"/>
    <n v="88.4"/>
    <n v="165"/>
    <d v="2026-06-17T00:00:00"/>
    <d v="2026-06-21T00:00:00"/>
    <x v="2"/>
    <s v="AeroTech UK"/>
  </r>
  <r>
    <s v="PRD-00991"/>
    <x v="51"/>
    <x v="1"/>
    <x v="1"/>
    <s v="CNC-04"/>
    <s v="OP-020"/>
    <x v="2"/>
    <n v="151"/>
    <n v="126"/>
    <n v="10"/>
    <n v="4"/>
    <n v="28955.94"/>
    <n v="2.44"/>
    <n v="58.56"/>
    <n v="146"/>
    <d v="2026-04-13T00:00:00"/>
    <d v="2026-04-15T00:00:00"/>
    <x v="0"/>
    <s v="SkyWorks"/>
  </r>
  <r>
    <s v="PRD-00992"/>
    <x v="90"/>
    <x v="0"/>
    <x v="0"/>
    <s v="CNC-01"/>
    <s v="OP-030"/>
    <x v="0"/>
    <n v="303"/>
    <n v="282"/>
    <n v="17"/>
    <n v="4.3"/>
    <n v="76928.84"/>
    <n v="6.17"/>
    <n v="160.41999999999999"/>
    <n v="280"/>
    <d v="2026-01-11T00:00:00"/>
    <d v="2026-01-09T00:00:00"/>
    <x v="2"/>
    <s v="Precision Air"/>
  </r>
  <r>
    <s v="PRD-00993"/>
    <x v="128"/>
    <x v="0"/>
    <x v="0"/>
    <s v="Autoclave-01"/>
    <s v="OP-015"/>
    <x v="0"/>
    <n v="130"/>
    <n v="104"/>
    <n v="2"/>
    <n v="8.4"/>
    <n v="37238.22"/>
    <n v="3.66"/>
    <n v="73.2"/>
    <n v="141"/>
    <d v="2026-03-16T00:00:00"/>
    <d v="2026-03-18T00:00:00"/>
    <x v="0"/>
    <s v="AeroTech UK"/>
  </r>
  <r>
    <s v="PRD-00994"/>
    <x v="30"/>
    <x v="7"/>
    <x v="0"/>
    <s v="Autoclave-01"/>
    <s v="OP-015"/>
    <x v="1"/>
    <n v="297"/>
    <n v="341"/>
    <n v="29"/>
    <n v="6.1"/>
    <n v="70195.44"/>
    <n v="9.25"/>
    <n v="185"/>
    <n v="365"/>
    <d v="2026-05-04T00:00:00"/>
    <d v="2026-05-05T00:00:00"/>
    <x v="0"/>
    <s v="Precision Air"/>
  </r>
  <r>
    <s v="PRD-00995"/>
    <x v="101"/>
    <x v="4"/>
    <x v="4"/>
    <s v="Assembly-02"/>
    <s v="OP-010"/>
    <x v="0"/>
    <n v="111"/>
    <n v="89"/>
    <n v="4"/>
    <n v="8"/>
    <n v="17157.509999999998"/>
    <n v="2.87"/>
    <n v="57.4"/>
    <n v="153"/>
    <d v="2026-05-29T00:00:00"/>
    <d v="2026-05-29T00:00:00"/>
    <x v="3"/>
    <s v="AeroTech UK"/>
  </r>
  <r>
    <s v="PRD-00996"/>
    <x v="109"/>
    <x v="2"/>
    <x v="2"/>
    <s v="Repair-02"/>
    <s v="OP-006"/>
    <x v="2"/>
    <n v="152"/>
    <n v="174"/>
    <n v="4"/>
    <n v="1.8"/>
    <n v="13024.88"/>
    <n v="5.0999999999999996"/>
    <n v="91.8"/>
    <n v="148"/>
    <d v="2026-02-03T00:00:00"/>
    <d v="2026-02-07T00:00:00"/>
    <x v="1"/>
    <s v="AeroTech UK"/>
  </r>
  <r>
    <s v="PRD-00997"/>
    <x v="34"/>
    <x v="3"/>
    <x v="3"/>
    <s v="Bender-01"/>
    <s v="OP-026"/>
    <x v="0"/>
    <n v="103"/>
    <n v="113"/>
    <n v="9"/>
    <n v="5.3"/>
    <n v="13259.15"/>
    <n v="2.56"/>
    <n v="66.56"/>
    <n v="170"/>
    <d v="2026-01-08T00:00:00"/>
    <d v="2026-01-09T00:00:00"/>
    <x v="2"/>
    <s v="Precision Air"/>
  </r>
  <r>
    <s v="PRD-00998"/>
    <x v="39"/>
    <x v="1"/>
    <x v="1"/>
    <s v="CNC-03"/>
    <s v="OP-019"/>
    <x v="1"/>
    <n v="301"/>
    <n v="323"/>
    <n v="27"/>
    <n v="4.9000000000000004"/>
    <n v="91663.16"/>
    <n v="7.19"/>
    <n v="158.18"/>
    <n v="365"/>
    <d v="2026-04-25T00:00:00"/>
    <d v="2026-04-26T00:00:00"/>
    <x v="0"/>
    <s v="AeroTech UK"/>
  </r>
  <r>
    <s v="PRD-00999"/>
    <x v="46"/>
    <x v="2"/>
    <x v="2"/>
    <s v="Repair-02"/>
    <s v="OP-025"/>
    <x v="2"/>
    <n v="254"/>
    <n v="284"/>
    <n v="4"/>
    <n v="4.3"/>
    <n v="24144.83"/>
    <n v="8.5"/>
    <n v="204"/>
    <n v="346"/>
    <d v="2026-05-11T00:00:00"/>
    <d v="2026-05-09T00:00:00"/>
    <x v="0"/>
    <s v="Global Aero Systems"/>
  </r>
  <r>
    <s v="PRD-01000"/>
    <x v="13"/>
    <x v="3"/>
    <x v="3"/>
    <s v="Press-01"/>
    <s v="OP-022"/>
    <x v="1"/>
    <n v="248"/>
    <n v="268"/>
    <n v="5"/>
    <n v="5.7"/>
    <n v="26838.26"/>
    <n v="11.21"/>
    <n v="246.62"/>
    <n v="211"/>
    <d v="2026-05-26T00:00:00"/>
    <d v="2026-05-30T00:00:00"/>
    <x v="0"/>
    <s v="Global Aero Systems"/>
  </r>
  <r>
    <s v="PRD-01001"/>
    <x v="138"/>
    <x v="3"/>
    <x v="3"/>
    <s v="Bender-01"/>
    <s v="OP-014"/>
    <x v="0"/>
    <n v="98"/>
    <n v="92"/>
    <n v="6"/>
    <n v="1.6"/>
    <n v="11455.37"/>
    <n v="2.91"/>
    <n v="69.84"/>
    <n v="68"/>
    <d v="2026-06-05T00:00:00"/>
    <d v="2026-06-05T00:00:00"/>
    <x v="0"/>
    <s v="Precision Air"/>
  </r>
  <r>
    <s v="PRD-01002"/>
    <x v="13"/>
    <x v="6"/>
    <x v="4"/>
    <s v="Assembly-03"/>
    <s v="OP-023"/>
    <x v="0"/>
    <n v="302"/>
    <n v="219"/>
    <n v="4"/>
    <n v="8"/>
    <n v="30436.04"/>
    <n v="4.12"/>
    <n v="107.12"/>
    <n v="320"/>
    <d v="2026-05-31T00:00:00"/>
    <d v="2026-06-02T00:00:00"/>
    <x v="1"/>
    <s v="SkyWorks"/>
  </r>
  <r>
    <s v="PRD-01003"/>
    <x v="151"/>
    <x v="6"/>
    <x v="4"/>
    <s v="Assembly-03"/>
    <s v="OP-017"/>
    <x v="1"/>
    <n v="113"/>
    <n v="95"/>
    <n v="5"/>
    <n v="7.6"/>
    <n v="17491.88"/>
    <n v="1.86"/>
    <n v="33.479999999999997"/>
    <n v="145"/>
    <d v="2026-05-17T00:00:00"/>
    <d v="2026-05-21T00:00:00"/>
    <x v="1"/>
    <s v="AeroTech UK"/>
  </r>
  <r>
    <s v="PRD-01004"/>
    <x v="155"/>
    <x v="5"/>
    <x v="5"/>
    <s v="Surface-01"/>
    <s v="OP-013"/>
    <x v="2"/>
    <n v="171"/>
    <n v="191"/>
    <n v="4"/>
    <n v="4.9000000000000004"/>
    <n v="26613.59"/>
    <n v="5.91"/>
    <n v="118.2"/>
    <n v="137"/>
    <d v="2026-07-08T00:00:00"/>
    <d v="2026-07-12T00:00:00"/>
    <x v="0"/>
    <s v="Precision Air"/>
  </r>
  <r>
    <s v="PRD-01005"/>
    <x v="127"/>
    <x v="5"/>
    <x v="5"/>
    <s v="Surface-02"/>
    <s v="OP-024"/>
    <x v="2"/>
    <n v="236"/>
    <n v="223"/>
    <n v="8"/>
    <n v="1.3"/>
    <n v="36979.53"/>
    <n v="6.72"/>
    <n v="134.4"/>
    <n v="229"/>
    <d v="2026-01-24T00:00:00"/>
    <d v="2026-01-24T00:00:00"/>
    <x v="2"/>
    <s v="Precision Air"/>
  </r>
  <r>
    <s v="PRD-01006"/>
    <x v="171"/>
    <x v="7"/>
    <x v="0"/>
    <s v="Autoclave-02"/>
    <s v="OP-019"/>
    <x v="2"/>
    <n v="244"/>
    <n v="195"/>
    <n v="11"/>
    <n v="2.1"/>
    <n v="40922.959999999999"/>
    <n v="3.65"/>
    <n v="80.3"/>
    <n v="303"/>
    <d v="2026-03-31T00:00:00"/>
    <d v="2026-04-01T00:00:00"/>
    <x v="2"/>
    <s v="AeroTech UK"/>
  </r>
  <r>
    <s v="PRD-01007"/>
    <x v="122"/>
    <x v="0"/>
    <x v="0"/>
    <s v="Autoclave-01"/>
    <s v="OP-005"/>
    <x v="1"/>
    <n v="151"/>
    <n v="167"/>
    <n v="3"/>
    <n v="6.7"/>
    <n v="57165.63"/>
    <n v="3.74"/>
    <n v="97.24"/>
    <n v="211"/>
    <d v="2026-07-01T00:00:00"/>
    <d v="2026-07-03T00:00:00"/>
    <x v="0"/>
    <s v="Precision Air"/>
  </r>
  <r>
    <s v="PRD-01008"/>
    <x v="115"/>
    <x v="3"/>
    <x v="3"/>
    <s v="Bender-01"/>
    <s v="OP-013"/>
    <x v="2"/>
    <n v="143"/>
    <n v="141"/>
    <n v="2"/>
    <n v="4.8"/>
    <n v="15966.23"/>
    <n v="3.86"/>
    <n v="77.2"/>
    <n v="152"/>
    <d v="2026-03-27T00:00:00"/>
    <d v="2026-03-26T00:00:00"/>
    <x v="0"/>
    <s v="SkyWorks"/>
  </r>
  <r>
    <s v="PRD-01009"/>
    <x v="8"/>
    <x v="4"/>
    <x v="4"/>
    <s v="Assembly-01"/>
    <s v="OP-011"/>
    <x v="0"/>
    <n v="216"/>
    <n v="226"/>
    <n v="15"/>
    <n v="8.4"/>
    <n v="44725.06"/>
    <n v="6.18"/>
    <n v="160.68"/>
    <n v="219"/>
    <d v="2026-01-29T00:00:00"/>
    <d v="2026-01-29T00:00:00"/>
    <x v="0"/>
    <s v="Precision Air"/>
  </r>
  <r>
    <s v="PRD-01010"/>
    <x v="158"/>
    <x v="4"/>
    <x v="4"/>
    <s v="Assembly-01"/>
    <s v="OP-011"/>
    <x v="2"/>
    <n v="137"/>
    <n v="149"/>
    <n v="13"/>
    <n v="1"/>
    <n v="30940.98"/>
    <n v="2.77"/>
    <n v="66.48"/>
    <n v="229"/>
    <d v="2026-07-01T00:00:00"/>
    <d v="2026-07-03T00:00:00"/>
    <x v="1"/>
    <s v="Precision Air"/>
  </r>
  <r>
    <s v="PRD-01011"/>
    <x v="62"/>
    <x v="5"/>
    <x v="5"/>
    <s v="Surface-02"/>
    <s v="OP-016"/>
    <x v="2"/>
    <n v="291"/>
    <n v="242"/>
    <n v="1"/>
    <n v="2.8"/>
    <n v="39760.71"/>
    <n v="9.5500000000000007"/>
    <n v="248.3"/>
    <n v="270"/>
    <d v="2026-03-27T00:00:00"/>
    <d v="2026-03-31T00:00:00"/>
    <x v="1"/>
    <s v="AeroTech UK"/>
  </r>
  <r>
    <s v="PRD-01012"/>
    <x v="166"/>
    <x v="4"/>
    <x v="4"/>
    <s v="Assembly-03"/>
    <s v="OP-004"/>
    <x v="2"/>
    <n v="140"/>
    <n v="117"/>
    <n v="0"/>
    <n v="7.5"/>
    <n v="19881.43"/>
    <n v="3.02"/>
    <n v="72.48"/>
    <n v="127"/>
    <d v="2026-02-27T00:00:00"/>
    <d v="2026-02-28T00:00:00"/>
    <x v="0"/>
    <s v="NorthStar Aviation"/>
  </r>
  <r>
    <s v="PRD-01013"/>
    <x v="99"/>
    <x v="1"/>
    <x v="1"/>
    <s v="CNC-03"/>
    <s v="OP-025"/>
    <x v="2"/>
    <n v="201"/>
    <n v="207"/>
    <n v="18"/>
    <n v="0.9"/>
    <n v="51671.34"/>
    <n v="5.3"/>
    <n v="95.4"/>
    <n v="229"/>
    <d v="2026-04-08T00:00:00"/>
    <d v="2026-04-07T00:00:00"/>
    <x v="0"/>
    <s v="AeroTech UK"/>
  </r>
  <r>
    <s v="PRD-01014"/>
    <x v="11"/>
    <x v="3"/>
    <x v="3"/>
    <s v="Laser-01"/>
    <s v="OP-005"/>
    <x v="2"/>
    <n v="178"/>
    <n v="175"/>
    <n v="15"/>
    <n v="1.1000000000000001"/>
    <n v="21082.9"/>
    <n v="3.4"/>
    <n v="68"/>
    <n v="260"/>
    <d v="2026-04-03T00:00:00"/>
    <d v="2026-04-03T00:00:00"/>
    <x v="0"/>
    <s v="Precision Air"/>
  </r>
  <r>
    <s v="PRD-01015"/>
    <x v="76"/>
    <x v="4"/>
    <x v="4"/>
    <s v="Assembly-02"/>
    <s v="OP-015"/>
    <x v="1"/>
    <n v="121"/>
    <n v="133"/>
    <n v="11"/>
    <n v="5"/>
    <n v="32814.43"/>
    <n v="3.72"/>
    <n v="81.84"/>
    <n v="210"/>
    <d v="2026-05-23T00:00:00"/>
    <d v="2026-05-27T00:00:00"/>
    <x v="1"/>
    <s v="SkyWorks"/>
  </r>
  <r>
    <s v="PRD-01016"/>
    <x v="96"/>
    <x v="3"/>
    <x v="3"/>
    <s v="Laser-01"/>
    <s v="OP-010"/>
    <x v="2"/>
    <n v="260"/>
    <n v="224"/>
    <n v="7"/>
    <n v="6.7"/>
    <n v="28227.4"/>
    <n v="5.86"/>
    <n v="152.36000000000001"/>
    <n v="328"/>
    <d v="2026-02-19T00:00:00"/>
    <d v="2026-02-20T00:00:00"/>
    <x v="1"/>
    <s v="Precision Air"/>
  </r>
  <r>
    <s v="PRD-01017"/>
    <x v="163"/>
    <x v="6"/>
    <x v="4"/>
    <s v="Assembly-03"/>
    <s v="OP-012"/>
    <x v="0"/>
    <n v="313"/>
    <n v="241"/>
    <n v="3"/>
    <n v="6.2"/>
    <n v="43156.83"/>
    <n v="9.73"/>
    <n v="175.14"/>
    <n v="283"/>
    <d v="2026-02-04T00:00:00"/>
    <d v="2026-02-04T00:00:00"/>
    <x v="0"/>
    <s v="NorthStar Aviation"/>
  </r>
  <r>
    <s v="PRD-01018"/>
    <x v="135"/>
    <x v="1"/>
    <x v="1"/>
    <s v="CNC-02"/>
    <s v="OP-016"/>
    <x v="2"/>
    <n v="140"/>
    <n v="108"/>
    <n v="9"/>
    <n v="7.9"/>
    <n v="29807.119999999999"/>
    <n v="4.2"/>
    <n v="75.599999999999994"/>
    <n v="153"/>
    <d v="2026-06-02T00:00:00"/>
    <d v="2026-06-03T00:00:00"/>
    <x v="0"/>
    <s v="Precision Air"/>
  </r>
  <r>
    <s v="PRD-01019"/>
    <x v="59"/>
    <x v="2"/>
    <x v="2"/>
    <s v="Repair-01"/>
    <s v="OP-015"/>
    <x v="0"/>
    <n v="254"/>
    <n v="193"/>
    <n v="6"/>
    <n v="7.7"/>
    <n v="17367.810000000001"/>
    <n v="6.19"/>
    <n v="148.56"/>
    <n v="250"/>
    <d v="2026-03-03T00:00:00"/>
    <d v="2026-03-03T00:00:00"/>
    <x v="2"/>
    <s v="Global Aero Systems"/>
  </r>
  <r>
    <s v="PRD-01020"/>
    <x v="140"/>
    <x v="2"/>
    <x v="2"/>
    <s v="Repair-01"/>
    <s v="OP-023"/>
    <x v="0"/>
    <n v="271"/>
    <n v="195"/>
    <n v="7"/>
    <n v="4.5999999999999996"/>
    <n v="17763.29"/>
    <n v="5.24"/>
    <n v="104.8"/>
    <n v="248"/>
    <d v="2026-03-26T00:00:00"/>
    <d v="2026-03-26T00:00:00"/>
    <x v="0"/>
    <s v="AeroTech UK"/>
  </r>
  <r>
    <s v="PRD-01021"/>
    <x v="69"/>
    <x v="1"/>
    <x v="1"/>
    <s v="CNC-02"/>
    <s v="OP-009"/>
    <x v="1"/>
    <n v="112"/>
    <n v="90"/>
    <n v="1"/>
    <n v="7.6"/>
    <n v="16039.09"/>
    <n v="1.82"/>
    <n v="43.68"/>
    <n v="74"/>
    <d v="2026-02-07T00:00:00"/>
    <d v="2026-02-07T00:00:00"/>
    <x v="2"/>
    <s v="NorthStar Aviation"/>
  </r>
  <r>
    <s v="PRD-01022"/>
    <x v="59"/>
    <x v="5"/>
    <x v="5"/>
    <s v="Surface-02"/>
    <s v="OP-009"/>
    <x v="0"/>
    <n v="86"/>
    <n v="81"/>
    <n v="5"/>
    <n v="3.6"/>
    <n v="12981.49"/>
    <n v="1.8"/>
    <n v="36"/>
    <n v="139"/>
    <d v="2026-03-03T00:00:00"/>
    <d v="2026-03-07T00:00:00"/>
    <x v="0"/>
    <s v="SkyWorks"/>
  </r>
  <r>
    <s v="PRD-01023"/>
    <x v="172"/>
    <x v="6"/>
    <x v="4"/>
    <s v="Assembly-02"/>
    <s v="OP-013"/>
    <x v="2"/>
    <n v="114"/>
    <n v="100"/>
    <n v="8"/>
    <n v="8.5"/>
    <n v="16884.75"/>
    <n v="3.03"/>
    <n v="72.72"/>
    <n v="171"/>
    <d v="2026-06-05T00:00:00"/>
    <d v="2026-06-05T00:00:00"/>
    <x v="0"/>
    <s v="Precision Air"/>
  </r>
  <r>
    <s v="PRD-01024"/>
    <x v="12"/>
    <x v="5"/>
    <x v="5"/>
    <s v="Surface-01"/>
    <s v="OP-006"/>
    <x v="2"/>
    <n v="245"/>
    <n v="225"/>
    <n v="2"/>
    <n v="6.2"/>
    <n v="30858.95"/>
    <n v="7.98"/>
    <n v="207.48"/>
    <n v="252"/>
    <d v="2026-02-18T00:00:00"/>
    <d v="2026-02-19T00:00:00"/>
    <x v="0"/>
    <s v="Precision Air"/>
  </r>
  <r>
    <s v="PRD-01025"/>
    <x v="138"/>
    <x v="1"/>
    <x v="1"/>
    <s v="CNC-04"/>
    <s v="OP-029"/>
    <x v="2"/>
    <n v="185"/>
    <n v="203"/>
    <n v="18"/>
    <n v="6.6"/>
    <n v="53571.79"/>
    <n v="6.5"/>
    <n v="143"/>
    <n v="205"/>
    <d v="2026-06-05T00:00:00"/>
    <d v="2026-06-05T00:00:00"/>
    <x v="0"/>
    <s v="SkyWorks"/>
  </r>
  <r>
    <s v="PRD-01026"/>
    <x v="23"/>
    <x v="4"/>
    <x v="4"/>
    <s v="Assembly-03"/>
    <s v="OP-008"/>
    <x v="2"/>
    <n v="142"/>
    <n v="150"/>
    <n v="12"/>
    <n v="4.9000000000000004"/>
    <n v="31364.959999999999"/>
    <n v="3.66"/>
    <n v="65.88"/>
    <n v="227"/>
    <d v="2026-06-29T00:00:00"/>
    <d v="2026-07-03T00:00:00"/>
    <x v="2"/>
    <s v="Global Aero Systems"/>
  </r>
  <r>
    <s v="PRD-01027"/>
    <x v="140"/>
    <x v="1"/>
    <x v="1"/>
    <s v="CNC-02"/>
    <s v="OP-006"/>
    <x v="0"/>
    <n v="226"/>
    <n v="195"/>
    <n v="16"/>
    <n v="5.2"/>
    <n v="51821.73"/>
    <n v="6.86"/>
    <n v="123.48"/>
    <n v="232"/>
    <d v="2026-03-25T00:00:00"/>
    <d v="2026-03-29T00:00:00"/>
    <x v="0"/>
    <s v="NorthStar Aviation"/>
  </r>
  <r>
    <s v="PRD-01028"/>
    <x v="39"/>
    <x v="0"/>
    <x v="0"/>
    <s v="Autoclave-01"/>
    <s v="OP-018"/>
    <x v="0"/>
    <n v="94"/>
    <n v="81"/>
    <n v="5"/>
    <n v="5.4"/>
    <n v="31838.39"/>
    <n v="2.86"/>
    <n v="57.2"/>
    <n v="179"/>
    <d v="2026-04-30T00:00:00"/>
    <d v="2026-04-30T00:00:00"/>
    <x v="1"/>
    <s v="NorthStar Aviation"/>
  </r>
  <r>
    <s v="PRD-01029"/>
    <x v="55"/>
    <x v="3"/>
    <x v="3"/>
    <s v="Press-01"/>
    <s v="OP-029"/>
    <x v="2"/>
    <n v="287"/>
    <n v="289"/>
    <n v="26"/>
    <n v="1.2"/>
    <n v="34273.300000000003"/>
    <n v="10.24"/>
    <n v="184.32"/>
    <n v="387"/>
    <d v="2026-02-08T00:00:00"/>
    <d v="2026-02-08T00:00:00"/>
    <x v="0"/>
    <s v="SkyWorks"/>
  </r>
  <r>
    <s v="PRD-01030"/>
    <x v="22"/>
    <x v="5"/>
    <x v="5"/>
    <s v="Surface-02"/>
    <s v="OP-021"/>
    <x v="0"/>
    <n v="212"/>
    <n v="198"/>
    <n v="16"/>
    <n v="3.9"/>
    <n v="31719.9"/>
    <n v="7"/>
    <n v="154"/>
    <n v="303"/>
    <d v="2026-05-29T00:00:00"/>
    <d v="2026-05-29T00:00:00"/>
    <x v="0"/>
    <s v="Global Aero Systems"/>
  </r>
  <r>
    <s v="PRD-01031"/>
    <x v="53"/>
    <x v="7"/>
    <x v="0"/>
    <s v="Autoclave-01"/>
    <s v="OP-012"/>
    <x v="2"/>
    <n v="84"/>
    <n v="70"/>
    <n v="2"/>
    <n v="8.3000000000000007"/>
    <n v="21301.32"/>
    <n v="2.7"/>
    <n v="70.2"/>
    <n v="132"/>
    <d v="2026-01-19T00:00:00"/>
    <d v="2026-01-23T00:00:00"/>
    <x v="0"/>
    <s v="NorthStar Aviation"/>
  </r>
  <r>
    <s v="PRD-01032"/>
    <x v="101"/>
    <x v="0"/>
    <x v="0"/>
    <s v="Autoclave-01"/>
    <s v="OP-009"/>
    <x v="0"/>
    <n v="279"/>
    <n v="218"/>
    <n v="12"/>
    <n v="7"/>
    <n v="78216.899999999994"/>
    <n v="5.75"/>
    <n v="103.5"/>
    <n v="262"/>
    <d v="2026-06-02T00:00:00"/>
    <d v="2026-06-02T00:00:00"/>
    <x v="2"/>
    <s v="Precision Air"/>
  </r>
  <r>
    <s v="PRD-01033"/>
    <x v="3"/>
    <x v="7"/>
    <x v="0"/>
    <s v="CNC-01"/>
    <s v="OP-021"/>
    <x v="2"/>
    <n v="290"/>
    <n v="233"/>
    <n v="1"/>
    <n v="3.7"/>
    <n v="56706.44"/>
    <n v="7.51"/>
    <n v="135.18"/>
    <n v="279"/>
    <d v="2026-02-23T00:00:00"/>
    <d v="2026-02-25T00:00:00"/>
    <x v="0"/>
    <s v="NorthStar Aviation"/>
  </r>
  <r>
    <s v="PRD-01034"/>
    <x v="98"/>
    <x v="1"/>
    <x v="1"/>
    <s v="CNC-02"/>
    <s v="OP-013"/>
    <x v="2"/>
    <n v="110"/>
    <n v="120"/>
    <n v="10"/>
    <n v="8.6"/>
    <n v="28339.79"/>
    <n v="2.56"/>
    <n v="46.08"/>
    <n v="92"/>
    <d v="2026-02-02T00:00:00"/>
    <d v="2026-02-01T00:00:00"/>
    <x v="2"/>
    <s v="NorthStar Aviation"/>
  </r>
  <r>
    <s v="PRD-01035"/>
    <x v="12"/>
    <x v="7"/>
    <x v="0"/>
    <s v="Autoclave-01"/>
    <s v="OP-010"/>
    <x v="0"/>
    <n v="238"/>
    <n v="245"/>
    <n v="11"/>
    <n v="6.5"/>
    <n v="77022.75"/>
    <n v="8.8800000000000008"/>
    <n v="177.6"/>
    <n v="248"/>
    <d v="2026-02-27T00:00:00"/>
    <d v="2026-02-27T00:00:00"/>
    <x v="0"/>
    <s v="NorthStar Aviation"/>
  </r>
  <r>
    <s v="PRD-01036"/>
    <x v="121"/>
    <x v="2"/>
    <x v="2"/>
    <s v="Repair-02"/>
    <s v="OP-003"/>
    <x v="1"/>
    <n v="133"/>
    <n v="126"/>
    <n v="8"/>
    <n v="4.0999999999999996"/>
    <n v="14273.37"/>
    <n v="4.62"/>
    <n v="83.16"/>
    <n v="131"/>
    <d v="2026-04-27T00:00:00"/>
    <d v="2026-04-27T00:00:00"/>
    <x v="0"/>
    <s v="AeroTech UK"/>
  </r>
  <r>
    <s v="PRD-01037"/>
    <x v="133"/>
    <x v="2"/>
    <x v="2"/>
    <s v="Repair-01"/>
    <s v="OP-012"/>
    <x v="0"/>
    <n v="316"/>
    <n v="273"/>
    <n v="1"/>
    <n v="6"/>
    <n v="26735.03"/>
    <n v="6.79"/>
    <n v="135.80000000000001"/>
    <n v="280"/>
    <d v="2026-06-03T00:00:00"/>
    <d v="2026-06-03T00:00:00"/>
    <x v="0"/>
    <s v="Global Aero Systems"/>
  </r>
  <r>
    <s v="PRD-01038"/>
    <x v="127"/>
    <x v="7"/>
    <x v="0"/>
    <s v="Autoclave-01"/>
    <s v="OP-009"/>
    <x v="2"/>
    <n v="263"/>
    <n v="264"/>
    <n v="15"/>
    <n v="1.2"/>
    <n v="75270.94"/>
    <n v="4.8600000000000003"/>
    <n v="87.48"/>
    <n v="281"/>
    <d v="2026-01-26T00:00:00"/>
    <d v="2026-01-25T00:00:00"/>
    <x v="0"/>
    <s v="Global Aero Systems"/>
  </r>
  <r>
    <s v="PRD-01039"/>
    <x v="68"/>
    <x v="4"/>
    <x v="4"/>
    <s v="Assembly-03"/>
    <s v="OP-014"/>
    <x v="2"/>
    <n v="173"/>
    <n v="153"/>
    <n v="11"/>
    <n v="1.2"/>
    <n v="32202.16"/>
    <n v="3.03"/>
    <n v="60.6"/>
    <n v="139"/>
    <d v="2026-04-06T00:00:00"/>
    <d v="2026-04-10T00:00:00"/>
    <x v="0"/>
    <s v="SkyWorks"/>
  </r>
  <r>
    <s v="PRD-01040"/>
    <x v="103"/>
    <x v="3"/>
    <x v="3"/>
    <s v="Laser-01"/>
    <s v="OP-008"/>
    <x v="2"/>
    <n v="139"/>
    <n v="133"/>
    <n v="3"/>
    <n v="1.5"/>
    <n v="16047.73"/>
    <n v="4.7"/>
    <n v="84.6"/>
    <n v="209"/>
    <d v="2026-06-15T00:00:00"/>
    <d v="2026-06-13T00:00:00"/>
    <x v="2"/>
    <s v="NorthStar Aviation"/>
  </r>
  <r>
    <s v="PRD-01041"/>
    <x v="114"/>
    <x v="0"/>
    <x v="0"/>
    <s v="Autoclave-02"/>
    <s v="OP-001"/>
    <x v="0"/>
    <n v="161"/>
    <n v="133"/>
    <n v="11"/>
    <n v="7.4"/>
    <n v="47678.75"/>
    <n v="3.1"/>
    <n v="68.2"/>
    <n v="129"/>
    <d v="2026-03-19T00:00:00"/>
    <d v="2026-03-17T00:00:00"/>
    <x v="0"/>
    <s v="SkyWorks"/>
  </r>
  <r>
    <s v="PRD-01042"/>
    <x v="167"/>
    <x v="5"/>
    <x v="5"/>
    <s v="Surface-02"/>
    <s v="OP-008"/>
    <x v="1"/>
    <n v="174"/>
    <n v="156"/>
    <n v="11"/>
    <n v="5.6"/>
    <n v="21765.29"/>
    <n v="5.72"/>
    <n v="125.84"/>
    <n v="229"/>
    <d v="2026-04-20T00:00:00"/>
    <d v="2026-04-22T00:00:00"/>
    <x v="0"/>
    <s v="Global Aero Systems"/>
  </r>
  <r>
    <s v="PRD-01043"/>
    <x v="25"/>
    <x v="3"/>
    <x v="3"/>
    <s v="Laser-01"/>
    <s v="OP-008"/>
    <x v="2"/>
    <n v="198"/>
    <n v="179"/>
    <n v="2"/>
    <n v="5"/>
    <n v="24901.15"/>
    <n v="5.43"/>
    <n v="97.74"/>
    <n v="211"/>
    <d v="2026-01-30T00:00:00"/>
    <d v="2026-02-01T00:00:00"/>
    <x v="1"/>
    <s v="Global Aero Systems"/>
  </r>
  <r>
    <s v="PRD-01044"/>
    <x v="83"/>
    <x v="6"/>
    <x v="4"/>
    <s v="Assembly-01"/>
    <s v="OP-011"/>
    <x v="0"/>
    <n v="205"/>
    <n v="161"/>
    <n v="8"/>
    <n v="4.9000000000000004"/>
    <n v="30650.33"/>
    <n v="5.49"/>
    <n v="131.76"/>
    <n v="192"/>
    <d v="2026-04-17T00:00:00"/>
    <d v="2026-04-15T00:00:00"/>
    <x v="0"/>
    <s v="AeroTech UK"/>
  </r>
  <r>
    <s v="PRD-01045"/>
    <x v="30"/>
    <x v="0"/>
    <x v="0"/>
    <s v="Autoclave-01"/>
    <s v="OP-010"/>
    <x v="2"/>
    <n v="210"/>
    <n v="155"/>
    <n v="7"/>
    <n v="2.2000000000000002"/>
    <n v="45919.65"/>
    <n v="3.09"/>
    <n v="55.62"/>
    <n v="243"/>
    <d v="2026-05-06T00:00:00"/>
    <d v="2026-05-06T00:00:00"/>
    <x v="2"/>
    <s v="Global Aero Systems"/>
  </r>
  <r>
    <s v="PRD-01046"/>
    <x v="149"/>
    <x v="0"/>
    <x v="0"/>
    <s v="CNC-01"/>
    <s v="OP-001"/>
    <x v="2"/>
    <n v="130"/>
    <n v="94"/>
    <n v="5"/>
    <n v="1.6"/>
    <n v="31021.02"/>
    <n v="2.4900000000000002"/>
    <n v="59.76"/>
    <n v="199"/>
    <d v="2026-02-25T00:00:00"/>
    <d v="2026-02-25T00:00:00"/>
    <x v="2"/>
    <s v="AeroTech UK"/>
  </r>
  <r>
    <s v="PRD-01047"/>
    <x v="172"/>
    <x v="7"/>
    <x v="0"/>
    <s v="Autoclave-02"/>
    <s v="OP-027"/>
    <x v="2"/>
    <n v="130"/>
    <n v="149"/>
    <n v="11"/>
    <n v="7"/>
    <n v="37474.339999999997"/>
    <n v="5.58"/>
    <n v="133.91999999999999"/>
    <n v="155"/>
    <d v="2026-06-01T00:00:00"/>
    <d v="2026-06-03T00:00:00"/>
    <x v="2"/>
    <s v="AeroTech UK"/>
  </r>
  <r>
    <s v="PRD-01048"/>
    <x v="11"/>
    <x v="0"/>
    <x v="0"/>
    <s v="CNC-01"/>
    <s v="OP-001"/>
    <x v="2"/>
    <n v="141"/>
    <n v="151"/>
    <n v="10"/>
    <n v="4.3"/>
    <n v="45887.49"/>
    <n v="4.18"/>
    <n v="100.32"/>
    <n v="126"/>
    <d v="2026-04-07T00:00:00"/>
    <d v="2026-04-08T00:00:00"/>
    <x v="1"/>
    <s v="AeroTech UK"/>
  </r>
  <r>
    <s v="PRD-01049"/>
    <x v="134"/>
    <x v="5"/>
    <x v="5"/>
    <s v="Surface-02"/>
    <s v="OP-001"/>
    <x v="1"/>
    <n v="250"/>
    <n v="230"/>
    <n v="20"/>
    <n v="0.3"/>
    <n v="33532.339999999997"/>
    <n v="5.44"/>
    <n v="141.44"/>
    <n v="227"/>
    <d v="2026-01-24T00:00:00"/>
    <d v="2026-01-24T00:00:00"/>
    <x v="1"/>
    <s v="NorthStar Aviation"/>
  </r>
  <r>
    <s v="PRD-01050"/>
    <x v="137"/>
    <x v="0"/>
    <x v="0"/>
    <s v="Autoclave-02"/>
    <s v="OP-021"/>
    <x v="2"/>
    <n v="280"/>
    <n v="222"/>
    <n v="6"/>
    <n v="5.5"/>
    <n v="61372.94"/>
    <n v="7.44"/>
    <n v="193.44"/>
    <n v="367"/>
    <d v="2026-06-28T00:00:00"/>
    <d v="2026-07-02T00:00:00"/>
    <x v="0"/>
    <s v="NorthStar Aviation"/>
  </r>
  <r>
    <s v="PRD-01051"/>
    <x v="30"/>
    <x v="5"/>
    <x v="5"/>
    <s v="Surface-01"/>
    <s v="OP-016"/>
    <x v="1"/>
    <n v="288"/>
    <n v="258"/>
    <n v="15"/>
    <n v="6.7"/>
    <n v="35031.11"/>
    <n v="10.56"/>
    <n v="211.2"/>
    <n v="303"/>
    <d v="2026-05-08T00:00:00"/>
    <d v="2026-05-08T00:00:00"/>
    <x v="0"/>
    <s v="Precision Air"/>
  </r>
  <r>
    <s v="PRD-01052"/>
    <x v="35"/>
    <x v="1"/>
    <x v="1"/>
    <s v="CNC-02"/>
    <s v="OP-015"/>
    <x v="2"/>
    <n v="292"/>
    <n v="232"/>
    <n v="7"/>
    <n v="1.6"/>
    <n v="64756.49"/>
    <n v="7.91"/>
    <n v="205.66"/>
    <n v="326"/>
    <d v="2026-03-21T00:00:00"/>
    <d v="2026-03-20T00:00:00"/>
    <x v="1"/>
    <s v="AeroTech UK"/>
  </r>
  <r>
    <s v="PRD-01053"/>
    <x v="128"/>
    <x v="3"/>
    <x v="3"/>
    <s v="Laser-01"/>
    <s v="OP-002"/>
    <x v="2"/>
    <n v="297"/>
    <n v="340"/>
    <n v="21"/>
    <n v="0.2"/>
    <n v="39635.4"/>
    <n v="12.81"/>
    <n v="333.06"/>
    <n v="300"/>
    <d v="2026-03-12T00:00:00"/>
    <d v="2026-03-11T00:00:00"/>
    <x v="2"/>
    <s v="AeroTech UK"/>
  </r>
  <r>
    <s v="PRD-01054"/>
    <x v="125"/>
    <x v="6"/>
    <x v="4"/>
    <s v="Assembly-01"/>
    <s v="OP-029"/>
    <x v="2"/>
    <n v="297"/>
    <n v="332"/>
    <n v="29"/>
    <n v="8.5"/>
    <n v="59667.41"/>
    <n v="11.43"/>
    <n v="297.18"/>
    <n v="388"/>
    <d v="2026-06-22T00:00:00"/>
    <d v="2026-06-26T00:00:00"/>
    <x v="0"/>
    <s v="AeroTech UK"/>
  </r>
  <r>
    <s v="PRD-01055"/>
    <x v="150"/>
    <x v="7"/>
    <x v="0"/>
    <s v="CNC-01"/>
    <s v="OP-018"/>
    <x v="2"/>
    <n v="294"/>
    <n v="279"/>
    <n v="17"/>
    <n v="8.6999999999999993"/>
    <n v="86057.93"/>
    <n v="10.48"/>
    <n v="188.64"/>
    <n v="393"/>
    <d v="2026-05-02T00:00:00"/>
    <d v="2026-05-02T00:00:00"/>
    <x v="0"/>
    <s v="NorthStar Aviation"/>
  </r>
  <r>
    <s v="PRD-01056"/>
    <x v="104"/>
    <x v="5"/>
    <x v="5"/>
    <s v="Surface-02"/>
    <s v="OP-009"/>
    <x v="0"/>
    <n v="213"/>
    <n v="200"/>
    <n v="17"/>
    <n v="5.0999999999999996"/>
    <n v="28012.68"/>
    <n v="5.7"/>
    <n v="102.6"/>
    <n v="311"/>
    <d v="2026-02-04T00:00:00"/>
    <d v="2026-02-02T00:00:00"/>
    <x v="0"/>
    <s v="AeroTech UK"/>
  </r>
  <r>
    <s v="PRD-01057"/>
    <x v="160"/>
    <x v="5"/>
    <x v="5"/>
    <s v="Surface-02"/>
    <s v="OP-017"/>
    <x v="1"/>
    <n v="201"/>
    <n v="202"/>
    <n v="16"/>
    <n v="1.6"/>
    <n v="26063.81"/>
    <n v="5.09"/>
    <n v="122.16"/>
    <n v="184"/>
    <d v="2026-04-30T00:00:00"/>
    <d v="2026-04-29T00:00:00"/>
    <x v="0"/>
    <s v="Precision Air"/>
  </r>
  <r>
    <s v="PRD-01058"/>
    <x v="27"/>
    <x v="3"/>
    <x v="3"/>
    <s v="Bender-01"/>
    <s v="OP-012"/>
    <x v="2"/>
    <n v="251"/>
    <n v="226"/>
    <n v="19"/>
    <n v="1.4"/>
    <n v="27882.03"/>
    <n v="9.18"/>
    <n v="220.32"/>
    <n v="223"/>
    <d v="2026-03-17T00:00:00"/>
    <d v="2026-03-15T00:00:00"/>
    <x v="1"/>
    <s v="AeroTech UK"/>
  </r>
  <r>
    <s v="PRD-01059"/>
    <x v="20"/>
    <x v="0"/>
    <x v="0"/>
    <s v="CNC-01"/>
    <s v="OP-004"/>
    <x v="1"/>
    <n v="188"/>
    <n v="144"/>
    <n v="6"/>
    <n v="4.4000000000000004"/>
    <n v="44301.37"/>
    <n v="4.28"/>
    <n v="111.28"/>
    <n v="205"/>
    <d v="2026-03-15T00:00:00"/>
    <d v="2026-03-17T00:00:00"/>
    <x v="0"/>
    <s v="Precision Air"/>
  </r>
  <r>
    <s v="PRD-01060"/>
    <x v="116"/>
    <x v="2"/>
    <x v="2"/>
    <s v="Repair-01"/>
    <s v="OP-014"/>
    <x v="2"/>
    <n v="154"/>
    <n v="153"/>
    <n v="12"/>
    <n v="8.3000000000000007"/>
    <n v="14234.21"/>
    <n v="4.99"/>
    <n v="119.76"/>
    <n v="253"/>
    <d v="2026-06-23T00:00:00"/>
    <d v="2026-06-23T00:00:00"/>
    <x v="1"/>
    <s v="SkyWorks"/>
  </r>
  <r>
    <s v="PRD-01061"/>
    <x v="56"/>
    <x v="6"/>
    <x v="4"/>
    <s v="Assembly-01"/>
    <s v="OP-018"/>
    <x v="0"/>
    <n v="96"/>
    <n v="87"/>
    <n v="1"/>
    <n v="3"/>
    <n v="13241.69"/>
    <n v="3.51"/>
    <n v="91.26"/>
    <n v="118"/>
    <d v="2026-05-08T00:00:00"/>
    <d v="2026-05-10T00:00:00"/>
    <x v="0"/>
    <s v="NorthStar Aviation"/>
  </r>
  <r>
    <s v="PRD-01062"/>
    <x v="21"/>
    <x v="1"/>
    <x v="1"/>
    <s v="CNC-03"/>
    <s v="OP-019"/>
    <x v="2"/>
    <n v="216"/>
    <n v="192"/>
    <n v="12"/>
    <n v="2.1"/>
    <n v="36011.32"/>
    <n v="7.99"/>
    <n v="191.76"/>
    <n v="298"/>
    <d v="2026-01-05T00:00:00"/>
    <d v="2026-01-09T00:00:00"/>
    <x v="1"/>
    <s v="Global Aero Systems"/>
  </r>
  <r>
    <s v="PRD-01063"/>
    <x v="110"/>
    <x v="0"/>
    <x v="0"/>
    <s v="Autoclave-01"/>
    <s v="OP-008"/>
    <x v="2"/>
    <n v="156"/>
    <n v="117"/>
    <n v="11"/>
    <n v="1"/>
    <n v="49021.06"/>
    <n v="2.8"/>
    <n v="72.8"/>
    <n v="157"/>
    <d v="2026-01-11T00:00:00"/>
    <d v="2026-01-13T00:00:00"/>
    <x v="0"/>
    <s v="Global Aero Systems"/>
  </r>
  <r>
    <s v="PRD-01064"/>
    <x v="82"/>
    <x v="7"/>
    <x v="0"/>
    <s v="Autoclave-02"/>
    <s v="OP-016"/>
    <x v="2"/>
    <n v="127"/>
    <n v="145"/>
    <n v="1"/>
    <n v="2.2999999999999998"/>
    <n v="35170.879999999997"/>
    <n v="3.77"/>
    <n v="67.86"/>
    <n v="129"/>
    <d v="2026-04-22T00:00:00"/>
    <d v="2026-04-22T00:00:00"/>
    <x v="0"/>
    <s v="SkyWorks"/>
  </r>
  <r>
    <s v="PRD-01065"/>
    <x v="154"/>
    <x v="0"/>
    <x v="0"/>
    <s v="Autoclave-02"/>
    <s v="OP-005"/>
    <x v="0"/>
    <n v="161"/>
    <n v="160"/>
    <n v="13"/>
    <n v="6.3"/>
    <n v="51258.46"/>
    <n v="4.4800000000000004"/>
    <n v="80.64"/>
    <n v="241"/>
    <d v="2026-02-10T00:00:00"/>
    <d v="2026-02-09T00:00:00"/>
    <x v="1"/>
    <s v="SkyWorks"/>
  </r>
  <r>
    <s v="PRD-01066"/>
    <x v="65"/>
    <x v="7"/>
    <x v="0"/>
    <s v="CNC-01"/>
    <s v="OP-028"/>
    <x v="2"/>
    <n v="218"/>
    <n v="246"/>
    <n v="17"/>
    <n v="7.8"/>
    <n v="65590.28"/>
    <n v="5"/>
    <n v="90"/>
    <n v="291"/>
    <d v="2026-06-08T00:00:00"/>
    <d v="2026-06-10T00:00:00"/>
    <x v="1"/>
    <s v="NorthStar Aviation"/>
  </r>
  <r>
    <s v="PRD-01067"/>
    <x v="139"/>
    <x v="3"/>
    <x v="3"/>
    <s v="Laser-01"/>
    <s v="OP-030"/>
    <x v="0"/>
    <n v="240"/>
    <n v="211"/>
    <n v="6"/>
    <n v="3.8"/>
    <n v="27068.11"/>
    <n v="8.43"/>
    <n v="219.18"/>
    <n v="301"/>
    <d v="2026-04-05T00:00:00"/>
    <d v="2026-04-09T00:00:00"/>
    <x v="0"/>
    <s v="Global Aero Systems"/>
  </r>
  <r>
    <s v="PRD-01068"/>
    <x v="138"/>
    <x v="6"/>
    <x v="4"/>
    <s v="Assembly-03"/>
    <s v="OP-028"/>
    <x v="0"/>
    <n v="308"/>
    <n v="336"/>
    <n v="11"/>
    <n v="5.3"/>
    <n v="74380.3"/>
    <n v="6.45"/>
    <n v="116.1"/>
    <n v="302"/>
    <d v="2026-06-06T00:00:00"/>
    <d v="2026-06-06T00:00:00"/>
    <x v="0"/>
    <s v="Global Aero Systems"/>
  </r>
  <r>
    <s v="PRD-01069"/>
    <x v="75"/>
    <x v="1"/>
    <x v="1"/>
    <s v="CNC-04"/>
    <s v="OP-014"/>
    <x v="1"/>
    <n v="317"/>
    <n v="280"/>
    <n v="18"/>
    <n v="3.2"/>
    <n v="48004.21"/>
    <n v="9.6300000000000008"/>
    <n v="173.34"/>
    <n v="335"/>
    <d v="2026-04-14T00:00:00"/>
    <d v="2026-04-16T00:00:00"/>
    <x v="0"/>
    <s v="NorthStar Aviation"/>
  </r>
  <r>
    <s v="PRD-01070"/>
    <x v="120"/>
    <x v="3"/>
    <x v="3"/>
    <s v="Press-01"/>
    <s v="OP-019"/>
    <x v="1"/>
    <n v="211"/>
    <n v="204"/>
    <n v="7"/>
    <n v="5.4"/>
    <n v="19899.810000000001"/>
    <n v="3.79"/>
    <n v="98.54"/>
    <n v="248"/>
    <d v="2026-04-20T00:00:00"/>
    <d v="2026-04-20T00:00:00"/>
    <x v="1"/>
    <s v="NorthStar Aviation"/>
  </r>
  <r>
    <s v="PRD-01071"/>
    <x v="134"/>
    <x v="6"/>
    <x v="4"/>
    <s v="Assembly-02"/>
    <s v="OP-006"/>
    <x v="2"/>
    <n v="176"/>
    <n v="178"/>
    <n v="5"/>
    <n v="8.1"/>
    <n v="36195.54"/>
    <n v="5.05"/>
    <n v="121.2"/>
    <n v="148"/>
    <d v="2026-01-20T00:00:00"/>
    <d v="2026-01-22T00:00:00"/>
    <x v="0"/>
    <s v="SkyWorks"/>
  </r>
  <r>
    <s v="PRD-01072"/>
    <x v="94"/>
    <x v="2"/>
    <x v="2"/>
    <s v="Repair-02"/>
    <s v="OP-005"/>
    <x v="2"/>
    <n v="205"/>
    <n v="214"/>
    <n v="7"/>
    <n v="8"/>
    <n v="21737.69"/>
    <n v="5.44"/>
    <n v="119.68"/>
    <n v="221"/>
    <d v="2026-03-27T00:00:00"/>
    <d v="2026-03-25T00:00:00"/>
    <x v="2"/>
    <s v="SkyWorks"/>
  </r>
  <r>
    <s v="PRD-01073"/>
    <x v="20"/>
    <x v="2"/>
    <x v="2"/>
    <s v="Repair-02"/>
    <s v="OP-023"/>
    <x v="0"/>
    <n v="280"/>
    <n v="217"/>
    <n v="13"/>
    <n v="6.9"/>
    <n v="17743.03"/>
    <n v="4.47"/>
    <n v="98.34"/>
    <n v="328"/>
    <d v="2026-03-13T00:00:00"/>
    <d v="2026-03-11T00:00:00"/>
    <x v="0"/>
    <s v="Global Aero Systems"/>
  </r>
  <r>
    <s v="PRD-01074"/>
    <x v="119"/>
    <x v="3"/>
    <x v="3"/>
    <s v="Press-01"/>
    <s v="OP-020"/>
    <x v="2"/>
    <n v="124"/>
    <n v="97"/>
    <n v="2"/>
    <n v="6.9"/>
    <n v="12589.87"/>
    <n v="2.86"/>
    <n v="68.64"/>
    <n v="163"/>
    <d v="2026-02-19T00:00:00"/>
    <d v="2026-02-19T00:00:00"/>
    <x v="0"/>
    <s v="Global Aero Systems"/>
  </r>
  <r>
    <s v="PRD-01075"/>
    <x v="57"/>
    <x v="0"/>
    <x v="0"/>
    <s v="Autoclave-01"/>
    <s v="OP-001"/>
    <x v="0"/>
    <n v="125"/>
    <n v="105"/>
    <n v="9"/>
    <n v="0.8"/>
    <n v="42708.09"/>
    <n v="3.94"/>
    <n v="86.68"/>
    <n v="221"/>
    <d v="2026-01-18T00:00:00"/>
    <d v="2026-01-20T00:00:00"/>
    <x v="0"/>
    <s v="AeroTech UK"/>
  </r>
  <r>
    <s v="PRD-01076"/>
    <x v="25"/>
    <x v="5"/>
    <x v="5"/>
    <s v="Surface-02"/>
    <s v="OP-005"/>
    <x v="0"/>
    <n v="203"/>
    <n v="208"/>
    <n v="19"/>
    <n v="1.2"/>
    <n v="30772.38"/>
    <n v="6.72"/>
    <n v="147.84"/>
    <n v="276"/>
    <d v="2026-01-30T00:00:00"/>
    <d v="2026-01-30T00:00:00"/>
    <x v="2"/>
    <s v="Global Aero Systems"/>
  </r>
  <r>
    <s v="PRD-01077"/>
    <x v="128"/>
    <x v="3"/>
    <x v="3"/>
    <s v="Bender-01"/>
    <s v="OP-023"/>
    <x v="0"/>
    <n v="287"/>
    <n v="259"/>
    <n v="4"/>
    <n v="1"/>
    <n v="24631.77"/>
    <n v="6.22"/>
    <n v="149.28"/>
    <n v="334"/>
    <d v="2026-03-14T00:00:00"/>
    <d v="2026-03-16T00:00:00"/>
    <x v="0"/>
    <s v="Global Aero Systems"/>
  </r>
  <r>
    <s v="PRD-01078"/>
    <x v="77"/>
    <x v="7"/>
    <x v="0"/>
    <s v="Autoclave-02"/>
    <s v="OP-011"/>
    <x v="1"/>
    <n v="221"/>
    <n v="192"/>
    <n v="15"/>
    <n v="1.5"/>
    <n v="67327.69"/>
    <n v="4.26"/>
    <n v="85.2"/>
    <n v="212"/>
    <d v="2026-05-29T00:00:00"/>
    <d v="2026-05-29T00:00:00"/>
    <x v="1"/>
    <s v="SkyWorks"/>
  </r>
  <r>
    <s v="PRD-01079"/>
    <x v="35"/>
    <x v="7"/>
    <x v="0"/>
    <s v="Autoclave-01"/>
    <s v="OP-005"/>
    <x v="0"/>
    <n v="253"/>
    <n v="284"/>
    <n v="7"/>
    <n v="5.9"/>
    <n v="69272.72"/>
    <n v="10.15"/>
    <n v="203"/>
    <n v="232"/>
    <d v="2026-03-13T00:00:00"/>
    <d v="2026-03-13T00:00:00"/>
    <x v="0"/>
    <s v="Global Aero Systems"/>
  </r>
  <r>
    <s v="PRD-01080"/>
    <x v="70"/>
    <x v="5"/>
    <x v="5"/>
    <s v="Surface-01"/>
    <s v="OP-028"/>
    <x v="0"/>
    <n v="195"/>
    <n v="177"/>
    <n v="13"/>
    <n v="6.9"/>
    <n v="21679.360000000001"/>
    <n v="5.91"/>
    <n v="118.2"/>
    <n v="280"/>
    <d v="2026-03-19T00:00:00"/>
    <d v="2026-03-17T00:00:00"/>
    <x v="0"/>
    <s v="Precision Air"/>
  </r>
  <r>
    <s v="PRD-01081"/>
    <x v="81"/>
    <x v="3"/>
    <x v="3"/>
    <s v="Press-01"/>
    <s v="OP-023"/>
    <x v="0"/>
    <n v="309"/>
    <n v="285"/>
    <n v="19"/>
    <n v="5.9"/>
    <n v="30803.37"/>
    <n v="9.2799999999999994"/>
    <n v="222.72"/>
    <n v="332"/>
    <d v="2026-04-10T00:00:00"/>
    <d v="2026-04-10T00:00:00"/>
    <x v="0"/>
    <s v="NorthStar Aviation"/>
  </r>
  <r>
    <s v="PRD-01082"/>
    <x v="72"/>
    <x v="2"/>
    <x v="2"/>
    <s v="Repair-01"/>
    <s v="OP-003"/>
    <x v="0"/>
    <n v="163"/>
    <n v="167"/>
    <n v="8"/>
    <n v="1.3"/>
    <n v="14900.09"/>
    <n v="6.4"/>
    <n v="140.80000000000001"/>
    <n v="126"/>
    <d v="2026-01-11T00:00:00"/>
    <d v="2026-01-10T00:00:00"/>
    <x v="1"/>
    <s v="Global Aero Systems"/>
  </r>
  <r>
    <s v="PRD-01083"/>
    <x v="39"/>
    <x v="5"/>
    <x v="5"/>
    <s v="Surface-02"/>
    <s v="OP-027"/>
    <x v="0"/>
    <n v="211"/>
    <n v="234"/>
    <n v="18"/>
    <n v="3.1"/>
    <n v="27546.799999999999"/>
    <n v="9.36"/>
    <n v="205.92"/>
    <n v="237"/>
    <d v="2026-04-29T00:00:00"/>
    <d v="2026-05-01T00:00:00"/>
    <x v="0"/>
    <s v="NorthStar Aviation"/>
  </r>
  <r>
    <s v="PRD-01084"/>
    <x v="77"/>
    <x v="4"/>
    <x v="4"/>
    <s v="Assembly-03"/>
    <s v="OP-018"/>
    <x v="1"/>
    <n v="96"/>
    <n v="88"/>
    <n v="5"/>
    <n v="4.0999999999999996"/>
    <n v="17362.900000000001"/>
    <n v="2.94"/>
    <n v="64.680000000000007"/>
    <n v="117"/>
    <d v="2026-05-29T00:00:00"/>
    <d v="2026-05-28T00:00:00"/>
    <x v="0"/>
    <s v="Precision Air"/>
  </r>
  <r>
    <s v="PRD-01085"/>
    <x v="78"/>
    <x v="6"/>
    <x v="4"/>
    <s v="Assembly-03"/>
    <s v="OP-019"/>
    <x v="0"/>
    <n v="268"/>
    <n v="237"/>
    <n v="14"/>
    <n v="5.2"/>
    <n v="49020.17"/>
    <n v="8.68"/>
    <n v="225.68"/>
    <n v="243"/>
    <d v="2026-05-18T00:00:00"/>
    <d v="2026-05-19T00:00:00"/>
    <x v="2"/>
    <s v="NorthStar Aviation"/>
  </r>
  <r>
    <s v="PRD-01086"/>
    <x v="129"/>
    <x v="0"/>
    <x v="0"/>
    <s v="Autoclave-02"/>
    <s v="OP-009"/>
    <x v="2"/>
    <n v="294"/>
    <n v="268"/>
    <n v="4"/>
    <n v="3.4"/>
    <n v="64361.89"/>
    <n v="9.51"/>
    <n v="247.26"/>
    <n v="392"/>
    <d v="2026-05-11T00:00:00"/>
    <d v="2026-05-11T00:00:00"/>
    <x v="0"/>
    <s v="NorthStar Aviation"/>
  </r>
  <r>
    <s v="PRD-01087"/>
    <x v="133"/>
    <x v="1"/>
    <x v="1"/>
    <s v="CNC-04"/>
    <s v="OP-029"/>
    <x v="0"/>
    <n v="195"/>
    <n v="154"/>
    <n v="4"/>
    <n v="5.0999999999999996"/>
    <n v="34019.199999999997"/>
    <n v="6.41"/>
    <n v="166.66"/>
    <n v="282"/>
    <d v="2026-05-25T00:00:00"/>
    <d v="2026-05-27T00:00:00"/>
    <x v="0"/>
    <s v="NorthStar Aviation"/>
  </r>
  <r>
    <s v="PRD-01088"/>
    <x v="149"/>
    <x v="7"/>
    <x v="0"/>
    <s v="CNC-01"/>
    <s v="OP-013"/>
    <x v="1"/>
    <n v="227"/>
    <n v="217"/>
    <n v="5"/>
    <n v="1.3"/>
    <n v="43427.62"/>
    <n v="4.87"/>
    <n v="97.4"/>
    <n v="187"/>
    <d v="2026-02-16T00:00:00"/>
    <d v="2026-02-15T00:00:00"/>
    <x v="1"/>
    <s v="Global Aero Systems"/>
  </r>
  <r>
    <s v="PRD-01089"/>
    <x v="81"/>
    <x v="0"/>
    <x v="0"/>
    <s v="Autoclave-01"/>
    <s v="OP-007"/>
    <x v="1"/>
    <n v="312"/>
    <n v="228"/>
    <n v="18"/>
    <n v="5.4"/>
    <n v="93007.2"/>
    <n v="7.81"/>
    <n v="187.44"/>
    <n v="303"/>
    <d v="2026-04-10T00:00:00"/>
    <d v="2026-04-09T00:00:00"/>
    <x v="0"/>
    <s v="Global Aero Systems"/>
  </r>
  <r>
    <s v="PRD-01091"/>
    <x v="3"/>
    <x v="4"/>
    <x v="4"/>
    <s v="Assembly-02"/>
    <s v="OP-012"/>
    <x v="1"/>
    <n v="184"/>
    <n v="201"/>
    <n v="11"/>
    <n v="7.5"/>
    <n v="38874.629999999997"/>
    <n v="4.58"/>
    <n v="82.44"/>
    <n v="261"/>
    <d v="2026-02-27T00:00:00"/>
    <d v="2026-02-27T00:00:00"/>
    <x v="0"/>
    <s v="SkyWorks"/>
  </r>
  <r>
    <s v="PRD-01092"/>
    <x v="135"/>
    <x v="2"/>
    <x v="2"/>
    <s v="Repair-02"/>
    <s v="OP-029"/>
    <x v="0"/>
    <n v="293"/>
    <n v="220"/>
    <n v="1"/>
    <n v="6.2"/>
    <n v="22292.1"/>
    <n v="7.49"/>
    <n v="179.76"/>
    <n v="321"/>
    <d v="2026-06-03T00:00:00"/>
    <d v="2026-06-02T00:00:00"/>
    <x v="0"/>
    <s v="Global Aero Systems"/>
  </r>
  <r>
    <s v="PRD-01093"/>
    <x v="51"/>
    <x v="6"/>
    <x v="4"/>
    <s v="Assembly-01"/>
    <s v="OP-027"/>
    <x v="0"/>
    <n v="261"/>
    <n v="198"/>
    <n v="15"/>
    <n v="8.9"/>
    <n v="29333.82"/>
    <n v="7.4"/>
    <n v="192.4"/>
    <n v="303"/>
    <d v="2026-04-08T00:00:00"/>
    <d v="2026-04-10T00:00:00"/>
    <x v="1"/>
    <s v="SkyWorks"/>
  </r>
  <r>
    <s v="PRD-01094"/>
    <x v="18"/>
    <x v="5"/>
    <x v="5"/>
    <s v="Surface-01"/>
    <s v="OP-013"/>
    <x v="0"/>
    <n v="213"/>
    <n v="209"/>
    <n v="7"/>
    <n v="5.0999999999999996"/>
    <n v="26006.92"/>
    <n v="4.78"/>
    <n v="124.28"/>
    <n v="209"/>
    <d v="2026-06-16T00:00:00"/>
    <d v="2026-06-18T00:00:00"/>
    <x v="0"/>
    <s v="Global Aero Systems"/>
  </r>
  <r>
    <s v="PRD-01095"/>
    <x v="34"/>
    <x v="1"/>
    <x v="1"/>
    <s v="CNC-04"/>
    <s v="OP-026"/>
    <x v="0"/>
    <n v="190"/>
    <n v="182"/>
    <n v="9"/>
    <n v="5.7"/>
    <n v="36168.31"/>
    <n v="6.26"/>
    <n v="150.24"/>
    <n v="168"/>
    <d v="2026-01-11T00:00:00"/>
    <d v="2026-01-09T00:00:00"/>
    <x v="0"/>
    <s v="Global Aero Systems"/>
  </r>
  <r>
    <s v="PRD-01096"/>
    <x v="12"/>
    <x v="4"/>
    <x v="4"/>
    <s v="Assembly-02"/>
    <s v="OP-028"/>
    <x v="0"/>
    <n v="296"/>
    <n v="222"/>
    <n v="10"/>
    <n v="3.4"/>
    <n v="44147.01"/>
    <n v="4.1100000000000003"/>
    <n v="73.98"/>
    <n v="289"/>
    <d v="2026-02-24T00:00:00"/>
    <d v="2026-02-25T00:00:00"/>
    <x v="2"/>
    <s v="Precision Air"/>
  </r>
  <r>
    <s v="PRD-01097"/>
    <x v="145"/>
    <x v="3"/>
    <x v="3"/>
    <s v="Laser-01"/>
    <s v="OP-017"/>
    <x v="1"/>
    <n v="83"/>
    <n v="70"/>
    <n v="0"/>
    <n v="7.7"/>
    <n v="10153.049999999999"/>
    <n v="2.2200000000000002"/>
    <n v="44.4"/>
    <n v="68"/>
    <d v="2026-06-06T00:00:00"/>
    <d v="2026-06-07T00:00:00"/>
    <x v="0"/>
    <s v="AeroTech UK"/>
  </r>
  <r>
    <s v="PRD-01098"/>
    <x v="87"/>
    <x v="5"/>
    <x v="5"/>
    <s v="Surface-02"/>
    <s v="OP-003"/>
    <x v="0"/>
    <n v="154"/>
    <n v="157"/>
    <n v="10"/>
    <n v="1.2"/>
    <n v="21358.87"/>
    <n v="5.78"/>
    <n v="104.04"/>
    <n v="252"/>
    <d v="2026-05-10T00:00:00"/>
    <d v="2026-05-10T00:00:00"/>
    <x v="0"/>
    <s v="Precision Air"/>
  </r>
  <r>
    <s v="PRD-01099"/>
    <x v="167"/>
    <x v="3"/>
    <x v="3"/>
    <s v="Laser-01"/>
    <s v="OP-027"/>
    <x v="0"/>
    <n v="148"/>
    <n v="117"/>
    <n v="2"/>
    <n v="8.5"/>
    <n v="13227.75"/>
    <n v="3.37"/>
    <n v="74.14"/>
    <n v="201"/>
    <d v="2026-04-20T00:00:00"/>
    <d v="2026-04-20T00:00:00"/>
    <x v="0"/>
    <s v="SkyWorks"/>
  </r>
  <r>
    <s v="PRD-01100"/>
    <x v="7"/>
    <x v="6"/>
    <x v="4"/>
    <s v="Assembly-02"/>
    <s v="OP-001"/>
    <x v="0"/>
    <n v="204"/>
    <n v="219"/>
    <n v="1"/>
    <n v="3.9"/>
    <n v="33222.49"/>
    <n v="6.98"/>
    <n v="139.6"/>
    <n v="257"/>
    <d v="2026-07-03T00:00:00"/>
    <d v="2026-07-01T00:00:00"/>
    <x v="1"/>
    <s v="AeroTech UK"/>
  </r>
  <r>
    <s v="PRD-01101"/>
    <x v="127"/>
    <x v="2"/>
    <x v="2"/>
    <s v="Repair-01"/>
    <s v="OP-020"/>
    <x v="1"/>
    <n v="316"/>
    <n v="323"/>
    <n v="11"/>
    <n v="2.5"/>
    <n v="22759.45"/>
    <n v="12.23"/>
    <n v="269.06"/>
    <n v="396"/>
    <d v="2026-01-21T00:00:00"/>
    <d v="2026-01-21T00:00:00"/>
    <x v="1"/>
    <s v="SkyWorks"/>
  </r>
  <r>
    <s v="PRD-01102"/>
    <x v="117"/>
    <x v="7"/>
    <x v="0"/>
    <s v="Autoclave-01"/>
    <s v="OP-013"/>
    <x v="0"/>
    <n v="204"/>
    <n v="192"/>
    <n v="17"/>
    <n v="7.4"/>
    <n v="47651.67"/>
    <n v="6.76"/>
    <n v="135.19999999999999"/>
    <n v="187"/>
    <d v="2026-01-06T00:00:00"/>
    <d v="2026-01-08T00:00:00"/>
    <x v="0"/>
    <s v="SkyWorks"/>
  </r>
  <r>
    <s v="PRD-01103"/>
    <x v="117"/>
    <x v="5"/>
    <x v="5"/>
    <s v="Surface-01"/>
    <s v="OP-029"/>
    <x v="2"/>
    <n v="95"/>
    <n v="100"/>
    <n v="8"/>
    <n v="5.8"/>
    <n v="13748.62"/>
    <n v="2.08"/>
    <n v="45.76"/>
    <n v="55"/>
    <d v="2026-01-13T00:00:00"/>
    <d v="2026-01-13T00:00:00"/>
    <x v="2"/>
    <s v="AeroTech UK"/>
  </r>
  <r>
    <s v="PRD-01104"/>
    <x v="94"/>
    <x v="3"/>
    <x v="3"/>
    <s v="Laser-01"/>
    <s v="OP-015"/>
    <x v="2"/>
    <n v="100"/>
    <n v="104"/>
    <n v="0"/>
    <n v="3.3"/>
    <n v="15558.75"/>
    <n v="2.97"/>
    <n v="77.22"/>
    <n v="94"/>
    <d v="2026-03-27T00:00:00"/>
    <d v="2026-03-25T00:00:00"/>
    <x v="0"/>
    <s v="Global Aero Systems"/>
  </r>
  <r>
    <s v="PRD-01105"/>
    <x v="33"/>
    <x v="4"/>
    <x v="4"/>
    <s v="Assembly-03"/>
    <s v="OP-008"/>
    <x v="0"/>
    <n v="83"/>
    <n v="59"/>
    <n v="2"/>
    <n v="8.1999999999999993"/>
    <n v="13746.5"/>
    <n v="2.2999999999999998"/>
    <n v="59.8"/>
    <n v="129"/>
    <d v="2026-06-11T00:00:00"/>
    <d v="2026-06-12T00:00:00"/>
    <x v="0"/>
    <s v="NorthStar Aviation"/>
  </r>
  <r>
    <s v="PRD-01106"/>
    <x v="138"/>
    <x v="5"/>
    <x v="5"/>
    <s v="Surface-02"/>
    <s v="OP-026"/>
    <x v="0"/>
    <n v="231"/>
    <n v="221"/>
    <n v="5"/>
    <n v="7.7"/>
    <n v="30568.639999999999"/>
    <n v="5.46"/>
    <n v="131.04"/>
    <n v="220"/>
    <d v="2026-06-03T00:00:00"/>
    <d v="2026-06-02T00:00:00"/>
    <x v="1"/>
    <s v="Precision Air"/>
  </r>
  <r>
    <s v="PRD-01107"/>
    <x v="161"/>
    <x v="5"/>
    <x v="5"/>
    <s v="Surface-01"/>
    <s v="OP-022"/>
    <x v="0"/>
    <n v="286"/>
    <n v="244"/>
    <n v="13"/>
    <n v="1.9"/>
    <n v="41057.07"/>
    <n v="4.5999999999999996"/>
    <n v="101.2"/>
    <n v="257"/>
    <d v="2026-02-10T00:00:00"/>
    <d v="2026-02-11T00:00:00"/>
    <x v="1"/>
    <s v="Global Aero Systems"/>
  </r>
  <r>
    <s v="PRD-01108"/>
    <x v="19"/>
    <x v="3"/>
    <x v="3"/>
    <s v="Press-01"/>
    <s v="OP-002"/>
    <x v="1"/>
    <n v="199"/>
    <n v="219"/>
    <n v="5"/>
    <n v="7.9"/>
    <n v="27353.52"/>
    <n v="5.29"/>
    <n v="105.8"/>
    <n v="245"/>
    <d v="2026-03-02T00:00:00"/>
    <d v="2026-03-04T00:00:00"/>
    <x v="1"/>
    <s v="SkyWorks"/>
  </r>
  <r>
    <s v="PRD-01109"/>
    <x v="17"/>
    <x v="2"/>
    <x v="2"/>
    <s v="Repair-01"/>
    <s v="OP-011"/>
    <x v="2"/>
    <n v="270"/>
    <n v="244"/>
    <n v="5"/>
    <n v="4.9000000000000004"/>
    <n v="29939.56"/>
    <n v="9.61"/>
    <n v="249.86"/>
    <n v="358"/>
    <d v="2026-05-25T00:00:00"/>
    <d v="2026-05-25T00:00:00"/>
    <x v="0"/>
    <s v="Global Aero Systems"/>
  </r>
  <r>
    <s v="PRD-01110"/>
    <x v="125"/>
    <x v="6"/>
    <x v="4"/>
    <s v="Assembly-02"/>
    <s v="OP-011"/>
    <x v="1"/>
    <n v="314"/>
    <n v="244"/>
    <n v="2"/>
    <n v="3"/>
    <n v="41150.230000000003"/>
    <n v="6.01"/>
    <n v="108.18"/>
    <n v="374"/>
    <d v="2026-06-18T00:00:00"/>
    <d v="2026-06-22T00:00:00"/>
    <x v="1"/>
    <s v="AeroTech UK"/>
  </r>
  <r>
    <s v="PRD-01111"/>
    <x v="99"/>
    <x v="2"/>
    <x v="2"/>
    <s v="Repair-01"/>
    <s v="OP-024"/>
    <x v="2"/>
    <n v="132"/>
    <n v="127"/>
    <n v="8"/>
    <n v="0.1"/>
    <n v="10870.22"/>
    <n v="5.04"/>
    <n v="110.88"/>
    <n v="119"/>
    <d v="2026-04-06T00:00:00"/>
    <d v="2026-04-10T00:00:00"/>
    <x v="0"/>
    <s v="Precision Air"/>
  </r>
  <r>
    <s v="PRD-01112"/>
    <x v="64"/>
    <x v="1"/>
    <x v="1"/>
    <s v="CNC-02"/>
    <s v="OP-002"/>
    <x v="0"/>
    <n v="101"/>
    <n v="116"/>
    <n v="5"/>
    <n v="4.5999999999999996"/>
    <n v="26135.73"/>
    <n v="4"/>
    <n v="80"/>
    <n v="145"/>
    <d v="2026-02-02T00:00:00"/>
    <d v="2026-02-06T00:00:00"/>
    <x v="2"/>
    <s v="NorthStar Aviation"/>
  </r>
  <r>
    <s v="PRD-01113"/>
    <x v="93"/>
    <x v="7"/>
    <x v="0"/>
    <s v="Autoclave-02"/>
    <s v="OP-015"/>
    <x v="1"/>
    <n v="263"/>
    <n v="259"/>
    <n v="22"/>
    <n v="2.8"/>
    <n v="74579.63"/>
    <n v="10.51"/>
    <n v="210.2"/>
    <n v="223"/>
    <d v="2026-02-16T00:00:00"/>
    <d v="2026-02-16T00:00:00"/>
    <x v="0"/>
    <s v="Precision Air"/>
  </r>
  <r>
    <s v="PRD-01114"/>
    <x v="68"/>
    <x v="7"/>
    <x v="0"/>
    <s v="Autoclave-01"/>
    <s v="OP-021"/>
    <x v="0"/>
    <n v="120"/>
    <n v="130"/>
    <n v="9"/>
    <n v="6.3"/>
    <n v="27659.56"/>
    <n v="3.39"/>
    <n v="67.8"/>
    <n v="168"/>
    <d v="2026-04-14T00:00:00"/>
    <d v="2026-04-14T00:00:00"/>
    <x v="2"/>
    <s v="SkyWorks"/>
  </r>
  <r>
    <s v="PRD-01115"/>
    <x v="72"/>
    <x v="5"/>
    <x v="5"/>
    <s v="Surface-02"/>
    <s v="OP-030"/>
    <x v="2"/>
    <n v="91"/>
    <n v="102"/>
    <n v="5"/>
    <n v="6.9"/>
    <n v="17087.45"/>
    <n v="2.97"/>
    <n v="77.22"/>
    <n v="63"/>
    <d v="2026-01-16T00:00:00"/>
    <d v="2026-01-17T00:00:00"/>
    <x v="0"/>
    <s v="AeroTech UK"/>
  </r>
  <r>
    <s v="PRD-01116"/>
    <x v="134"/>
    <x v="7"/>
    <x v="0"/>
    <s v="Autoclave-02"/>
    <s v="OP-005"/>
    <x v="2"/>
    <n v="153"/>
    <n v="173"/>
    <n v="10"/>
    <n v="8.6999999999999993"/>
    <n v="44054.13"/>
    <n v="5.98"/>
    <n v="155.47999999999999"/>
    <n v="143"/>
    <d v="2026-01-15T00:00:00"/>
    <d v="2026-01-15T00:00:00"/>
    <x v="0"/>
    <s v="NorthStar Aviation"/>
  </r>
  <r>
    <s v="PRD-01117"/>
    <x v="26"/>
    <x v="7"/>
    <x v="0"/>
    <s v="CNC-01"/>
    <s v="OP-012"/>
    <x v="1"/>
    <n v="236"/>
    <n v="240"/>
    <n v="17"/>
    <n v="0.6"/>
    <n v="67200.69"/>
    <n v="9.56"/>
    <n v="191.2"/>
    <n v="282"/>
    <d v="2026-05-01T00:00:00"/>
    <d v="2026-05-01T00:00:00"/>
    <x v="1"/>
    <s v="NorthStar Aviation"/>
  </r>
  <r>
    <s v="PRD-01118"/>
    <x v="66"/>
    <x v="4"/>
    <x v="4"/>
    <s v="Assembly-01"/>
    <s v="OP-002"/>
    <x v="2"/>
    <n v="91"/>
    <n v="79"/>
    <n v="0"/>
    <n v="0.5"/>
    <n v="18782.72"/>
    <n v="2.52"/>
    <n v="45.36"/>
    <n v="152"/>
    <d v="2026-04-17T00:00:00"/>
    <d v="2026-04-19T00:00:00"/>
    <x v="1"/>
    <s v="Precision Air"/>
  </r>
  <r>
    <s v="PRD-01119"/>
    <x v="28"/>
    <x v="5"/>
    <x v="5"/>
    <s v="Surface-02"/>
    <s v="OP-019"/>
    <x v="0"/>
    <n v="147"/>
    <n v="108"/>
    <n v="7"/>
    <n v="2.2000000000000002"/>
    <n v="14358.73"/>
    <n v="3.71"/>
    <n v="74.2"/>
    <n v="156"/>
    <d v="2026-04-21T00:00:00"/>
    <d v="2026-04-21T00:00:00"/>
    <x v="0"/>
    <s v="SkyWorks"/>
  </r>
  <r>
    <s v="PRD-01120"/>
    <x v="24"/>
    <x v="7"/>
    <x v="0"/>
    <s v="Autoclave-01"/>
    <s v="OP-013"/>
    <x v="1"/>
    <n v="180"/>
    <n v="167"/>
    <n v="6"/>
    <n v="7.6"/>
    <n v="37245.230000000003"/>
    <n v="3.88"/>
    <n v="85.36"/>
    <n v="142"/>
    <d v="2026-03-02T00:00:00"/>
    <d v="2026-03-06T00:00:00"/>
    <x v="0"/>
    <s v="SkyWorks"/>
  </r>
  <r>
    <s v="PRD-01121"/>
    <x v="55"/>
    <x v="2"/>
    <x v="2"/>
    <s v="Repair-01"/>
    <s v="OP-028"/>
    <x v="2"/>
    <n v="153"/>
    <n v="117"/>
    <n v="6"/>
    <n v="1.7"/>
    <n v="8310.17"/>
    <n v="4.7699999999999996"/>
    <n v="95.4"/>
    <n v="169"/>
    <d v="2026-02-08T00:00:00"/>
    <d v="2026-02-08T00:00:00"/>
    <x v="0"/>
    <s v="AeroTech UK"/>
  </r>
  <r>
    <s v="PRD-01122"/>
    <x v="34"/>
    <x v="7"/>
    <x v="0"/>
    <s v="CNC-01"/>
    <s v="OP-001"/>
    <x v="2"/>
    <n v="90"/>
    <n v="89"/>
    <n v="7"/>
    <n v="7.6"/>
    <n v="18500.599999999999"/>
    <n v="2.96"/>
    <n v="76.959999999999994"/>
    <n v="155"/>
    <d v="2026-01-14T00:00:00"/>
    <d v="2026-01-14T00:00:00"/>
    <x v="0"/>
    <s v="AeroTech UK"/>
  </r>
  <r>
    <s v="PRD-01123"/>
    <x v="61"/>
    <x v="2"/>
    <x v="2"/>
    <s v="Repair-02"/>
    <s v="OP-028"/>
    <x v="0"/>
    <n v="193"/>
    <n v="157"/>
    <n v="2"/>
    <n v="8.3000000000000007"/>
    <n v="13955.06"/>
    <n v="6.43"/>
    <n v="154.32"/>
    <n v="238"/>
    <d v="2026-02-03T00:00:00"/>
    <d v="2026-02-07T00:00:00"/>
    <x v="0"/>
    <s v="NorthStar Aviation"/>
  </r>
  <r>
    <s v="PRD-01124"/>
    <x v="61"/>
    <x v="3"/>
    <x v="3"/>
    <s v="Bender-01"/>
    <s v="OP-012"/>
    <x v="0"/>
    <n v="268"/>
    <n v="261"/>
    <n v="11"/>
    <n v="1.5"/>
    <n v="28767.43"/>
    <n v="6.2"/>
    <n v="124"/>
    <n v="230"/>
    <d v="2026-01-27T00:00:00"/>
    <d v="2026-01-31T00:00:00"/>
    <x v="0"/>
    <s v="NorthStar Aviation"/>
  </r>
  <r>
    <s v="PRD-01125"/>
    <x v="91"/>
    <x v="6"/>
    <x v="4"/>
    <s v="Assembly-02"/>
    <s v="OP-007"/>
    <x v="1"/>
    <n v="198"/>
    <n v="218"/>
    <n v="14"/>
    <n v="1.1000000000000001"/>
    <n v="39146"/>
    <n v="8.1199999999999992"/>
    <n v="162.4"/>
    <n v="215"/>
    <d v="2026-01-30T00:00:00"/>
    <d v="2026-01-28T00:00:00"/>
    <x v="0"/>
    <s v="NorthStar Aviation"/>
  </r>
  <r>
    <s v="PRD-01126"/>
    <x v="169"/>
    <x v="3"/>
    <x v="3"/>
    <s v="Press-01"/>
    <s v="OP-017"/>
    <x v="1"/>
    <n v="170"/>
    <n v="188"/>
    <n v="9"/>
    <n v="1.1000000000000001"/>
    <n v="22596.76"/>
    <n v="3.4"/>
    <n v="74.8"/>
    <n v="154"/>
    <d v="2026-02-03T00:00:00"/>
    <d v="2026-02-02T00:00:00"/>
    <x v="0"/>
    <s v="NorthStar Aviation"/>
  </r>
  <r>
    <s v="PRD-01127"/>
    <x v="124"/>
    <x v="4"/>
    <x v="4"/>
    <s v="Assembly-02"/>
    <s v="OP-025"/>
    <x v="1"/>
    <n v="220"/>
    <n v="210"/>
    <n v="14"/>
    <n v="7.9"/>
    <n v="42630.51"/>
    <n v="8.68"/>
    <n v="173.6"/>
    <n v="204"/>
    <d v="2026-05-26T00:00:00"/>
    <d v="2026-05-24T00:00:00"/>
    <x v="0"/>
    <s v="NorthStar Aviation"/>
  </r>
  <r>
    <s v="PRD-01128"/>
    <x v="129"/>
    <x v="1"/>
    <x v="1"/>
    <s v="CNC-02"/>
    <s v="OP-022"/>
    <x v="2"/>
    <n v="220"/>
    <n v="251"/>
    <n v="15"/>
    <n v="1.4"/>
    <n v="65459.46"/>
    <n v="5.56"/>
    <n v="144.56"/>
    <n v="250"/>
    <d v="2026-05-10T00:00:00"/>
    <d v="2026-05-10T00:00:00"/>
    <x v="0"/>
    <s v="Precision Air"/>
  </r>
  <r>
    <s v="PRD-01129"/>
    <x v="6"/>
    <x v="3"/>
    <x v="3"/>
    <s v="Bender-01"/>
    <s v="OP-009"/>
    <x v="2"/>
    <n v="273"/>
    <n v="252"/>
    <n v="1"/>
    <n v="1.6"/>
    <n v="25092.54"/>
    <n v="5.31"/>
    <n v="106.2"/>
    <n v="267"/>
    <d v="2026-02-17T00:00:00"/>
    <d v="2026-02-17T00:00:00"/>
    <x v="0"/>
    <s v="SkyWorks"/>
  </r>
  <r>
    <s v="PRD-01130"/>
    <x v="106"/>
    <x v="5"/>
    <x v="5"/>
    <s v="Surface-02"/>
    <s v="OP-005"/>
    <x v="2"/>
    <n v="247"/>
    <n v="200"/>
    <n v="3"/>
    <n v="6.7"/>
    <n v="25818.639999999999"/>
    <n v="5.62"/>
    <n v="123.64"/>
    <n v="257"/>
    <d v="2026-03-15T00:00:00"/>
    <d v="2026-03-15T00:00:00"/>
    <x v="0"/>
    <s v="NorthStar Aviation"/>
  </r>
  <r>
    <s v="PRD-01131"/>
    <x v="134"/>
    <x v="6"/>
    <x v="4"/>
    <s v="Assembly-03"/>
    <s v="OP-029"/>
    <x v="2"/>
    <n v="258"/>
    <n v="202"/>
    <n v="16"/>
    <n v="1.2"/>
    <n v="33197.81"/>
    <n v="8.15"/>
    <n v="146.69999999999999"/>
    <n v="280"/>
    <d v="2026-01-20T00:00:00"/>
    <d v="2026-01-20T00:00:00"/>
    <x v="0"/>
    <s v="Precision Air"/>
  </r>
  <r>
    <s v="PRD-01132"/>
    <x v="2"/>
    <x v="2"/>
    <x v="2"/>
    <s v="Repair-02"/>
    <s v="OP-012"/>
    <x v="1"/>
    <n v="306"/>
    <n v="226"/>
    <n v="6"/>
    <n v="1.8"/>
    <n v="24102.28"/>
    <n v="5.94"/>
    <n v="154.44"/>
    <n v="325"/>
    <d v="2026-02-02T00:00:00"/>
    <d v="2026-02-06T00:00:00"/>
    <x v="2"/>
    <s v="Precision Air"/>
  </r>
  <r>
    <s v="PRD-01133"/>
    <x v="109"/>
    <x v="1"/>
    <x v="1"/>
    <s v="CNC-02"/>
    <s v="OP-002"/>
    <x v="2"/>
    <n v="276"/>
    <n v="207"/>
    <n v="1"/>
    <n v="1.5"/>
    <n v="47887.75"/>
    <n v="8.1199999999999992"/>
    <n v="146.16"/>
    <n v="356"/>
    <d v="2026-01-31T00:00:00"/>
    <d v="2026-02-02T00:00:00"/>
    <x v="1"/>
    <s v="Precision Air"/>
  </r>
  <r>
    <s v="PRD-01134"/>
    <x v="47"/>
    <x v="1"/>
    <x v="1"/>
    <s v="CNC-02"/>
    <s v="OP-004"/>
    <x v="1"/>
    <n v="281"/>
    <n v="205"/>
    <n v="5"/>
    <n v="8.6999999999999993"/>
    <n v="44705.08"/>
    <n v="6.74"/>
    <n v="161.76"/>
    <n v="282"/>
    <d v="2026-05-20T00:00:00"/>
    <d v="2026-05-19T00:00:00"/>
    <x v="0"/>
    <s v="Global Aero Systems"/>
  </r>
  <r>
    <s v="PRD-01135"/>
    <x v="34"/>
    <x v="7"/>
    <x v="0"/>
    <s v="Autoclave-02"/>
    <s v="OP-003"/>
    <x v="0"/>
    <n v="183"/>
    <n v="175"/>
    <n v="6"/>
    <n v="7.6"/>
    <n v="58125.64"/>
    <n v="5.08"/>
    <n v="91.44"/>
    <n v="241"/>
    <d v="2026-01-09T00:00:00"/>
    <d v="2026-01-11T00:00:00"/>
    <x v="0"/>
    <s v="Precision Air"/>
  </r>
  <r>
    <s v="PRD-01136"/>
    <x v="147"/>
    <x v="4"/>
    <x v="4"/>
    <s v="Assembly-02"/>
    <s v="OP-025"/>
    <x v="2"/>
    <n v="95"/>
    <n v="80"/>
    <n v="2"/>
    <n v="6.9"/>
    <n v="15198.5"/>
    <n v="2.29"/>
    <n v="54.96"/>
    <n v="155"/>
    <d v="2026-04-16T00:00:00"/>
    <d v="2026-04-16T00:00:00"/>
    <x v="1"/>
    <s v="NorthStar Aviation"/>
  </r>
  <r>
    <s v="PRD-01137"/>
    <x v="138"/>
    <x v="2"/>
    <x v="2"/>
    <s v="Repair-02"/>
    <s v="OP-009"/>
    <x v="2"/>
    <n v="82"/>
    <n v="69"/>
    <n v="4"/>
    <n v="1.5"/>
    <n v="6167.18"/>
    <n v="1.88"/>
    <n v="45.12"/>
    <n v="80"/>
    <d v="2026-05-29T00:00:00"/>
    <d v="2026-05-29T00:00:00"/>
    <x v="0"/>
    <s v="Global Aero Systems"/>
  </r>
  <r>
    <s v="PRD-01138"/>
    <x v="137"/>
    <x v="3"/>
    <x v="3"/>
    <s v="Bender-01"/>
    <s v="OP-022"/>
    <x v="0"/>
    <n v="167"/>
    <n v="187"/>
    <n v="10"/>
    <n v="2.9"/>
    <n v="20849.41"/>
    <n v="5.68"/>
    <n v="147.68"/>
    <n v="137"/>
    <d v="2026-06-30T00:00:00"/>
    <d v="2026-07-04T00:00:00"/>
    <x v="1"/>
    <s v="AeroTech UK"/>
  </r>
  <r>
    <s v="PRD-01139"/>
    <x v="44"/>
    <x v="2"/>
    <x v="2"/>
    <s v="Repair-01"/>
    <s v="OP-029"/>
    <x v="2"/>
    <n v="243"/>
    <n v="200"/>
    <n v="6"/>
    <n v="7.4"/>
    <n v="16083.95"/>
    <n v="6.88"/>
    <n v="151.36000000000001"/>
    <n v="259"/>
    <d v="2026-06-14T00:00:00"/>
    <d v="2026-06-15T00:00:00"/>
    <x v="0"/>
    <s v="SkyWorks"/>
  </r>
  <r>
    <s v="PRD-01140"/>
    <x v="87"/>
    <x v="3"/>
    <x v="3"/>
    <s v="Laser-01"/>
    <s v="OP-016"/>
    <x v="1"/>
    <n v="250"/>
    <n v="186"/>
    <n v="9"/>
    <n v="2"/>
    <n v="18376.89"/>
    <n v="6.99"/>
    <n v="139.80000000000001"/>
    <n v="229"/>
    <d v="2026-05-01T00:00:00"/>
    <d v="2026-05-02T00:00:00"/>
    <x v="1"/>
    <s v="AeroTech UK"/>
  </r>
  <r>
    <s v="PRD-01141"/>
    <x v="66"/>
    <x v="6"/>
    <x v="4"/>
    <s v="Assembly-02"/>
    <s v="OP-007"/>
    <x v="1"/>
    <n v="301"/>
    <n v="277"/>
    <n v="19"/>
    <n v="8.1999999999999993"/>
    <n v="46414.84"/>
    <n v="7.19"/>
    <n v="172.56"/>
    <n v="363"/>
    <d v="2026-04-17T00:00:00"/>
    <d v="2026-04-17T00:00:00"/>
    <x v="0"/>
    <s v="NorthStar Aviation"/>
  </r>
  <r>
    <s v="PRD-01142"/>
    <x v="60"/>
    <x v="4"/>
    <x v="4"/>
    <s v="Assembly-03"/>
    <s v="OP-003"/>
    <x v="2"/>
    <n v="200"/>
    <n v="229"/>
    <n v="6"/>
    <n v="3.5"/>
    <n v="53242.42"/>
    <n v="6.22"/>
    <n v="111.96"/>
    <n v="270"/>
    <d v="2026-04-27T00:00:00"/>
    <d v="2026-04-27T00:00:00"/>
    <x v="0"/>
    <s v="SkyWorks"/>
  </r>
  <r>
    <s v="PRD-01143"/>
    <x v="70"/>
    <x v="4"/>
    <x v="4"/>
    <s v="Assembly-01"/>
    <s v="OP-020"/>
    <x v="2"/>
    <n v="217"/>
    <n v="221"/>
    <n v="1"/>
    <n v="3"/>
    <n v="51167.839999999997"/>
    <n v="8.9600000000000009"/>
    <n v="232.96"/>
    <n v="199"/>
    <d v="2026-03-22T00:00:00"/>
    <d v="2026-03-22T00:00:00"/>
    <x v="2"/>
    <s v="SkyWorks"/>
  </r>
  <r>
    <s v="PRD-01144"/>
    <x v="66"/>
    <x v="2"/>
    <x v="2"/>
    <s v="Repair-02"/>
    <s v="OP-006"/>
    <x v="1"/>
    <n v="157"/>
    <n v="170"/>
    <n v="3"/>
    <n v="7.7"/>
    <n v="14007.27"/>
    <n v="7.06"/>
    <n v="141.19999999999999"/>
    <n v="178"/>
    <d v="2026-04-13T00:00:00"/>
    <d v="2026-04-12T00:00:00"/>
    <x v="0"/>
    <s v="AeroTech UK"/>
  </r>
  <r>
    <s v="PRD-01145"/>
    <x v="70"/>
    <x v="7"/>
    <x v="0"/>
    <s v="CNC-01"/>
    <s v="OP-015"/>
    <x v="0"/>
    <n v="147"/>
    <n v="146"/>
    <n v="8"/>
    <n v="2.2000000000000002"/>
    <n v="49761.03"/>
    <n v="5.49"/>
    <n v="120.78"/>
    <n v="188"/>
    <d v="2026-03-21T00:00:00"/>
    <d v="2026-03-21T00:00:00"/>
    <x v="0"/>
    <s v="Global Aero Systems"/>
  </r>
  <r>
    <s v="PRD-01146"/>
    <x v="19"/>
    <x v="5"/>
    <x v="5"/>
    <s v="Surface-01"/>
    <s v="OP-003"/>
    <x v="1"/>
    <n v="106"/>
    <n v="120"/>
    <n v="7"/>
    <n v="0.2"/>
    <n v="18221.27"/>
    <n v="2.5099999999999998"/>
    <n v="65.260000000000005"/>
    <n v="157"/>
    <d v="2026-03-02T00:00:00"/>
    <d v="2026-03-02T00:00:00"/>
    <x v="0"/>
    <s v="Precision Air"/>
  </r>
  <r>
    <s v="PRD-01147"/>
    <x v="36"/>
    <x v="0"/>
    <x v="0"/>
    <s v="CNC-01"/>
    <s v="OP-002"/>
    <x v="2"/>
    <n v="151"/>
    <n v="129"/>
    <n v="3"/>
    <n v="7.3"/>
    <n v="46978.53"/>
    <n v="2.87"/>
    <n v="74.62"/>
    <n v="228"/>
    <d v="2026-05-01T00:00:00"/>
    <d v="2026-05-01T00:00:00"/>
    <x v="2"/>
    <s v="Global Aero Systems"/>
  </r>
  <r>
    <s v="PRD-01148"/>
    <x v="3"/>
    <x v="3"/>
    <x v="3"/>
    <s v="Bender-01"/>
    <s v="OP-019"/>
    <x v="1"/>
    <n v="319"/>
    <n v="341"/>
    <n v="2"/>
    <n v="4.8"/>
    <n v="48791.62"/>
    <n v="12.85"/>
    <n v="257"/>
    <n v="392"/>
    <d v="2026-02-28T00:00:00"/>
    <d v="2026-03-04T00:00:00"/>
    <x v="0"/>
    <s v="Global Aero Systems"/>
  </r>
  <r>
    <s v="PRD-01149"/>
    <x v="7"/>
    <x v="4"/>
    <x v="4"/>
    <s v="Assembly-02"/>
    <s v="OP-030"/>
    <x v="1"/>
    <n v="128"/>
    <n v="102"/>
    <n v="0"/>
    <n v="2.5"/>
    <n v="18691.419999999998"/>
    <n v="4.0999999999999996"/>
    <n v="90.2"/>
    <n v="127"/>
    <d v="2026-07-03T00:00:00"/>
    <d v="2026-07-02T00:00:00"/>
    <x v="0"/>
    <s v="SkyWorks"/>
  </r>
  <r>
    <s v="PRD-01150"/>
    <x v="52"/>
    <x v="7"/>
    <x v="0"/>
    <s v="Autoclave-01"/>
    <s v="OP-020"/>
    <x v="1"/>
    <n v="86"/>
    <n v="95"/>
    <n v="4"/>
    <n v="6.1"/>
    <n v="24240.560000000001"/>
    <n v="2.13"/>
    <n v="51.12"/>
    <n v="99"/>
    <d v="2026-06-19T00:00:00"/>
    <d v="2026-06-21T00:00:00"/>
    <x v="0"/>
    <s v="NorthStar Aviation"/>
  </r>
  <r>
    <s v="PRD-01151"/>
    <x v="101"/>
    <x v="0"/>
    <x v="0"/>
    <s v="Autoclave-01"/>
    <s v="OP-023"/>
    <x v="2"/>
    <n v="275"/>
    <n v="245"/>
    <n v="19"/>
    <n v="6.2"/>
    <n v="72070.09"/>
    <n v="4.62"/>
    <n v="83.16"/>
    <n v="285"/>
    <d v="2026-06-04T00:00:00"/>
    <d v="2026-06-05T00:00:00"/>
    <x v="0"/>
    <s v="Precision Air"/>
  </r>
  <r>
    <s v="PRD-01152"/>
    <x v="147"/>
    <x v="3"/>
    <x v="3"/>
    <s v="Bender-01"/>
    <s v="OP-005"/>
    <x v="2"/>
    <n v="86"/>
    <n v="84"/>
    <n v="1"/>
    <n v="6.5"/>
    <n v="11979.06"/>
    <n v="2.21"/>
    <n v="48.62"/>
    <n v="140"/>
    <d v="2026-04-23T00:00:00"/>
    <d v="2026-04-23T00:00:00"/>
    <x v="0"/>
    <s v="NorthStar Aviation"/>
  </r>
  <r>
    <s v="PRD-01153"/>
    <x v="0"/>
    <x v="5"/>
    <x v="5"/>
    <s v="Surface-01"/>
    <s v="OP-014"/>
    <x v="1"/>
    <n v="259"/>
    <n v="255"/>
    <n v="21"/>
    <n v="5.4"/>
    <n v="30330.23"/>
    <n v="9.81"/>
    <n v="196.2"/>
    <n v="309"/>
    <d v="2026-06-18T00:00:00"/>
    <d v="2026-06-18T00:00:00"/>
    <x v="0"/>
    <s v="AeroTech UK"/>
  </r>
  <r>
    <s v="PRD-01154"/>
    <x v="151"/>
    <x v="4"/>
    <x v="4"/>
    <s v="Assembly-01"/>
    <s v="OP-013"/>
    <x v="2"/>
    <n v="200"/>
    <n v="178"/>
    <n v="15"/>
    <n v="5"/>
    <n v="35187.94"/>
    <n v="4.87"/>
    <n v="116.88"/>
    <n v="190"/>
    <d v="2026-05-20T00:00:00"/>
    <d v="2026-05-20T00:00:00"/>
    <x v="0"/>
    <s v="AeroTech UK"/>
  </r>
  <r>
    <s v="PRD-01155"/>
    <x v="34"/>
    <x v="5"/>
    <x v="5"/>
    <s v="Surface-01"/>
    <s v="OP-030"/>
    <x v="0"/>
    <n v="119"/>
    <n v="105"/>
    <n v="3"/>
    <n v="7.6"/>
    <n v="16990.13"/>
    <n v="4.1399999999999997"/>
    <n v="107.64"/>
    <n v="125"/>
    <d v="2026-01-07T00:00:00"/>
    <d v="2026-01-11T00:00:00"/>
    <x v="2"/>
    <s v="SkyWorks"/>
  </r>
  <r>
    <s v="PRD-01156"/>
    <x v="77"/>
    <x v="6"/>
    <x v="4"/>
    <s v="Assembly-02"/>
    <s v="OP-025"/>
    <x v="0"/>
    <n v="202"/>
    <n v="162"/>
    <n v="7"/>
    <n v="2.4"/>
    <n v="27844.16"/>
    <n v="6.66"/>
    <n v="133.19999999999999"/>
    <n v="198"/>
    <d v="2026-05-21T00:00:00"/>
    <d v="2026-05-19T00:00:00"/>
    <x v="0"/>
    <s v="SkyWorks"/>
  </r>
  <r>
    <s v="PRD-01157"/>
    <x v="126"/>
    <x v="3"/>
    <x v="3"/>
    <s v="Laser-01"/>
    <s v="OP-013"/>
    <x v="2"/>
    <n v="223"/>
    <n v="255"/>
    <n v="20"/>
    <n v="5.0999999999999996"/>
    <n v="33726.959999999999"/>
    <n v="8.7799999999999994"/>
    <n v="175.6"/>
    <n v="228"/>
    <d v="2026-03-13T00:00:00"/>
    <d v="2026-03-15T00:00:00"/>
    <x v="0"/>
    <s v="Precision Air"/>
  </r>
  <r>
    <s v="PRD-01158"/>
    <x v="165"/>
    <x v="1"/>
    <x v="1"/>
    <s v="CNC-03"/>
    <s v="OP-002"/>
    <x v="1"/>
    <n v="247"/>
    <n v="183"/>
    <n v="7"/>
    <n v="7.5"/>
    <n v="46481.66"/>
    <n v="7.09"/>
    <n v="141.80000000000001"/>
    <n v="224"/>
    <d v="2026-04-09T00:00:00"/>
    <d v="2026-04-08T00:00:00"/>
    <x v="1"/>
    <s v="Global Aero Systems"/>
  </r>
  <r>
    <s v="PRD-01159"/>
    <x v="158"/>
    <x v="5"/>
    <x v="5"/>
    <s v="Surface-02"/>
    <s v="OP-008"/>
    <x v="1"/>
    <n v="106"/>
    <n v="114"/>
    <n v="0"/>
    <n v="6"/>
    <n v="14931.14"/>
    <n v="2.89"/>
    <n v="52.02"/>
    <n v="148"/>
    <d v="2026-06-29T00:00:00"/>
    <d v="2026-06-27T00:00:00"/>
    <x v="0"/>
    <s v="NorthStar Aviation"/>
  </r>
  <r>
    <s v="PRD-01160"/>
    <x v="83"/>
    <x v="7"/>
    <x v="0"/>
    <s v="CNC-01"/>
    <s v="OP-011"/>
    <x v="1"/>
    <n v="280"/>
    <n v="236"/>
    <n v="9"/>
    <n v="5.0999999999999996"/>
    <n v="70780.72"/>
    <n v="6.43"/>
    <n v="141.46"/>
    <n v="310"/>
    <d v="2026-04-22T00:00:00"/>
    <d v="2026-04-20T00:00:00"/>
    <x v="0"/>
    <s v="Precision Air"/>
  </r>
  <r>
    <s v="PRD-01161"/>
    <x v="95"/>
    <x v="3"/>
    <x v="3"/>
    <s v="Bender-01"/>
    <s v="OP-019"/>
    <x v="0"/>
    <n v="248"/>
    <n v="185"/>
    <n v="2"/>
    <n v="8.8000000000000007"/>
    <n v="17662.509999999998"/>
    <n v="6.73"/>
    <n v="148.06"/>
    <n v="292"/>
    <d v="2026-01-27T00:00:00"/>
    <d v="2026-01-27T00:00:00"/>
    <x v="0"/>
    <s v="AeroTech UK"/>
  </r>
  <r>
    <s v="PRD-01162"/>
    <x v="145"/>
    <x v="2"/>
    <x v="2"/>
    <s v="Repair-01"/>
    <s v="OP-006"/>
    <x v="0"/>
    <n v="231"/>
    <n v="198"/>
    <n v="10"/>
    <n v="3.2"/>
    <n v="16063.74"/>
    <n v="3.57"/>
    <n v="71.400000000000006"/>
    <n v="195"/>
    <d v="2026-06-03T00:00:00"/>
    <d v="2026-06-03T00:00:00"/>
    <x v="2"/>
    <s v="AeroTech UK"/>
  </r>
  <r>
    <s v="PRD-01163"/>
    <x v="95"/>
    <x v="5"/>
    <x v="5"/>
    <s v="Surface-01"/>
    <s v="OP-002"/>
    <x v="0"/>
    <n v="114"/>
    <n v="117"/>
    <n v="1"/>
    <n v="2.8"/>
    <n v="19740.21"/>
    <n v="4.22"/>
    <n v="101.28"/>
    <n v="177"/>
    <d v="2026-01-28T00:00:00"/>
    <d v="2026-02-01T00:00:00"/>
    <x v="2"/>
    <s v="Precision Air"/>
  </r>
  <r>
    <s v="PRD-01164"/>
    <x v="97"/>
    <x v="1"/>
    <x v="1"/>
    <s v="CNC-02"/>
    <s v="OP-011"/>
    <x v="0"/>
    <n v="122"/>
    <n v="110"/>
    <n v="9"/>
    <n v="2.1"/>
    <n v="31458.5"/>
    <n v="2.4700000000000002"/>
    <n v="59.28"/>
    <n v="181"/>
    <d v="2026-05-14T00:00:00"/>
    <d v="2026-05-12T00:00:00"/>
    <x v="2"/>
    <s v="Precision Air"/>
  </r>
  <r>
    <s v="PRD-01165"/>
    <x v="47"/>
    <x v="5"/>
    <x v="5"/>
    <s v="Surface-02"/>
    <s v="OP-011"/>
    <x v="1"/>
    <n v="170"/>
    <n v="139"/>
    <n v="8"/>
    <n v="1.9"/>
    <n v="21194.95"/>
    <n v="5.56"/>
    <n v="122.32"/>
    <n v="181"/>
    <d v="2026-05-19T00:00:00"/>
    <d v="2026-05-18T00:00:00"/>
    <x v="2"/>
    <s v="NorthStar Aviation"/>
  </r>
  <r>
    <s v="PRD-01166"/>
    <x v="57"/>
    <x v="4"/>
    <x v="4"/>
    <s v="Assembly-01"/>
    <s v="OP-021"/>
    <x v="1"/>
    <n v="139"/>
    <n v="107"/>
    <n v="0"/>
    <n v="1.1000000000000001"/>
    <n v="19740.32"/>
    <n v="3.92"/>
    <n v="94.08"/>
    <n v="195"/>
    <d v="2026-01-14T00:00:00"/>
    <d v="2026-01-14T00:00:00"/>
    <x v="1"/>
    <s v="SkyWorks"/>
  </r>
  <r>
    <s v="PRD-01167"/>
    <x v="129"/>
    <x v="7"/>
    <x v="0"/>
    <s v="CNC-01"/>
    <s v="OP-015"/>
    <x v="0"/>
    <n v="92"/>
    <n v="66"/>
    <n v="2"/>
    <n v="5.0999999999999996"/>
    <n v="16075.51"/>
    <n v="2.2400000000000002"/>
    <n v="53.76"/>
    <n v="179"/>
    <d v="2026-05-11T00:00:00"/>
    <d v="2026-05-11T00:00:00"/>
    <x v="1"/>
    <s v="Global Aero Systems"/>
  </r>
  <r>
    <s v="PRD-01168"/>
    <x v="9"/>
    <x v="0"/>
    <x v="0"/>
    <s v="Autoclave-02"/>
    <s v="OP-023"/>
    <x v="2"/>
    <n v="288"/>
    <n v="232"/>
    <n v="19"/>
    <n v="3.8"/>
    <n v="82650.44"/>
    <n v="6.02"/>
    <n v="108.36"/>
    <n v="352"/>
    <d v="2026-03-26T00:00:00"/>
    <d v="2026-03-27T00:00:00"/>
    <x v="0"/>
    <s v="Global Aero Systems"/>
  </r>
  <r>
    <s v="PRD-01169"/>
    <x v="166"/>
    <x v="7"/>
    <x v="0"/>
    <s v="CNC-01"/>
    <s v="OP-011"/>
    <x v="2"/>
    <n v="269"/>
    <n v="238"/>
    <n v="7"/>
    <n v="3.8"/>
    <n v="55773.57"/>
    <n v="4.74"/>
    <n v="123.24"/>
    <n v="320"/>
    <d v="2026-02-24T00:00:00"/>
    <d v="2026-02-26T00:00:00"/>
    <x v="0"/>
    <s v="AeroTech UK"/>
  </r>
  <r>
    <s v="PRD-01170"/>
    <x v="155"/>
    <x v="4"/>
    <x v="4"/>
    <s v="Assembly-03"/>
    <s v="OP-028"/>
    <x v="1"/>
    <n v="199"/>
    <n v="204"/>
    <n v="4"/>
    <n v="3.1"/>
    <n v="32581.71"/>
    <n v="5.7"/>
    <n v="114"/>
    <n v="268"/>
    <d v="2026-07-03T00:00:00"/>
    <d v="2026-07-03T00:00:00"/>
    <x v="0"/>
    <s v="Precision Air"/>
  </r>
  <r>
    <s v="PRD-01171"/>
    <x v="140"/>
    <x v="4"/>
    <x v="4"/>
    <s v="Assembly-03"/>
    <s v="OP-026"/>
    <x v="1"/>
    <n v="180"/>
    <n v="156"/>
    <n v="4"/>
    <n v="5.9"/>
    <n v="31961.39"/>
    <n v="5.63"/>
    <n v="123.86"/>
    <n v="196"/>
    <d v="2026-03-22T00:00:00"/>
    <d v="2026-03-22T00:00:00"/>
    <x v="0"/>
    <s v="Precision Air"/>
  </r>
  <r>
    <s v="PRD-01172"/>
    <x v="154"/>
    <x v="2"/>
    <x v="2"/>
    <s v="Repair-01"/>
    <s v="OP-017"/>
    <x v="0"/>
    <n v="272"/>
    <n v="266"/>
    <n v="21"/>
    <n v="8.5"/>
    <n v="22831.31"/>
    <n v="6.61"/>
    <n v="171.86"/>
    <n v="301"/>
    <d v="2026-02-09T00:00:00"/>
    <d v="2026-02-09T00:00:00"/>
    <x v="0"/>
    <s v="Precision Air"/>
  </r>
  <r>
    <s v="PRD-01173"/>
    <x v="93"/>
    <x v="3"/>
    <x v="3"/>
    <s v="Press-01"/>
    <s v="OP-008"/>
    <x v="2"/>
    <n v="92"/>
    <n v="89"/>
    <n v="4"/>
    <n v="1.2"/>
    <n v="11970.37"/>
    <n v="2.0699999999999998"/>
    <n v="53.82"/>
    <n v="188"/>
    <d v="2026-02-25T00:00:00"/>
    <d v="2026-02-25T00:00:00"/>
    <x v="0"/>
    <s v="AeroTech UK"/>
  </r>
  <r>
    <s v="PRD-01174"/>
    <x v="15"/>
    <x v="5"/>
    <x v="5"/>
    <s v="Surface-01"/>
    <s v="OP-012"/>
    <x v="1"/>
    <n v="95"/>
    <n v="96"/>
    <n v="1"/>
    <n v="4.3"/>
    <n v="10929.81"/>
    <n v="3.8"/>
    <n v="98.8"/>
    <n v="144"/>
    <d v="2026-01-08T00:00:00"/>
    <d v="2026-01-08T00:00:00"/>
    <x v="2"/>
    <s v="Global Aero Systems"/>
  </r>
  <r>
    <s v="PRD-01175"/>
    <x v="113"/>
    <x v="3"/>
    <x v="3"/>
    <s v="Press-01"/>
    <s v="OP-005"/>
    <x v="0"/>
    <n v="89"/>
    <n v="73"/>
    <n v="0"/>
    <n v="2.5"/>
    <n v="7930.09"/>
    <n v="2.94"/>
    <n v="58.8"/>
    <n v="107"/>
    <d v="2026-06-10T00:00:00"/>
    <d v="2026-06-08T00:00:00"/>
    <x v="0"/>
    <s v="SkyWorks"/>
  </r>
  <r>
    <s v="PRD-01176"/>
    <x v="25"/>
    <x v="3"/>
    <x v="3"/>
    <s v="Press-01"/>
    <s v="OP-001"/>
    <x v="0"/>
    <n v="132"/>
    <n v="136"/>
    <n v="6"/>
    <n v="7.7"/>
    <n v="18211.18"/>
    <n v="4.3899999999999997"/>
    <n v="87.8"/>
    <n v="176"/>
    <d v="2026-02-08T00:00:00"/>
    <d v="2026-02-09T00:00:00"/>
    <x v="2"/>
    <s v="Global Aero Systems"/>
  </r>
  <r>
    <s v="PRD-01177"/>
    <x v="8"/>
    <x v="1"/>
    <x v="1"/>
    <s v="CNC-02"/>
    <s v="OP-029"/>
    <x v="2"/>
    <n v="146"/>
    <n v="149"/>
    <n v="8"/>
    <n v="1.7"/>
    <n v="35452.03"/>
    <n v="3.47"/>
    <n v="62.46"/>
    <n v="163"/>
    <d v="2026-01-31T00:00:00"/>
    <d v="2026-02-01T00:00:00"/>
    <x v="0"/>
    <s v="SkyWorks"/>
  </r>
  <r>
    <s v="PRD-01178"/>
    <x v="12"/>
    <x v="1"/>
    <x v="1"/>
    <s v="CNC-03"/>
    <s v="OP-010"/>
    <x v="2"/>
    <n v="120"/>
    <n v="134"/>
    <n v="9"/>
    <n v="0.3"/>
    <n v="26443.759999999998"/>
    <n v="3.35"/>
    <n v="73.7"/>
    <n v="184"/>
    <d v="2026-02-21T00:00:00"/>
    <d v="2026-02-20T00:00:00"/>
    <x v="0"/>
    <s v="Global Aero Systems"/>
  </r>
  <r>
    <s v="PRD-01179"/>
    <x v="146"/>
    <x v="2"/>
    <x v="2"/>
    <s v="Repair-02"/>
    <s v="OP-029"/>
    <x v="0"/>
    <n v="280"/>
    <n v="300"/>
    <n v="23"/>
    <n v="0.3"/>
    <n v="34513.040000000001"/>
    <n v="10.09"/>
    <n v="201.8"/>
    <n v="311"/>
    <d v="2026-06-06T00:00:00"/>
    <d v="2026-06-04T00:00:00"/>
    <x v="0"/>
    <s v="AeroTech UK"/>
  </r>
  <r>
    <s v="PRD-01180"/>
    <x v="63"/>
    <x v="5"/>
    <x v="5"/>
    <s v="Surface-02"/>
    <s v="OP-006"/>
    <x v="2"/>
    <n v="307"/>
    <n v="258"/>
    <n v="12"/>
    <n v="1.7"/>
    <n v="28321.62"/>
    <n v="6.62"/>
    <n v="132.4"/>
    <n v="325"/>
    <d v="2026-06-25T00:00:00"/>
    <d v="2026-06-26T00:00:00"/>
    <x v="0"/>
    <s v="Precision Air"/>
  </r>
  <r>
    <s v="PRD-01181"/>
    <x v="168"/>
    <x v="6"/>
    <x v="4"/>
    <s v="Assembly-02"/>
    <s v="OP-026"/>
    <x v="2"/>
    <n v="180"/>
    <n v="155"/>
    <n v="7"/>
    <n v="3"/>
    <n v="34162.94"/>
    <n v="3.38"/>
    <n v="67.599999999999994"/>
    <n v="174"/>
    <d v="2026-06-16T00:00:00"/>
    <d v="2026-06-16T00:00:00"/>
    <x v="1"/>
    <s v="AeroTech UK"/>
  </r>
  <r>
    <s v="PRD-01182"/>
    <x v="69"/>
    <x v="7"/>
    <x v="0"/>
    <s v="Autoclave-01"/>
    <s v="OP-024"/>
    <x v="0"/>
    <n v="164"/>
    <n v="146"/>
    <n v="13"/>
    <n v="1.9"/>
    <n v="41033.61"/>
    <n v="3.4"/>
    <n v="74.8"/>
    <n v="228"/>
    <d v="2026-02-13T00:00:00"/>
    <d v="2026-02-17T00:00:00"/>
    <x v="0"/>
    <s v="AeroTech UK"/>
  </r>
  <r>
    <s v="PRD-01183"/>
    <x v="112"/>
    <x v="2"/>
    <x v="2"/>
    <s v="Repair-02"/>
    <s v="OP-021"/>
    <x v="1"/>
    <n v="173"/>
    <n v="193"/>
    <n v="1"/>
    <n v="7.7"/>
    <n v="15390.61"/>
    <n v="6.3"/>
    <n v="138.6"/>
    <n v="196"/>
    <d v="2026-06-23T00:00:00"/>
    <d v="2026-06-23T00:00:00"/>
    <x v="0"/>
    <s v="NorthStar Aviation"/>
  </r>
  <r>
    <s v="PRD-01184"/>
    <x v="86"/>
    <x v="0"/>
    <x v="0"/>
    <s v="Autoclave-01"/>
    <s v="OP-010"/>
    <x v="1"/>
    <n v="313"/>
    <n v="256"/>
    <n v="14"/>
    <n v="6.9"/>
    <n v="84196.57"/>
    <n v="4.79"/>
    <n v="105.38"/>
    <n v="306"/>
    <d v="2026-01-17T00:00:00"/>
    <d v="2026-01-17T00:00:00"/>
    <x v="1"/>
    <s v="AeroTech UK"/>
  </r>
  <r>
    <s v="PRD-01185"/>
    <x v="146"/>
    <x v="7"/>
    <x v="0"/>
    <s v="Autoclave-01"/>
    <s v="OP-027"/>
    <x v="1"/>
    <n v="196"/>
    <n v="201"/>
    <n v="18"/>
    <n v="6"/>
    <n v="40935.550000000003"/>
    <n v="5.42"/>
    <n v="130.08000000000001"/>
    <n v="261"/>
    <d v="2026-06-04T00:00:00"/>
    <d v="2026-06-08T00:00:00"/>
    <x v="0"/>
    <s v="Global Aero Systems"/>
  </r>
  <r>
    <s v="PRD-01186"/>
    <x v="62"/>
    <x v="6"/>
    <x v="4"/>
    <s v="Assembly-02"/>
    <s v="OP-026"/>
    <x v="0"/>
    <n v="107"/>
    <n v="105"/>
    <n v="8"/>
    <n v="8.4"/>
    <n v="15214.88"/>
    <n v="2.86"/>
    <n v="74.36"/>
    <n v="125"/>
    <d v="2026-04-03T00:00:00"/>
    <d v="2026-04-07T00:00:00"/>
    <x v="0"/>
    <s v="Global Aero Systems"/>
  </r>
  <r>
    <s v="PRD-01187"/>
    <x v="125"/>
    <x v="3"/>
    <x v="3"/>
    <s v="Laser-01"/>
    <s v="OP-030"/>
    <x v="0"/>
    <n v="209"/>
    <n v="228"/>
    <n v="2"/>
    <n v="1.4"/>
    <n v="29984.41"/>
    <n v="7.3"/>
    <n v="160.6"/>
    <n v="267"/>
    <d v="2026-06-19T00:00:00"/>
    <d v="2026-06-19T00:00:00"/>
    <x v="0"/>
    <s v="NorthStar Aviation"/>
  </r>
  <r>
    <s v="PRD-01188"/>
    <x v="14"/>
    <x v="5"/>
    <x v="5"/>
    <s v="Surface-01"/>
    <s v="OP-002"/>
    <x v="2"/>
    <n v="240"/>
    <n v="192"/>
    <n v="10"/>
    <n v="8.5"/>
    <n v="27088.48"/>
    <n v="3.85"/>
    <n v="69.3"/>
    <n v="230"/>
    <d v="2026-03-15T00:00:00"/>
    <d v="2026-03-19T00:00:00"/>
    <x v="1"/>
    <s v="SkyWorks"/>
  </r>
  <r>
    <s v="PRD-01189"/>
    <x v="136"/>
    <x v="2"/>
    <x v="2"/>
    <s v="Repair-01"/>
    <s v="OP-004"/>
    <x v="0"/>
    <n v="251"/>
    <n v="279"/>
    <n v="25"/>
    <n v="0.7"/>
    <n v="31787.73"/>
    <n v="8.27"/>
    <n v="148.86000000000001"/>
    <n v="268"/>
    <d v="2026-07-07T00:00:00"/>
    <d v="2026-07-07T00:00:00"/>
    <x v="0"/>
    <s v="Precision Air"/>
  </r>
  <r>
    <s v="PRD-01190"/>
    <x v="18"/>
    <x v="6"/>
    <x v="4"/>
    <s v="Assembly-03"/>
    <s v="OP-008"/>
    <x v="0"/>
    <n v="170"/>
    <n v="135"/>
    <n v="4"/>
    <n v="8"/>
    <n v="25776.06"/>
    <n v="2.99"/>
    <n v="59.8"/>
    <n v="256"/>
    <d v="2026-06-16T00:00:00"/>
    <d v="2026-06-16T00:00:00"/>
    <x v="0"/>
    <s v="Global Aero Systems"/>
  </r>
  <r>
    <s v="PRD-01191"/>
    <x v="12"/>
    <x v="3"/>
    <x v="3"/>
    <s v="Press-01"/>
    <s v="OP-023"/>
    <x v="0"/>
    <n v="172"/>
    <n v="187"/>
    <n v="3"/>
    <n v="1"/>
    <n v="20337.32"/>
    <n v="6.44"/>
    <n v="141.68"/>
    <n v="229"/>
    <d v="2026-02-21T00:00:00"/>
    <d v="2026-02-21T00:00:00"/>
    <x v="0"/>
    <s v="NorthStar Aviation"/>
  </r>
  <r>
    <s v="PRD-01192"/>
    <x v="74"/>
    <x v="6"/>
    <x v="4"/>
    <s v="Assembly-02"/>
    <s v="OP-001"/>
    <x v="2"/>
    <n v="157"/>
    <n v="142"/>
    <n v="12"/>
    <n v="0.2"/>
    <n v="24939.759999999998"/>
    <n v="4.29"/>
    <n v="111.54"/>
    <n v="201"/>
    <d v="2026-02-23T00:00:00"/>
    <d v="2026-02-23T00:00:00"/>
    <x v="2"/>
    <s v="AeroTech UK"/>
  </r>
  <r>
    <s v="PRD-01193"/>
    <x v="66"/>
    <x v="2"/>
    <x v="2"/>
    <s v="Repair-02"/>
    <s v="OP-029"/>
    <x v="0"/>
    <n v="98"/>
    <n v="96"/>
    <n v="8"/>
    <n v="1.7"/>
    <n v="9409.9500000000007"/>
    <n v="3.17"/>
    <n v="63.4"/>
    <n v="159"/>
    <d v="2026-04-14T00:00:00"/>
    <d v="2026-04-14T00:00:00"/>
    <x v="0"/>
    <s v="SkyWorks"/>
  </r>
  <r>
    <s v="PRD-01194"/>
    <x v="40"/>
    <x v="1"/>
    <x v="1"/>
    <s v="CNC-03"/>
    <s v="OP-018"/>
    <x v="2"/>
    <n v="127"/>
    <n v="116"/>
    <n v="5"/>
    <n v="2.9"/>
    <n v="25950.27"/>
    <n v="3.67"/>
    <n v="66.06"/>
    <n v="194"/>
    <d v="2026-04-20T00:00:00"/>
    <d v="2026-04-22T00:00:00"/>
    <x v="0"/>
    <s v="NorthStar Aviation"/>
  </r>
  <r>
    <s v="PRD-01195"/>
    <x v="173"/>
    <x v="3"/>
    <x v="3"/>
    <s v="Press-01"/>
    <s v="OP-011"/>
    <x v="1"/>
    <n v="247"/>
    <n v="217"/>
    <n v="15"/>
    <n v="1.4"/>
    <n v="23640.5"/>
    <n v="5.59"/>
    <n v="134.16"/>
    <n v="262"/>
    <d v="2026-06-06T00:00:00"/>
    <d v="2026-06-06T00:00:00"/>
    <x v="1"/>
    <s v="Precision Air"/>
  </r>
  <r>
    <s v="PRD-01196"/>
    <x v="83"/>
    <x v="1"/>
    <x v="1"/>
    <s v="CNC-03"/>
    <s v="OP-011"/>
    <x v="0"/>
    <n v="142"/>
    <n v="130"/>
    <n v="9"/>
    <n v="1.4"/>
    <n v="31253.68"/>
    <n v="4.59"/>
    <n v="91.8"/>
    <n v="112"/>
    <d v="2026-04-21T00:00:00"/>
    <d v="2026-04-23T00:00:00"/>
    <x v="0"/>
    <s v="SkyWorks"/>
  </r>
  <r>
    <s v="PRD-01197"/>
    <x v="44"/>
    <x v="7"/>
    <x v="0"/>
    <s v="CNC-01"/>
    <s v="OP-003"/>
    <x v="0"/>
    <n v="251"/>
    <n v="240"/>
    <n v="3"/>
    <n v="1.8"/>
    <n v="57227.31"/>
    <n v="8.6999999999999993"/>
    <n v="156.6"/>
    <n v="222"/>
    <d v="2026-06-15T00:00:00"/>
    <d v="2026-06-15T00:00:00"/>
    <x v="0"/>
    <s v="AeroTech UK"/>
  </r>
  <r>
    <s v="PRD-01198"/>
    <x v="142"/>
    <x v="3"/>
    <x v="3"/>
    <s v="Press-01"/>
    <s v="OP-014"/>
    <x v="0"/>
    <n v="292"/>
    <n v="231"/>
    <n v="2"/>
    <n v="6.7"/>
    <n v="30250.91"/>
    <n v="4.78"/>
    <n v="105.16"/>
    <n v="389"/>
    <d v="2026-02-19T00:00:00"/>
    <d v="2026-02-21T00:00:00"/>
    <x v="1"/>
    <s v="Global Aero Systems"/>
  </r>
  <r>
    <s v="PRD-01199"/>
    <x v="83"/>
    <x v="6"/>
    <x v="4"/>
    <s v="Assembly-01"/>
    <s v="OP-026"/>
    <x v="1"/>
    <n v="106"/>
    <n v="111"/>
    <n v="1"/>
    <n v="2.9"/>
    <n v="17438.509999999998"/>
    <n v="2.82"/>
    <n v="62.04"/>
    <n v="100"/>
    <d v="2026-04-25T00:00:00"/>
    <d v="2026-04-23T00:00:00"/>
    <x v="0"/>
    <s v="NorthStar Aviation"/>
  </r>
  <r>
    <s v="PRD-01200"/>
    <x v="138"/>
    <x v="5"/>
    <x v="5"/>
    <s v="Surface-02"/>
    <s v="OP-020"/>
    <x v="1"/>
    <n v="243"/>
    <n v="229"/>
    <n v="6"/>
    <n v="2.8"/>
    <n v="32628.93"/>
    <n v="6.25"/>
    <n v="150"/>
    <n v="275"/>
    <d v="2026-06-03T00:00:00"/>
    <d v="2026-06-03T00:00:00"/>
    <x v="0"/>
    <s v="NorthStar Aviati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8A3C98-4AF7-4E1A-A46F-3D0F59FDBF4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10" firstHeaderRow="0" firstDataRow="1" firstDataCol="1"/>
  <pivotFields count="21">
    <pivotField showAll="0"/>
    <pivotField numFmtId="165" showAll="0">
      <items count="180">
        <item x="21"/>
        <item x="117"/>
        <item x="15"/>
        <item x="34"/>
        <item x="90"/>
        <item x="110"/>
        <item x="1"/>
        <item x="57"/>
        <item x="72"/>
        <item x="164"/>
        <item x="108"/>
        <item x="162"/>
        <item x="134"/>
        <item x="16"/>
        <item x="86"/>
        <item x="53"/>
        <item x="127"/>
        <item x="54"/>
        <item x="95"/>
        <item x="91"/>
        <item x="8"/>
        <item x="71"/>
        <item x="61"/>
        <item x="2"/>
        <item x="109"/>
        <item x="169"/>
        <item x="64"/>
        <item x="25"/>
        <item x="170"/>
        <item x="98"/>
        <item x="104"/>
        <item x="154"/>
        <item x="163"/>
        <item x="55"/>
        <item x="69"/>
        <item x="6"/>
        <item x="161"/>
        <item x="144"/>
        <item x="178"/>
        <item x="107"/>
        <item x="111"/>
        <item x="119"/>
        <item x="96"/>
        <item x="93"/>
        <item x="149"/>
        <item x="142"/>
        <item x="12"/>
        <item x="153"/>
        <item x="45"/>
        <item x="3"/>
        <item x="166"/>
        <item x="74"/>
        <item x="59"/>
        <item x="100"/>
        <item x="5"/>
        <item x="89"/>
        <item x="19"/>
        <item x="24"/>
        <item x="38"/>
        <item x="37"/>
        <item x="49"/>
        <item x="41"/>
        <item x="148"/>
        <item x="14"/>
        <item x="126"/>
        <item x="105"/>
        <item x="20"/>
        <item x="128"/>
        <item x="35"/>
        <item x="27"/>
        <item x="102"/>
        <item x="106"/>
        <item x="114"/>
        <item x="70"/>
        <item x="140"/>
        <item x="115"/>
        <item x="175"/>
        <item x="157"/>
        <item x="130"/>
        <item x="9"/>
        <item x="94"/>
        <item x="171"/>
        <item x="62"/>
        <item x="139"/>
        <item x="10"/>
        <item x="141"/>
        <item x="165"/>
        <item x="132"/>
        <item x="176"/>
        <item x="31"/>
        <item x="11"/>
        <item x="68"/>
        <item x="75"/>
        <item x="99"/>
        <item x="51"/>
        <item x="66"/>
        <item x="58"/>
        <item x="81"/>
        <item x="152"/>
        <item x="28"/>
        <item x="147"/>
        <item x="73"/>
        <item x="83"/>
        <item x="167"/>
        <item x="82"/>
        <item x="120"/>
        <item x="40"/>
        <item x="160"/>
        <item x="156"/>
        <item x="26"/>
        <item x="121"/>
        <item x="60"/>
        <item x="39"/>
        <item x="150"/>
        <item x="36"/>
        <item x="56"/>
        <item x="84"/>
        <item x="87"/>
        <item x="30"/>
        <item x="48"/>
        <item x="67"/>
        <item x="97"/>
        <item x="129"/>
        <item x="29"/>
        <item x="80"/>
        <item x="46"/>
        <item x="174"/>
        <item x="118"/>
        <item x="151"/>
        <item x="143"/>
        <item x="78"/>
        <item x="43"/>
        <item x="123"/>
        <item x="76"/>
        <item x="47"/>
        <item x="77"/>
        <item x="124"/>
        <item x="13"/>
        <item x="17"/>
        <item x="79"/>
        <item x="22"/>
        <item x="133"/>
        <item x="172"/>
        <item x="85"/>
        <item x="138"/>
        <item x="101"/>
        <item x="145"/>
        <item x="146"/>
        <item x="113"/>
        <item x="135"/>
        <item x="33"/>
        <item x="65"/>
        <item x="88"/>
        <item x="173"/>
        <item x="4"/>
        <item x="168"/>
        <item x="103"/>
        <item x="18"/>
        <item x="44"/>
        <item x="159"/>
        <item x="125"/>
        <item x="50"/>
        <item x="0"/>
        <item x="177"/>
        <item x="63"/>
        <item x="52"/>
        <item x="23"/>
        <item x="116"/>
        <item x="42"/>
        <item x="137"/>
        <item x="112"/>
        <item x="122"/>
        <item x="92"/>
        <item x="7"/>
        <item x="158"/>
        <item x="136"/>
        <item x="155"/>
        <item x="131"/>
        <item x="32"/>
        <item t="default"/>
      </items>
    </pivotField>
    <pivotField showAll="0"/>
    <pivotField axis="axisRow" showAll="0">
      <items count="7">
        <item x="4"/>
        <item x="0"/>
        <item x="1"/>
        <item x="3"/>
        <item x="2"/>
        <item x="5"/>
        <item t="default"/>
      </items>
    </pivotField>
    <pivotField showAll="0"/>
    <pivotField showAll="0"/>
    <pivotField showAll="0">
      <items count="4">
        <item x="2"/>
        <item x="1"/>
        <item x="0"/>
        <item t="default"/>
      </items>
    </pivotField>
    <pivotField dataField="1" showAll="0"/>
    <pivotField dataField="1" showAll="0"/>
    <pivotField showAll="0"/>
    <pivotField showAll="0"/>
    <pivotField showAll="0"/>
    <pivotField showAll="0"/>
    <pivotField showAll="0"/>
    <pivotField showAll="0"/>
    <pivotField numFmtId="165" showAll="0"/>
    <pivotField numFmtId="165" showAll="0"/>
    <pivotField showAll="0">
      <items count="5">
        <item x="3"/>
        <item x="0"/>
        <item x="1"/>
        <item x="2"/>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7">
    <i>
      <x/>
    </i>
    <i>
      <x v="1"/>
    </i>
    <i>
      <x v="2"/>
    </i>
    <i>
      <x v="3"/>
    </i>
    <i>
      <x v="4"/>
    </i>
    <i>
      <x v="5"/>
    </i>
    <i t="grand">
      <x/>
    </i>
  </rowItems>
  <colFields count="1">
    <field x="-2"/>
  </colFields>
  <colItems count="2">
    <i>
      <x/>
    </i>
    <i i="1">
      <x v="1"/>
    </i>
  </colItems>
  <dataFields count="2">
    <dataField name="Total Production_Target" fld="7" baseField="0" baseItem="0"/>
    <dataField name="Total Actual_Production" fld="8" baseField="0" baseItem="0"/>
  </dataFields>
  <formats count="7">
    <format dxfId="7">
      <pivotArea collapsedLevelsAreSubtotals="1" fieldPosition="0">
        <references count="1">
          <reference field="3" count="0"/>
        </references>
      </pivotArea>
    </format>
    <format dxfId="6">
      <pivotArea type="all" dataOnly="0" outline="0" fieldPosition="0"/>
    </format>
    <format dxfId="5">
      <pivotArea outline="0" collapsedLevelsAreSubtotals="1" fieldPosition="0"/>
    </format>
    <format dxfId="4">
      <pivotArea field="3" type="button" dataOnly="0" labelOnly="1" outline="0" axis="axisRow" fieldPosition="0"/>
    </format>
    <format dxfId="3">
      <pivotArea dataOnly="0" labelOnly="1" fieldPosition="0">
        <references count="1">
          <reference field="3" count="0"/>
        </references>
      </pivotArea>
    </format>
    <format dxfId="2">
      <pivotArea dataOnly="0" labelOnly="1" grandRow="1" outline="0" fieldPosition="0"/>
    </format>
    <format dxfId="1">
      <pivotArea dataOnly="0" labelOnly="1" outline="0" fieldPosition="0">
        <references count="1">
          <reference field="4294967294" count="2">
            <x v="0"/>
            <x v="1"/>
          </reference>
        </references>
      </pivotArea>
    </format>
  </formats>
  <chartFormats count="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10325C-2FC5-4DBB-9F6A-AF6674D3E5A0}"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A49:B54" firstHeaderRow="1" firstDataRow="1" firstDataCol="1"/>
  <pivotFields count="21">
    <pivotField dataField="1" showAll="0"/>
    <pivotField numFmtId="165" showAll="0">
      <items count="180">
        <item x="21"/>
        <item x="117"/>
        <item x="15"/>
        <item x="34"/>
        <item x="90"/>
        <item x="110"/>
        <item x="1"/>
        <item x="57"/>
        <item x="72"/>
        <item x="164"/>
        <item x="108"/>
        <item x="162"/>
        <item x="134"/>
        <item x="16"/>
        <item x="86"/>
        <item x="53"/>
        <item x="127"/>
        <item x="54"/>
        <item x="95"/>
        <item x="91"/>
        <item x="8"/>
        <item x="71"/>
        <item x="61"/>
        <item x="2"/>
        <item x="109"/>
        <item x="169"/>
        <item x="64"/>
        <item x="25"/>
        <item x="170"/>
        <item x="98"/>
        <item x="104"/>
        <item x="154"/>
        <item x="163"/>
        <item x="55"/>
        <item x="69"/>
        <item x="6"/>
        <item x="161"/>
        <item x="144"/>
        <item x="178"/>
        <item x="107"/>
        <item x="111"/>
        <item x="119"/>
        <item x="96"/>
        <item x="93"/>
        <item x="149"/>
        <item x="142"/>
        <item x="12"/>
        <item x="153"/>
        <item x="45"/>
        <item x="3"/>
        <item x="166"/>
        <item x="74"/>
        <item x="59"/>
        <item x="100"/>
        <item x="5"/>
        <item x="89"/>
        <item x="19"/>
        <item x="24"/>
        <item x="38"/>
        <item x="37"/>
        <item x="49"/>
        <item x="41"/>
        <item x="148"/>
        <item x="14"/>
        <item x="126"/>
        <item x="105"/>
        <item x="20"/>
        <item x="128"/>
        <item x="35"/>
        <item x="27"/>
        <item x="102"/>
        <item x="106"/>
        <item x="114"/>
        <item x="70"/>
        <item x="140"/>
        <item x="115"/>
        <item x="175"/>
        <item x="157"/>
        <item x="130"/>
        <item x="9"/>
        <item x="94"/>
        <item x="171"/>
        <item x="62"/>
        <item x="139"/>
        <item x="10"/>
        <item x="141"/>
        <item x="165"/>
        <item x="132"/>
        <item x="176"/>
        <item x="31"/>
        <item x="11"/>
        <item x="68"/>
        <item x="75"/>
        <item x="99"/>
        <item x="51"/>
        <item x="66"/>
        <item x="58"/>
        <item x="81"/>
        <item x="152"/>
        <item x="28"/>
        <item x="147"/>
        <item x="73"/>
        <item x="83"/>
        <item x="167"/>
        <item x="82"/>
        <item x="120"/>
        <item x="40"/>
        <item x="160"/>
        <item x="156"/>
        <item x="26"/>
        <item x="121"/>
        <item x="60"/>
        <item x="39"/>
        <item x="150"/>
        <item x="36"/>
        <item x="56"/>
        <item x="84"/>
        <item x="87"/>
        <item x="30"/>
        <item x="48"/>
        <item x="67"/>
        <item x="97"/>
        <item x="129"/>
        <item x="29"/>
        <item x="80"/>
        <item x="46"/>
        <item x="174"/>
        <item x="118"/>
        <item x="151"/>
        <item x="143"/>
        <item x="78"/>
        <item x="43"/>
        <item x="123"/>
        <item x="76"/>
        <item x="47"/>
        <item x="77"/>
        <item x="124"/>
        <item x="13"/>
        <item x="17"/>
        <item x="79"/>
        <item x="22"/>
        <item x="133"/>
        <item x="172"/>
        <item x="85"/>
        <item x="138"/>
        <item x="101"/>
        <item x="145"/>
        <item x="146"/>
        <item x="113"/>
        <item x="135"/>
        <item x="33"/>
        <item x="65"/>
        <item x="88"/>
        <item x="173"/>
        <item x="4"/>
        <item x="168"/>
        <item x="103"/>
        <item x="18"/>
        <item x="44"/>
        <item x="159"/>
        <item x="125"/>
        <item x="50"/>
        <item x="0"/>
        <item x="177"/>
        <item x="63"/>
        <item x="52"/>
        <item x="23"/>
        <item x="116"/>
        <item x="42"/>
        <item x="137"/>
        <item x="112"/>
        <item x="122"/>
        <item x="92"/>
        <item x="7"/>
        <item x="158"/>
        <item x="136"/>
        <item x="155"/>
        <item x="131"/>
        <item x="32"/>
        <item t="default"/>
      </items>
    </pivotField>
    <pivotField showAll="0"/>
    <pivotField showAll="0">
      <items count="7">
        <item x="4"/>
        <item x="0"/>
        <item x="1"/>
        <item x="3"/>
        <item x="2"/>
        <item x="5"/>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numFmtId="165" showAll="0"/>
    <pivotField numFmtId="165" showAll="0"/>
    <pivotField axis="axisRow" showAll="0">
      <items count="5">
        <item x="3"/>
        <item x="0"/>
        <item x="1"/>
        <item x="2"/>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17"/>
  </rowFields>
  <rowItems count="5">
    <i>
      <x/>
    </i>
    <i>
      <x v="1"/>
    </i>
    <i>
      <x v="2"/>
    </i>
    <i>
      <x v="3"/>
    </i>
    <i t="grand">
      <x/>
    </i>
  </rowItems>
  <colItems count="1">
    <i/>
  </colItems>
  <dataFields count="1">
    <dataField name="Total Production Record" fld="0" subtotal="count" baseField="17" baseItem="0"/>
  </dataFields>
  <chartFormats count="10">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7" count="1" selected="0">
            <x v="0"/>
          </reference>
        </references>
      </pivotArea>
    </chartFormat>
    <chartFormat chart="2" format="2">
      <pivotArea type="data" outline="0" fieldPosition="0">
        <references count="2">
          <reference field="4294967294" count="1" selected="0">
            <x v="0"/>
          </reference>
          <reference field="17" count="1" selected="0">
            <x v="1"/>
          </reference>
        </references>
      </pivotArea>
    </chartFormat>
    <chartFormat chart="2" format="3">
      <pivotArea type="data" outline="0" fieldPosition="0">
        <references count="2">
          <reference field="4294967294" count="1" selected="0">
            <x v="0"/>
          </reference>
          <reference field="17" count="1" selected="0">
            <x v="2"/>
          </reference>
        </references>
      </pivotArea>
    </chartFormat>
    <chartFormat chart="2" format="4">
      <pivotArea type="data" outline="0" fieldPosition="0">
        <references count="2">
          <reference field="4294967294" count="1" selected="0">
            <x v="0"/>
          </reference>
          <reference field="17" count="1" selected="0">
            <x v="3"/>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17" count="1" selected="0">
            <x v="0"/>
          </reference>
        </references>
      </pivotArea>
    </chartFormat>
    <chartFormat chart="4" format="12">
      <pivotArea type="data" outline="0" fieldPosition="0">
        <references count="2">
          <reference field="4294967294" count="1" selected="0">
            <x v="0"/>
          </reference>
          <reference field="17" count="1" selected="0">
            <x v="1"/>
          </reference>
        </references>
      </pivotArea>
    </chartFormat>
    <chartFormat chart="4" format="13">
      <pivotArea type="data" outline="0" fieldPosition="0">
        <references count="2">
          <reference field="4294967294" count="1" selected="0">
            <x v="0"/>
          </reference>
          <reference field="17" count="1" selected="0">
            <x v="2"/>
          </reference>
        </references>
      </pivotArea>
    </chartFormat>
    <chartFormat chart="4" format="14">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8515D0-F0CF-4FB1-841A-789E8FB16949}" name="PivotTable5" cacheId="0" applyNumberFormats="0" applyBorderFormats="0" applyFontFormats="0" applyPatternFormats="0" applyAlignmentFormats="0" applyWidthHeightFormats="1" dataCaption="Values" updatedVersion="8" minRefreshableVersion="3" showDrill="0" useAutoFormatting="1" itemPrintTitles="1" createdVersion="8" indent="0" showHeaders="0" outline="1" outlineData="1" multipleFieldFilters="0" chartFormat="10">
  <location ref="A86:D90" firstHeaderRow="0" firstDataRow="1" firstDataCol="1"/>
  <pivotFields count="21">
    <pivotField showAll="0"/>
    <pivotField numFmtId="165" showAll="0">
      <items count="180">
        <item x="21"/>
        <item x="117"/>
        <item x="15"/>
        <item x="34"/>
        <item x="90"/>
        <item x="110"/>
        <item x="1"/>
        <item x="57"/>
        <item x="72"/>
        <item x="164"/>
        <item x="108"/>
        <item x="162"/>
        <item x="134"/>
        <item x="16"/>
        <item x="86"/>
        <item x="53"/>
        <item x="127"/>
        <item x="54"/>
        <item x="95"/>
        <item x="91"/>
        <item x="8"/>
        <item x="71"/>
        <item x="61"/>
        <item x="2"/>
        <item x="109"/>
        <item x="169"/>
        <item x="64"/>
        <item x="25"/>
        <item x="170"/>
        <item x="98"/>
        <item x="104"/>
        <item x="154"/>
        <item x="163"/>
        <item x="55"/>
        <item x="69"/>
        <item x="6"/>
        <item x="161"/>
        <item x="144"/>
        <item x="178"/>
        <item x="107"/>
        <item x="111"/>
        <item x="119"/>
        <item x="96"/>
        <item x="93"/>
        <item x="149"/>
        <item x="142"/>
        <item x="12"/>
        <item x="153"/>
        <item x="45"/>
        <item x="3"/>
        <item x="166"/>
        <item x="74"/>
        <item x="59"/>
        <item x="100"/>
        <item x="5"/>
        <item x="89"/>
        <item x="19"/>
        <item x="24"/>
        <item x="38"/>
        <item x="37"/>
        <item x="49"/>
        <item x="41"/>
        <item x="148"/>
        <item x="14"/>
        <item x="126"/>
        <item x="105"/>
        <item x="20"/>
        <item x="128"/>
        <item x="35"/>
        <item x="27"/>
        <item x="102"/>
        <item x="106"/>
        <item x="114"/>
        <item x="70"/>
        <item x="140"/>
        <item x="115"/>
        <item x="175"/>
        <item x="157"/>
        <item x="130"/>
        <item x="9"/>
        <item x="94"/>
        <item x="171"/>
        <item x="62"/>
        <item x="139"/>
        <item x="10"/>
        <item x="141"/>
        <item x="165"/>
        <item x="132"/>
        <item x="176"/>
        <item x="31"/>
        <item x="11"/>
        <item x="68"/>
        <item x="75"/>
        <item x="99"/>
        <item x="51"/>
        <item x="66"/>
        <item x="58"/>
        <item x="81"/>
        <item x="152"/>
        <item x="28"/>
        <item x="147"/>
        <item x="73"/>
        <item x="83"/>
        <item x="167"/>
        <item x="82"/>
        <item x="120"/>
        <item x="40"/>
        <item x="160"/>
        <item x="156"/>
        <item x="26"/>
        <item x="121"/>
        <item x="60"/>
        <item x="39"/>
        <item x="150"/>
        <item x="36"/>
        <item x="56"/>
        <item x="84"/>
        <item x="87"/>
        <item x="30"/>
        <item x="48"/>
        <item x="67"/>
        <item x="97"/>
        <item x="129"/>
        <item x="29"/>
        <item x="80"/>
        <item x="46"/>
        <item x="174"/>
        <item x="118"/>
        <item x="151"/>
        <item x="143"/>
        <item x="78"/>
        <item x="43"/>
        <item x="123"/>
        <item x="76"/>
        <item x="47"/>
        <item x="77"/>
        <item x="124"/>
        <item x="13"/>
        <item x="17"/>
        <item x="79"/>
        <item x="22"/>
        <item x="133"/>
        <item x="172"/>
        <item x="85"/>
        <item x="138"/>
        <item x="101"/>
        <item x="145"/>
        <item x="146"/>
        <item x="113"/>
        <item x="135"/>
        <item x="33"/>
        <item x="65"/>
        <item x="88"/>
        <item x="173"/>
        <item x="4"/>
        <item x="168"/>
        <item x="103"/>
        <item x="18"/>
        <item x="44"/>
        <item x="159"/>
        <item x="125"/>
        <item x="50"/>
        <item x="0"/>
        <item x="177"/>
        <item x="63"/>
        <item x="52"/>
        <item x="23"/>
        <item x="116"/>
        <item x="42"/>
        <item x="137"/>
        <item x="112"/>
        <item x="122"/>
        <item x="92"/>
        <item x="7"/>
        <item x="158"/>
        <item x="136"/>
        <item x="155"/>
        <item x="131"/>
        <item x="32"/>
        <item t="default"/>
      </items>
    </pivotField>
    <pivotField showAll="0"/>
    <pivotField showAll="0">
      <items count="7">
        <item x="4"/>
        <item x="0"/>
        <item x="1"/>
        <item x="3"/>
        <item x="2"/>
        <item x="5"/>
        <item t="default"/>
      </items>
    </pivotField>
    <pivotField showAll="0"/>
    <pivotField showAll="0"/>
    <pivotField axis="axisRow" showAll="0">
      <items count="4">
        <item x="2"/>
        <item x="1"/>
        <item x="0"/>
        <item t="default"/>
      </items>
    </pivotField>
    <pivotField dataField="1" showAll="0"/>
    <pivotField dataField="1" showAll="0"/>
    <pivotField dataField="1" showAll="0"/>
    <pivotField showAll="0"/>
    <pivotField showAll="0"/>
    <pivotField showAll="0"/>
    <pivotField showAll="0"/>
    <pivotField showAll="0"/>
    <pivotField numFmtId="165" showAll="0"/>
    <pivotField numFmtId="165" showAll="0"/>
    <pivotField showAll="0">
      <items count="5">
        <item x="3"/>
        <item x="0"/>
        <item x="1"/>
        <item x="2"/>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4">
    <i>
      <x/>
    </i>
    <i>
      <x v="1"/>
    </i>
    <i>
      <x v="2"/>
    </i>
    <i t="grand">
      <x/>
    </i>
  </rowItems>
  <colFields count="1">
    <field x="-2"/>
  </colFields>
  <colItems count="3">
    <i>
      <x/>
    </i>
    <i i="1">
      <x v="1"/>
    </i>
    <i i="2">
      <x v="2"/>
    </i>
  </colItems>
  <dataFields count="3">
    <dataField name="Total Production Target" fld="7" baseField="6" baseItem="0"/>
    <dataField name="Total Actual Production" fld="8" baseField="6" baseItem="0"/>
    <dataField name="Total Defects" fld="9" baseField="6" baseItem="0"/>
  </dataFields>
  <formats count="7">
    <format dxfId="14">
      <pivotArea outline="0" collapsedLevelsAreSubtotals="1" fieldPosition="0"/>
    </format>
    <format dxfId="13">
      <pivotArea type="all" dataOnly="0" outline="0" fieldPosition="0"/>
    </format>
    <format dxfId="12">
      <pivotArea outline="0" collapsedLevelsAreSubtotals="1" fieldPosition="0"/>
    </format>
    <format dxfId="11">
      <pivotArea field="6" type="button" dataOnly="0" labelOnly="1" outline="0" axis="axisRow" fieldPosition="0"/>
    </format>
    <format dxfId="10">
      <pivotArea dataOnly="0" labelOnly="1" fieldPosition="0">
        <references count="1">
          <reference field="6" count="0"/>
        </references>
      </pivotArea>
    </format>
    <format dxfId="9">
      <pivotArea dataOnly="0" labelOnly="1" grandRow="1" outline="0" fieldPosition="0"/>
    </format>
    <format dxfId="8">
      <pivotArea dataOnly="0" labelOnly="1" outline="0" fieldPosition="0">
        <references count="1">
          <reference field="4294967294" count="3">
            <x v="0"/>
            <x v="1"/>
            <x v="2"/>
          </reference>
        </references>
      </pivotArea>
    </format>
  </formats>
  <chartFormats count="6">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2"/>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ED7536-6588-4A8E-ABF9-E6D64019D23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66:D75" firstHeaderRow="0" firstDataRow="1" firstDataCol="1"/>
  <pivotFields count="21">
    <pivotField showAll="0"/>
    <pivotField numFmtId="165" showAll="0">
      <items count="180">
        <item x="21"/>
        <item x="117"/>
        <item x="15"/>
        <item x="34"/>
        <item x="90"/>
        <item x="110"/>
        <item x="1"/>
        <item x="57"/>
        <item x="72"/>
        <item x="164"/>
        <item x="108"/>
        <item x="162"/>
        <item x="134"/>
        <item x="16"/>
        <item x="86"/>
        <item x="53"/>
        <item x="127"/>
        <item x="54"/>
        <item x="95"/>
        <item x="91"/>
        <item x="8"/>
        <item x="71"/>
        <item x="61"/>
        <item x="2"/>
        <item x="109"/>
        <item x="169"/>
        <item x="64"/>
        <item x="25"/>
        <item x="170"/>
        <item x="98"/>
        <item x="104"/>
        <item x="154"/>
        <item x="163"/>
        <item x="55"/>
        <item x="69"/>
        <item x="6"/>
        <item x="161"/>
        <item x="144"/>
        <item x="178"/>
        <item x="107"/>
        <item x="111"/>
        <item x="119"/>
        <item x="96"/>
        <item x="93"/>
        <item x="149"/>
        <item x="142"/>
        <item x="12"/>
        <item x="153"/>
        <item x="45"/>
        <item x="3"/>
        <item x="166"/>
        <item x="74"/>
        <item x="59"/>
        <item x="100"/>
        <item x="5"/>
        <item x="89"/>
        <item x="19"/>
        <item x="24"/>
        <item x="38"/>
        <item x="37"/>
        <item x="49"/>
        <item x="41"/>
        <item x="148"/>
        <item x="14"/>
        <item x="126"/>
        <item x="105"/>
        <item x="20"/>
        <item x="128"/>
        <item x="35"/>
        <item x="27"/>
        <item x="102"/>
        <item x="106"/>
        <item x="114"/>
        <item x="70"/>
        <item x="140"/>
        <item x="115"/>
        <item x="175"/>
        <item x="157"/>
        <item x="130"/>
        <item x="9"/>
        <item x="94"/>
        <item x="171"/>
        <item x="62"/>
        <item x="139"/>
        <item x="10"/>
        <item x="141"/>
        <item x="165"/>
        <item x="132"/>
        <item x="176"/>
        <item x="31"/>
        <item x="11"/>
        <item x="68"/>
        <item x="75"/>
        <item x="99"/>
        <item x="51"/>
        <item x="66"/>
        <item x="58"/>
        <item x="81"/>
        <item x="152"/>
        <item x="28"/>
        <item x="147"/>
        <item x="73"/>
        <item x="83"/>
        <item x="167"/>
        <item x="82"/>
        <item x="120"/>
        <item x="40"/>
        <item x="160"/>
        <item x="156"/>
        <item x="26"/>
        <item x="121"/>
        <item x="60"/>
        <item x="39"/>
        <item x="150"/>
        <item x="36"/>
        <item x="56"/>
        <item x="84"/>
        <item x="87"/>
        <item x="30"/>
        <item x="48"/>
        <item x="67"/>
        <item x="97"/>
        <item x="129"/>
        <item x="29"/>
        <item x="80"/>
        <item x="46"/>
        <item x="174"/>
        <item x="118"/>
        <item x="151"/>
        <item x="143"/>
        <item x="78"/>
        <item x="43"/>
        <item x="123"/>
        <item x="76"/>
        <item x="47"/>
        <item x="77"/>
        <item x="124"/>
        <item x="13"/>
        <item x="17"/>
        <item x="79"/>
        <item x="22"/>
        <item x="133"/>
        <item x="172"/>
        <item x="85"/>
        <item x="138"/>
        <item x="101"/>
        <item x="145"/>
        <item x="146"/>
        <item x="113"/>
        <item x="135"/>
        <item x="33"/>
        <item x="65"/>
        <item x="88"/>
        <item x="173"/>
        <item x="4"/>
        <item x="168"/>
        <item x="103"/>
        <item x="18"/>
        <item x="44"/>
        <item x="159"/>
        <item x="125"/>
        <item x="50"/>
        <item x="0"/>
        <item x="177"/>
        <item x="63"/>
        <item x="52"/>
        <item x="23"/>
        <item x="116"/>
        <item x="42"/>
        <item x="137"/>
        <item x="112"/>
        <item x="122"/>
        <item x="92"/>
        <item x="7"/>
        <item x="158"/>
        <item x="136"/>
        <item x="155"/>
        <item x="131"/>
        <item x="32"/>
        <item t="default"/>
      </items>
    </pivotField>
    <pivotField axis="axisRow" showAll="0" sortType="ascending">
      <items count="9">
        <item x="6"/>
        <item x="4"/>
        <item x="7"/>
        <item x="0"/>
        <item x="1"/>
        <item x="2"/>
        <item x="3"/>
        <item x="5"/>
        <item t="default"/>
      </items>
      <autoSortScope>
        <pivotArea dataOnly="0" outline="0" fieldPosition="0">
          <references count="1">
            <reference field="4294967294" count="1" selected="0">
              <x v="1"/>
            </reference>
          </references>
        </pivotArea>
      </autoSortScope>
    </pivotField>
    <pivotField showAll="0">
      <items count="7">
        <item x="4"/>
        <item x="0"/>
        <item x="1"/>
        <item x="3"/>
        <item x="2"/>
        <item x="5"/>
        <item t="default"/>
      </items>
    </pivotField>
    <pivotField showAll="0"/>
    <pivotField showAll="0"/>
    <pivotField showAll="0">
      <items count="4">
        <item x="2"/>
        <item x="1"/>
        <item x="0"/>
        <item t="default"/>
      </items>
    </pivotField>
    <pivotField dataField="1" showAll="0"/>
    <pivotField dataField="1" showAll="0"/>
    <pivotField dataField="1" showAll="0"/>
    <pivotField showAll="0"/>
    <pivotField showAll="0"/>
    <pivotField showAll="0"/>
    <pivotField showAll="0"/>
    <pivotField showAll="0"/>
    <pivotField numFmtId="165" showAll="0"/>
    <pivotField numFmtId="165" showAll="0"/>
    <pivotField showAll="0">
      <items count="5">
        <item x="3"/>
        <item x="0"/>
        <item x="1"/>
        <item x="2"/>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9">
    <i>
      <x v="4"/>
    </i>
    <i>
      <x/>
    </i>
    <i>
      <x v="2"/>
    </i>
    <i>
      <x v="1"/>
    </i>
    <i>
      <x v="7"/>
    </i>
    <i>
      <x v="6"/>
    </i>
    <i>
      <x v="3"/>
    </i>
    <i>
      <x v="5"/>
    </i>
    <i t="grand">
      <x/>
    </i>
  </rowItems>
  <colFields count="1">
    <field x="-2"/>
  </colFields>
  <colItems count="3">
    <i>
      <x/>
    </i>
    <i i="1">
      <x v="1"/>
    </i>
    <i i="2">
      <x v="2"/>
    </i>
  </colItems>
  <dataFields count="3">
    <dataField name="Total Production Target" fld="7" baseField="2" baseItem="0"/>
    <dataField name="Total Actual Production" fld="8" baseField="2" baseItem="0"/>
    <dataField name="Total Defects" fld="9" baseField="2" baseItem="0"/>
  </dataFields>
  <formats count="7">
    <format dxfId="21">
      <pivotArea outline="0" collapsedLevelsAreSubtotals="1" fieldPosition="0"/>
    </format>
    <format dxfId="20">
      <pivotArea type="all" dataOnly="0" outline="0" fieldPosition="0"/>
    </format>
    <format dxfId="19">
      <pivotArea outline="0" collapsedLevelsAreSubtotals="1" fieldPosition="0"/>
    </format>
    <format dxfId="18">
      <pivotArea field="2" type="button" dataOnly="0" labelOnly="1" outline="0" axis="axisRow" fieldPosition="0"/>
    </format>
    <format dxfId="17">
      <pivotArea dataOnly="0" labelOnly="1" fieldPosition="0">
        <references count="1">
          <reference field="2" count="0"/>
        </references>
      </pivotArea>
    </format>
    <format dxfId="16">
      <pivotArea dataOnly="0" labelOnly="1" grandRow="1" outline="0" fieldPosition="0"/>
    </format>
    <format dxfId="15">
      <pivotArea dataOnly="0" labelOnly="1" outline="0" fieldPosition="0">
        <references count="1">
          <reference field="4294967294" count="3">
            <x v="0"/>
            <x v="1"/>
            <x v="2"/>
          </reference>
        </references>
      </pivotArea>
    </format>
  </formats>
  <chartFormats count="9">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2"/>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A92E1C5-67CE-4C2F-9D52-1A8F7FF8F12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0:C37" firstHeaderRow="0" firstDataRow="1" firstDataCol="1"/>
  <pivotFields count="21">
    <pivotField showAll="0"/>
    <pivotField axis="axisRow" numFmtId="165" showAll="0">
      <items count="180">
        <item x="21"/>
        <item x="117"/>
        <item x="15"/>
        <item x="34"/>
        <item x="90"/>
        <item x="110"/>
        <item x="1"/>
        <item x="57"/>
        <item x="72"/>
        <item x="164"/>
        <item x="108"/>
        <item x="162"/>
        <item x="134"/>
        <item x="16"/>
        <item x="86"/>
        <item x="53"/>
        <item x="127"/>
        <item x="54"/>
        <item x="95"/>
        <item x="91"/>
        <item x="8"/>
        <item x="71"/>
        <item x="61"/>
        <item x="2"/>
        <item x="109"/>
        <item x="169"/>
        <item x="64"/>
        <item x="25"/>
        <item x="170"/>
        <item x="98"/>
        <item x="104"/>
        <item x="154"/>
        <item x="163"/>
        <item x="55"/>
        <item x="69"/>
        <item x="6"/>
        <item x="161"/>
        <item x="144"/>
        <item x="178"/>
        <item x="107"/>
        <item x="111"/>
        <item x="119"/>
        <item x="96"/>
        <item x="93"/>
        <item x="149"/>
        <item x="142"/>
        <item x="12"/>
        <item x="153"/>
        <item x="45"/>
        <item x="3"/>
        <item x="166"/>
        <item x="74"/>
        <item x="59"/>
        <item x="100"/>
        <item x="5"/>
        <item x="89"/>
        <item x="19"/>
        <item x="24"/>
        <item x="38"/>
        <item x="37"/>
        <item x="49"/>
        <item x="41"/>
        <item x="148"/>
        <item x="14"/>
        <item x="126"/>
        <item x="105"/>
        <item x="20"/>
        <item x="128"/>
        <item x="35"/>
        <item x="27"/>
        <item x="102"/>
        <item x="106"/>
        <item x="114"/>
        <item x="70"/>
        <item x="140"/>
        <item x="115"/>
        <item x="175"/>
        <item x="157"/>
        <item x="130"/>
        <item x="9"/>
        <item x="94"/>
        <item x="171"/>
        <item x="62"/>
        <item x="139"/>
        <item x="10"/>
        <item x="141"/>
        <item x="165"/>
        <item x="132"/>
        <item x="176"/>
        <item x="31"/>
        <item x="11"/>
        <item x="68"/>
        <item x="75"/>
        <item x="99"/>
        <item x="51"/>
        <item x="66"/>
        <item x="58"/>
        <item x="81"/>
        <item x="152"/>
        <item x="28"/>
        <item x="147"/>
        <item x="73"/>
        <item x="83"/>
        <item x="167"/>
        <item x="82"/>
        <item x="120"/>
        <item x="40"/>
        <item x="160"/>
        <item x="156"/>
        <item x="26"/>
        <item x="121"/>
        <item x="60"/>
        <item x="39"/>
        <item x="150"/>
        <item x="36"/>
        <item x="56"/>
        <item x="84"/>
        <item x="87"/>
        <item x="30"/>
        <item x="48"/>
        <item x="67"/>
        <item x="97"/>
        <item x="129"/>
        <item x="29"/>
        <item x="80"/>
        <item x="46"/>
        <item x="174"/>
        <item x="118"/>
        <item x="151"/>
        <item x="143"/>
        <item x="78"/>
        <item x="43"/>
        <item x="123"/>
        <item x="76"/>
        <item x="47"/>
        <item x="77"/>
        <item x="124"/>
        <item x="13"/>
        <item x="17"/>
        <item x="79"/>
        <item x="22"/>
        <item x="133"/>
        <item x="172"/>
        <item x="85"/>
        <item x="138"/>
        <item x="101"/>
        <item x="145"/>
        <item x="146"/>
        <item x="113"/>
        <item x="135"/>
        <item x="33"/>
        <item x="65"/>
        <item x="88"/>
        <item x="173"/>
        <item x="4"/>
        <item x="168"/>
        <item x="103"/>
        <item x="18"/>
        <item x="44"/>
        <item x="159"/>
        <item x="125"/>
        <item x="50"/>
        <item x="0"/>
        <item x="177"/>
        <item x="63"/>
        <item x="52"/>
        <item x="23"/>
        <item x="116"/>
        <item x="42"/>
        <item x="137"/>
        <item x="112"/>
        <item x="122"/>
        <item x="92"/>
        <item x="7"/>
        <item x="158"/>
        <item x="136"/>
        <item x="155"/>
        <item x="131"/>
        <item x="32"/>
        <item t="default"/>
      </items>
    </pivotField>
    <pivotField showAll="0"/>
    <pivotField showAll="0">
      <items count="7">
        <item x="4"/>
        <item x="0"/>
        <item x="1"/>
        <item x="3"/>
        <item x="2"/>
        <item x="5"/>
        <item t="default"/>
      </items>
    </pivotField>
    <pivotField showAll="0"/>
    <pivotField showAll="0"/>
    <pivotField showAll="0">
      <items count="4">
        <item x="2"/>
        <item x="1"/>
        <item x="0"/>
        <item t="default"/>
      </items>
    </pivotField>
    <pivotField dataField="1" showAll="0"/>
    <pivotField dataField="1" showAll="0"/>
    <pivotField showAll="0"/>
    <pivotField showAll="0"/>
    <pivotField showAll="0"/>
    <pivotField showAll="0"/>
    <pivotField showAll="0"/>
    <pivotField showAll="0"/>
    <pivotField numFmtId="165" showAll="0"/>
    <pivotField numFmtId="165" showAll="0"/>
    <pivotField showAll="0">
      <items count="5">
        <item x="3"/>
        <item x="0"/>
        <item x="1"/>
        <item x="2"/>
        <item t="default"/>
      </items>
    </pivotField>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0"/>
    <field x="19"/>
    <field x="1"/>
  </rowFields>
  <rowItems count="7">
    <i>
      <x v="1"/>
    </i>
    <i>
      <x v="2"/>
    </i>
    <i>
      <x v="3"/>
    </i>
    <i>
      <x v="4"/>
    </i>
    <i>
      <x v="5"/>
    </i>
    <i>
      <x v="6"/>
    </i>
    <i t="grand">
      <x/>
    </i>
  </rowItems>
  <colFields count="1">
    <field x="-2"/>
  </colFields>
  <colItems count="2">
    <i>
      <x/>
    </i>
    <i i="1">
      <x v="1"/>
    </i>
  </colItems>
  <dataFields count="2">
    <dataField name="Total Production Target" fld="7" baseField="0" baseItem="0" numFmtId="3"/>
    <dataField name="Total Actual Production" fld="8" baseField="0" baseItem="0" numFmtId="3"/>
  </dataFields>
  <formats count="6">
    <format dxfId="27">
      <pivotArea type="all" dataOnly="0" outline="0" fieldPosition="0"/>
    </format>
    <format dxfId="26">
      <pivotArea outline="0" collapsedLevelsAreSubtotals="1" fieldPosition="0"/>
    </format>
    <format dxfId="25">
      <pivotArea field="20" type="button" dataOnly="0" labelOnly="1" outline="0" axis="axisRow" fieldPosition="0"/>
    </format>
    <format dxfId="24">
      <pivotArea dataOnly="0" labelOnly="1" fieldPosition="0">
        <references count="1">
          <reference field="20" count="6">
            <x v="1"/>
            <x v="2"/>
            <x v="3"/>
            <x v="4"/>
            <x v="5"/>
            <x v="6"/>
          </reference>
        </references>
      </pivotArea>
    </format>
    <format dxfId="23">
      <pivotArea dataOnly="0" labelOnly="1" grandRow="1" outline="0" fieldPosition="0"/>
    </format>
    <format dxfId="22">
      <pivotArea dataOnly="0" labelOnly="1" outline="0" fieldPosition="0">
        <references count="1">
          <reference field="4294967294" count="2">
            <x v="0"/>
            <x v="1"/>
          </reference>
        </references>
      </pivotArea>
    </format>
  </formats>
  <chartFormats count="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9FEFB21-4BC7-471B-BFEE-FB039EE7946C}" sourceName="Department">
  <pivotTables>
    <pivotTable tabId="6" name="PivotTable5"/>
    <pivotTable tabId="6" name="PivotTable1"/>
    <pivotTable tabId="6" name="PivotTable2"/>
    <pivotTable tabId="6" name="PivotTable4"/>
    <pivotTable tabId="6" name="PivotTable6"/>
  </pivotTables>
  <data>
    <tabular pivotCacheId="1672332882">
      <items count="6">
        <i x="4" s="1"/>
        <i x="0" s="1"/>
        <i x="1" s="1"/>
        <i x="3" s="1"/>
        <i x="2"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 xr10:uid="{F3B9FB46-B449-4A8A-8106-65749F9E18DA}" sourceName="Shift">
  <pivotTables>
    <pivotTable tabId="6" name="PivotTable5"/>
    <pivotTable tabId="6" name="PivotTable1"/>
    <pivotTable tabId="6" name="PivotTable2"/>
    <pivotTable tabId="6" name="PivotTable4"/>
    <pivotTable tabId="6" name="PivotTable6"/>
  </pivotTables>
  <data>
    <tabular pivotCacheId="1672332882">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lity_Status" xr10:uid="{2E7F3A06-1412-4C84-AF3A-2DE8183BD416}" sourceName="Quality_Status">
  <pivotTables>
    <pivotTable tabId="6" name="PivotTable5"/>
    <pivotTable tabId="6" name="PivotTable1"/>
    <pivotTable tabId="6" name="PivotTable2"/>
    <pivotTable tabId="6" name="PivotTable4"/>
    <pivotTable tabId="6" name="PivotTable6"/>
  </pivotTables>
  <data>
    <tabular pivotCacheId="1672332882">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F1A74B09-1523-48BA-87FB-E785FE4A7179}" cache="Slicer_Department" caption="Department" rowHeight="241300"/>
  <slicer name="Shift" xr10:uid="{B0BA4E39-A0D1-42EA-97E5-6CE19EAABD48}" cache="Slicer_Shift" caption="Shift" rowHeight="241300"/>
  <slicer name="Quality_Status" xr10:uid="{4E331653-10FA-4D3D-AD07-03EFA4E93144}" cache="Slicer_Quality_Status" caption="Quality_Statu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D5ED755-8765-4B3E-9CC3-4925FDE8A804}" name="tblProduction" displayName="tblProduction" ref="A1:S1196" totalsRowShown="0" headerRowDxfId="36" headerRowBorderDxfId="35" tableBorderDxfId="34">
  <autoFilter ref="A1:S1196" xr:uid="{7D5ED755-8765-4B3E-9CC3-4925FDE8A804}"/>
  <tableColumns count="19">
    <tableColumn id="1" xr3:uid="{7E510900-47A3-443E-93F4-171338D8A0F9}" name="Production_ID"/>
    <tableColumn id="2" xr3:uid="{96958FD8-639A-4B57-A2B8-CC92A2086B4F}" name="Production_Date" dataDxfId="33"/>
    <tableColumn id="3" xr3:uid="{74D4B61B-87BC-475C-ABCA-5A7B6F9F5F8E}" name="Product"/>
    <tableColumn id="4" xr3:uid="{CB3B3011-93E1-4F78-B49E-8D696696FFA4}" name="Department"/>
    <tableColumn id="5" xr3:uid="{D531C921-21F4-4BDC-A62A-7AB302AA8AD2}" name="Machine"/>
    <tableColumn id="6" xr3:uid="{6AC063B5-3DFA-41C7-A238-F68854425940}" name="Operator_ID"/>
    <tableColumn id="7" xr3:uid="{FF230488-1E48-4AA3-8294-60D35CD00C37}" name="Shift"/>
    <tableColumn id="8" xr3:uid="{8442A260-453E-47E0-B6E7-7D51BD15E849}" name="Production_Target"/>
    <tableColumn id="9" xr3:uid="{CEB67A98-16FD-4B4B-A63B-5644CEF97FAD}" name="Actual_Production"/>
    <tableColumn id="10" xr3:uid="{5AFD256A-3217-4965-8E92-95FEE4D8D7A3}" name="Defects"/>
    <tableColumn id="11" xr3:uid="{2287DF53-724B-412D-BF6A-92B0BEDC989E}" name="Downtime_Hours"/>
    <tableColumn id="12" xr3:uid="{F2EB1ED0-B41C-407F-AF33-65B49B3A5220}" name="Material_Cost"/>
    <tableColumn id="13" xr3:uid="{A1A11080-BFDE-44FF-823D-D98EFE0DD003}" name="Labour_Hours"/>
    <tableColumn id="14" xr3:uid="{37B11F20-D908-40F3-BBF6-59A9A0075A59}" name="Labour_Cost"/>
    <tableColumn id="15" xr3:uid="{BCDA6DD9-8086-48EB-818D-43930EDA4E4D}" name="Order_Quantity"/>
    <tableColumn id="16" xr3:uid="{4C0649D5-687D-4F3F-A84D-35938B0B1205}" name="Due_Date" dataDxfId="32"/>
    <tableColumn id="17" xr3:uid="{382CC57C-B644-4745-B24E-4A3666F839D3}" name="Actual_Delivery_Date" dataDxfId="31"/>
    <tableColumn id="18" xr3:uid="{E3881DA8-F52B-4746-806F-83A873E5513D}" name="Quality_Status"/>
    <tableColumn id="19" xr3:uid="{47D4FD4B-37F1-4037-A78A-E922E85DE8E1}" name="Custom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A01C3B3-B19A-496C-9EA3-CAAA27ADA5DC}" name="tblProductLookup" displayName="tblProductLookup" ref="A1:D10" totalsRowShown="0" headerRowDxfId="30" headerRowBorderDxfId="29" tableBorderDxfId="28">
  <autoFilter ref="A1:D10" xr:uid="{0A01C3B3-B19A-496C-9EA3-CAAA27ADA5DC}"/>
  <tableColumns count="4">
    <tableColumn id="1" xr3:uid="{EDEB8A95-D1EE-42D8-B59E-7C832A3AB680}" name="Product"/>
    <tableColumn id="2" xr3:uid="{8F591F18-4876-40EA-9647-43A6E8EC08A2}" name="Department"/>
    <tableColumn id="3" xr3:uid="{243FDA70-5BE6-4532-8F01-57A653AF0238}" name="Standard_Unit_Cost"/>
    <tableColumn id="4" xr3:uid="{5F09760E-226B-4D02-8DDD-F10D2CED0D4F}" name="Product_Manager"/>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0D472-0915-46E0-9BE9-12EF848A7887}">
  <dimension ref="A1:P31"/>
  <sheetViews>
    <sheetView showGridLines="0" tabSelected="1" topLeftCell="A7" zoomScaleNormal="100" zoomScaleSheetLayoutView="91" workbookViewId="0">
      <selection activeCell="N26" sqref="N26"/>
    </sheetView>
  </sheetViews>
  <sheetFormatPr defaultColWidth="7.28515625" defaultRowHeight="15" x14ac:dyDescent="0.25"/>
  <cols>
    <col min="1" max="1" width="23.7109375" customWidth="1"/>
    <col min="2" max="12" width="9.7109375" customWidth="1"/>
    <col min="13" max="13" width="28.42578125" customWidth="1"/>
    <col min="14" max="14" width="13.85546875" customWidth="1"/>
    <col min="15" max="15" width="9.7109375" customWidth="1"/>
    <col min="16" max="16" width="5" customWidth="1"/>
    <col min="17" max="17" width="13.28515625" customWidth="1"/>
  </cols>
  <sheetData>
    <row r="1" spans="1:16" ht="17.25" customHeight="1" x14ac:dyDescent="0.25">
      <c r="A1" s="49" t="s">
        <v>1352</v>
      </c>
      <c r="B1" s="49"/>
      <c r="C1" s="49"/>
      <c r="D1" s="49"/>
      <c r="E1" s="49"/>
      <c r="F1" s="49"/>
      <c r="G1" s="49"/>
      <c r="H1" s="49"/>
      <c r="I1" s="49"/>
      <c r="J1" s="49"/>
      <c r="K1" s="49"/>
      <c r="L1" s="49"/>
      <c r="M1" s="49"/>
      <c r="N1" s="49"/>
      <c r="O1" s="49"/>
      <c r="P1" s="49"/>
    </row>
    <row r="2" spans="1:16" ht="15.75" customHeight="1" x14ac:dyDescent="0.25">
      <c r="A2" s="50" t="s">
        <v>1353</v>
      </c>
      <c r="B2" s="50"/>
      <c r="C2" s="50"/>
      <c r="D2" s="50"/>
      <c r="E2" s="50"/>
      <c r="F2" s="50"/>
      <c r="G2" s="50"/>
      <c r="H2" s="50"/>
      <c r="I2" s="50"/>
      <c r="J2" s="50"/>
      <c r="K2" s="50"/>
      <c r="L2" s="50"/>
      <c r="M2" s="50"/>
      <c r="N2" s="50"/>
      <c r="O2" s="50"/>
      <c r="P2" s="50"/>
    </row>
    <row r="3" spans="1:16" ht="11.25" customHeight="1" x14ac:dyDescent="0.25"/>
    <row r="4" spans="1:16" x14ac:dyDescent="0.25">
      <c r="B4" s="51" t="s">
        <v>1327</v>
      </c>
      <c r="C4" s="51"/>
      <c r="D4" s="51"/>
      <c r="E4" s="51" t="s">
        <v>1328</v>
      </c>
      <c r="F4" s="51"/>
      <c r="G4" s="51"/>
      <c r="H4" s="51" t="s">
        <v>1354</v>
      </c>
      <c r="I4" s="51"/>
      <c r="J4" s="51"/>
      <c r="K4" s="51" t="s">
        <v>1329</v>
      </c>
      <c r="L4" s="51"/>
      <c r="M4" s="51"/>
      <c r="N4" s="51" t="s">
        <v>1355</v>
      </c>
      <c r="O4" s="51"/>
      <c r="P4" s="51"/>
    </row>
    <row r="6" spans="1:16" ht="21" x14ac:dyDescent="0.35">
      <c r="C6" s="52">
        <f>GETPIVOTDATA("Total Production_Target",Pivot_Analysis!$A$3)</f>
        <v>236926</v>
      </c>
      <c r="D6" s="52"/>
      <c r="F6" s="53">
        <f>GETPIVOTDATA("Total Actual_Production",Pivot_Analysis!$A$3)</f>
        <v>221060</v>
      </c>
      <c r="G6" s="53"/>
      <c r="I6" s="54">
        <f>Pivot_Analysis!D10</f>
        <v>0.93303394308771515</v>
      </c>
      <c r="J6" s="54"/>
      <c r="L6" s="55">
        <f>GETPIVOTDATA("Total Defects",Pivot_Analysis!$A$66)</f>
        <v>10542</v>
      </c>
      <c r="M6" s="55"/>
      <c r="O6" s="56">
        <f>GETPIVOTDATA("Production_ID",Pivot_Analysis!$A$49)</f>
        <v>1195</v>
      </c>
      <c r="P6" s="56"/>
    </row>
    <row r="7" spans="1:16" x14ac:dyDescent="0.25">
      <c r="C7" s="45" t="s">
        <v>1357</v>
      </c>
      <c r="D7" s="45"/>
      <c r="E7" s="45"/>
      <c r="F7" s="45" t="s">
        <v>1357</v>
      </c>
      <c r="G7" s="45"/>
      <c r="H7" s="51" t="s">
        <v>1361</v>
      </c>
      <c r="I7" s="51"/>
      <c r="J7" s="51"/>
      <c r="K7" s="45"/>
      <c r="L7" s="45" t="s">
        <v>1357</v>
      </c>
      <c r="M7" s="45"/>
      <c r="N7" s="45"/>
      <c r="O7" s="45" t="s">
        <v>1358</v>
      </c>
    </row>
    <row r="9" spans="1:16" x14ac:dyDescent="0.25">
      <c r="B9" s="44" t="s">
        <v>1359</v>
      </c>
      <c r="I9" s="44" t="s">
        <v>1360</v>
      </c>
      <c r="M9" s="44" t="s">
        <v>1364</v>
      </c>
    </row>
    <row r="10" spans="1:16" ht="6.75" customHeight="1" x14ac:dyDescent="0.25"/>
    <row r="19" spans="2:16" ht="9.75" customHeight="1" x14ac:dyDescent="0.25"/>
    <row r="20" spans="2:16" ht="9" customHeight="1" x14ac:dyDescent="0.25"/>
    <row r="21" spans="2:16" x14ac:dyDescent="0.25">
      <c r="B21" s="44" t="s">
        <v>1362</v>
      </c>
      <c r="I21" s="44" t="s">
        <v>1363</v>
      </c>
    </row>
    <row r="22" spans="2:16" ht="8.25" customHeight="1" x14ac:dyDescent="0.25"/>
    <row r="23" spans="2:16" ht="21" x14ac:dyDescent="0.35">
      <c r="M23" s="48" t="s">
        <v>1365</v>
      </c>
      <c r="N23" s="48"/>
      <c r="O23" s="48"/>
      <c r="P23" s="48"/>
    </row>
    <row r="25" spans="2:16" x14ac:dyDescent="0.25">
      <c r="M25" t="s">
        <v>1366</v>
      </c>
      <c r="N25" s="46" t="str">
        <f>_xlfn.XLOOKUP(MAX(Pivot_Analysis!D4:D9),Pivot_Analysis!D4:D9,Pivot_Analysis!A4:A9)</f>
        <v>Machining</v>
      </c>
      <c r="O25" s="47">
        <f>MAX(Pivot_Analysis!D4:D9)</f>
        <v>0.93770611945767679</v>
      </c>
    </row>
    <row r="27" spans="2:16" x14ac:dyDescent="0.25">
      <c r="M27" t="s">
        <v>1318</v>
      </c>
      <c r="N27" s="46" t="str">
        <f>_xlfn.XLOOKUP(MAX(Formula_Analysis!G35:G40),Formula_Analysis!G35:G40,Formula_Analysis!A35:A40)&amp;" - "&amp;TEXT(MAX(Formula_Analysis!G35:G40),"0.0%")</f>
        <v>Sheet Metal - 25.1%</v>
      </c>
      <c r="P27" s="46"/>
    </row>
    <row r="28" spans="2:16" x14ac:dyDescent="0.25">
      <c r="O28" s="46"/>
      <c r="P28" s="46"/>
    </row>
    <row r="29" spans="2:16" x14ac:dyDescent="0.25">
      <c r="M29" t="s">
        <v>1367</v>
      </c>
      <c r="N29" s="46" t="str">
        <f>_xlfn.XLOOKUP(MAX(Formula_Analysis!B24:B29),Formula_Analysis!B24:B29,Formula_Analysis!A24:A29)&amp;" - "&amp;TEXT(MAX(Formula_Analysis!B24:B29),"0.00")&amp;" Hours"</f>
        <v>Machining - 4.74 Hours</v>
      </c>
      <c r="P29" s="46"/>
    </row>
    <row r="30" spans="2:16" x14ac:dyDescent="0.25">
      <c r="O30" s="46"/>
      <c r="P30" s="46"/>
    </row>
    <row r="31" spans="2:16" x14ac:dyDescent="0.25">
      <c r="M31" t="s">
        <v>1368</v>
      </c>
      <c r="N31" s="46" t="str">
        <f>_xlfn.XLOOKUP(MAX(Formula_Analysis!H35:H40),Formula_Analysis!H35:H40,Formula_Analysis!A35:A40)&amp;" - "&amp;TEXT(MAX(Formula_Analysis!H35:H40),"0.0%")</f>
        <v>Machining - 62.8%</v>
      </c>
      <c r="P31" s="46"/>
    </row>
  </sheetData>
  <mergeCells count="14">
    <mergeCell ref="M23:P23"/>
    <mergeCell ref="A1:P1"/>
    <mergeCell ref="A2:P2"/>
    <mergeCell ref="H7:J7"/>
    <mergeCell ref="N4:P4"/>
    <mergeCell ref="C6:D6"/>
    <mergeCell ref="F6:G6"/>
    <mergeCell ref="I6:J6"/>
    <mergeCell ref="L6:M6"/>
    <mergeCell ref="O6:P6"/>
    <mergeCell ref="B4:D4"/>
    <mergeCell ref="E4:G4"/>
    <mergeCell ref="H4:J4"/>
    <mergeCell ref="K4:M4"/>
  </mergeCells>
  <pageMargins left="0.2" right="0.2" top="0.75" bottom="0.75" header="0.3" footer="0.3"/>
  <pageSetup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FBB27-6FEF-4162-A3CE-55A698691879}">
  <dimension ref="A1:S1209"/>
  <sheetViews>
    <sheetView workbookViewId="0">
      <selection activeCell="G15" sqref="G15"/>
    </sheetView>
  </sheetViews>
  <sheetFormatPr defaultRowHeight="15" x14ac:dyDescent="0.25"/>
  <cols>
    <col min="2" max="2" width="18.28515625" bestFit="1" customWidth="1"/>
  </cols>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5">
      <c r="A2" t="s">
        <v>19</v>
      </c>
      <c r="B2" s="2">
        <v>46186</v>
      </c>
      <c r="C2" t="s">
        <v>20</v>
      </c>
      <c r="D2" t="s">
        <v>21</v>
      </c>
      <c r="E2" t="s">
        <v>22</v>
      </c>
      <c r="F2" t="s">
        <v>23</v>
      </c>
      <c r="G2" t="s">
        <v>24</v>
      </c>
      <c r="H2">
        <v>269</v>
      </c>
      <c r="I2">
        <v>225</v>
      </c>
      <c r="J2">
        <v>5</v>
      </c>
      <c r="K2">
        <v>6.6</v>
      </c>
      <c r="L2">
        <v>85638.51</v>
      </c>
      <c r="M2">
        <v>4.5199999999999996</v>
      </c>
      <c r="N2">
        <v>108.48</v>
      </c>
      <c r="O2">
        <v>237</v>
      </c>
      <c r="P2" s="2">
        <v>46188</v>
      </c>
      <c r="Q2" s="2">
        <v>46187</v>
      </c>
      <c r="R2" t="s">
        <v>25</v>
      </c>
      <c r="S2" t="s">
        <v>26</v>
      </c>
    </row>
    <row r="3" spans="1:19" x14ac:dyDescent="0.25">
      <c r="A3" t="s">
        <v>27</v>
      </c>
      <c r="B3" s="2">
        <v>46029</v>
      </c>
      <c r="C3" t="s">
        <v>28</v>
      </c>
      <c r="D3" t="s">
        <v>29</v>
      </c>
      <c r="E3" t="s">
        <v>30</v>
      </c>
      <c r="F3" t="s">
        <v>31</v>
      </c>
      <c r="G3" t="s">
        <v>32</v>
      </c>
      <c r="H3">
        <v>246</v>
      </c>
      <c r="I3">
        <v>251</v>
      </c>
      <c r="J3">
        <v>10</v>
      </c>
      <c r="K3">
        <v>4</v>
      </c>
      <c r="L3">
        <v>58016.75</v>
      </c>
      <c r="M3">
        <v>9.09</v>
      </c>
      <c r="N3">
        <v>181.8</v>
      </c>
      <c r="O3">
        <v>314</v>
      </c>
      <c r="P3" s="2">
        <v>46036</v>
      </c>
      <c r="Q3" s="2">
        <v>46036</v>
      </c>
      <c r="R3" t="s">
        <v>25</v>
      </c>
      <c r="S3" t="s">
        <v>33</v>
      </c>
    </row>
    <row r="4" spans="1:19" x14ac:dyDescent="0.25">
      <c r="A4" t="s">
        <v>34</v>
      </c>
      <c r="B4" s="2">
        <v>46046</v>
      </c>
      <c r="C4" t="s">
        <v>35</v>
      </c>
      <c r="D4" t="s">
        <v>36</v>
      </c>
      <c r="E4" t="s">
        <v>37</v>
      </c>
      <c r="F4" t="s">
        <v>38</v>
      </c>
      <c r="G4" t="s">
        <v>32</v>
      </c>
      <c r="H4">
        <v>171</v>
      </c>
      <c r="I4">
        <v>185</v>
      </c>
      <c r="J4">
        <v>10</v>
      </c>
      <c r="K4">
        <v>7.3</v>
      </c>
      <c r="L4">
        <v>18621.509999999998</v>
      </c>
      <c r="M4">
        <v>7.65</v>
      </c>
      <c r="N4">
        <v>183.6</v>
      </c>
      <c r="O4">
        <v>151</v>
      </c>
      <c r="P4" s="2">
        <v>46056</v>
      </c>
      <c r="Q4" s="2">
        <v>46056</v>
      </c>
      <c r="R4" t="s">
        <v>39</v>
      </c>
      <c r="S4" t="s">
        <v>26</v>
      </c>
    </row>
    <row r="5" spans="1:19" x14ac:dyDescent="0.25">
      <c r="A5" t="s">
        <v>40</v>
      </c>
      <c r="B5" s="2">
        <v>46072</v>
      </c>
      <c r="C5" t="s">
        <v>20</v>
      </c>
      <c r="D5" t="s">
        <v>21</v>
      </c>
      <c r="E5" t="s">
        <v>22</v>
      </c>
      <c r="F5" t="s">
        <v>41</v>
      </c>
      <c r="G5" t="s">
        <v>32</v>
      </c>
      <c r="H5">
        <v>249</v>
      </c>
      <c r="I5">
        <v>203</v>
      </c>
      <c r="J5">
        <v>6</v>
      </c>
      <c r="K5">
        <v>0.7</v>
      </c>
      <c r="L5">
        <v>53070.63</v>
      </c>
      <c r="M5">
        <v>5.01</v>
      </c>
      <c r="N5">
        <v>110.22</v>
      </c>
      <c r="O5">
        <v>250</v>
      </c>
      <c r="P5" s="2">
        <v>46079</v>
      </c>
      <c r="Q5" s="2">
        <v>46080</v>
      </c>
      <c r="R5" t="s">
        <v>25</v>
      </c>
      <c r="S5" t="s">
        <v>33</v>
      </c>
    </row>
    <row r="6" spans="1:19" x14ac:dyDescent="0.25">
      <c r="A6" t="s">
        <v>42</v>
      </c>
      <c r="B6" s="2">
        <v>46178</v>
      </c>
      <c r="C6" t="s">
        <v>43</v>
      </c>
      <c r="D6" t="s">
        <v>44</v>
      </c>
      <c r="E6" t="s">
        <v>45</v>
      </c>
      <c r="F6" t="s">
        <v>46</v>
      </c>
      <c r="G6" t="s">
        <v>32</v>
      </c>
      <c r="H6">
        <v>266</v>
      </c>
      <c r="I6">
        <v>219</v>
      </c>
      <c r="J6">
        <v>10</v>
      </c>
      <c r="K6">
        <v>2.4</v>
      </c>
      <c r="L6">
        <v>31161.32</v>
      </c>
      <c r="M6">
        <v>5.0999999999999996</v>
      </c>
      <c r="N6">
        <v>112.2</v>
      </c>
      <c r="O6">
        <v>240</v>
      </c>
      <c r="P6" s="2">
        <v>46183</v>
      </c>
      <c r="Q6" s="2">
        <v>46181</v>
      </c>
      <c r="R6" t="s">
        <v>25</v>
      </c>
      <c r="S6" t="s">
        <v>33</v>
      </c>
    </row>
    <row r="7" spans="1:19" x14ac:dyDescent="0.25">
      <c r="A7" t="s">
        <v>47</v>
      </c>
      <c r="B7" s="2">
        <v>46077</v>
      </c>
      <c r="C7" t="s">
        <v>48</v>
      </c>
      <c r="D7" t="s">
        <v>49</v>
      </c>
      <c r="E7" t="s">
        <v>50</v>
      </c>
      <c r="F7" t="s">
        <v>46</v>
      </c>
      <c r="G7" t="s">
        <v>32</v>
      </c>
      <c r="H7">
        <v>247</v>
      </c>
      <c r="I7">
        <v>230</v>
      </c>
      <c r="J7">
        <v>19</v>
      </c>
      <c r="K7">
        <v>5.8</v>
      </c>
      <c r="L7">
        <v>36223.11</v>
      </c>
      <c r="M7">
        <v>8.25</v>
      </c>
      <c r="N7">
        <v>214.5</v>
      </c>
      <c r="O7">
        <v>274</v>
      </c>
      <c r="P7" s="2">
        <v>46088</v>
      </c>
      <c r="Q7" s="2">
        <v>46090</v>
      </c>
      <c r="R7" t="s">
        <v>39</v>
      </c>
      <c r="S7" t="s">
        <v>51</v>
      </c>
    </row>
    <row r="8" spans="1:19" x14ac:dyDescent="0.25">
      <c r="A8" t="s">
        <v>52</v>
      </c>
      <c r="B8" s="2">
        <v>46058</v>
      </c>
      <c r="C8" t="s">
        <v>53</v>
      </c>
      <c r="D8" t="s">
        <v>54</v>
      </c>
      <c r="E8" t="s">
        <v>55</v>
      </c>
      <c r="F8" t="s">
        <v>56</v>
      </c>
      <c r="G8" t="s">
        <v>57</v>
      </c>
      <c r="H8">
        <v>273</v>
      </c>
      <c r="I8">
        <v>202</v>
      </c>
      <c r="J8">
        <v>3</v>
      </c>
      <c r="K8">
        <v>5.6</v>
      </c>
      <c r="L8">
        <v>31230.75</v>
      </c>
      <c r="M8">
        <v>3.94</v>
      </c>
      <c r="N8">
        <v>94.56</v>
      </c>
      <c r="O8">
        <v>352</v>
      </c>
      <c r="P8" s="2">
        <v>46068</v>
      </c>
      <c r="Q8" s="2">
        <v>46068</v>
      </c>
      <c r="R8" t="s">
        <v>39</v>
      </c>
      <c r="S8" t="s">
        <v>33</v>
      </c>
    </row>
    <row r="9" spans="1:19" x14ac:dyDescent="0.25">
      <c r="A9" t="s">
        <v>58</v>
      </c>
      <c r="B9" s="2">
        <v>46197</v>
      </c>
      <c r="C9" t="s">
        <v>59</v>
      </c>
      <c r="D9" t="s">
        <v>49</v>
      </c>
      <c r="E9" t="s">
        <v>60</v>
      </c>
      <c r="F9" t="s">
        <v>61</v>
      </c>
      <c r="G9" t="s">
        <v>24</v>
      </c>
      <c r="H9">
        <v>167</v>
      </c>
      <c r="I9">
        <v>128</v>
      </c>
      <c r="J9">
        <v>5</v>
      </c>
      <c r="K9">
        <v>4.0999999999999996</v>
      </c>
      <c r="L9">
        <v>28620.28</v>
      </c>
      <c r="M9">
        <v>3.11</v>
      </c>
      <c r="N9">
        <v>80.86</v>
      </c>
      <c r="O9">
        <v>172</v>
      </c>
      <c r="P9" s="2">
        <v>46207</v>
      </c>
      <c r="Q9" s="2">
        <v>46206</v>
      </c>
      <c r="R9" t="s">
        <v>25</v>
      </c>
      <c r="S9" t="s">
        <v>26</v>
      </c>
    </row>
    <row r="10" spans="1:19" x14ac:dyDescent="0.25">
      <c r="A10" t="s">
        <v>62</v>
      </c>
      <c r="B10" s="2">
        <v>46178</v>
      </c>
      <c r="C10" t="s">
        <v>28</v>
      </c>
      <c r="D10" t="s">
        <v>29</v>
      </c>
      <c r="E10" t="s">
        <v>63</v>
      </c>
      <c r="F10" t="s">
        <v>64</v>
      </c>
      <c r="G10" t="s">
        <v>57</v>
      </c>
      <c r="H10">
        <v>175</v>
      </c>
      <c r="I10">
        <v>183</v>
      </c>
      <c r="J10">
        <v>9</v>
      </c>
      <c r="K10">
        <v>7</v>
      </c>
      <c r="L10">
        <v>36636.42</v>
      </c>
      <c r="M10">
        <v>4.72</v>
      </c>
      <c r="N10">
        <v>84.96</v>
      </c>
      <c r="O10">
        <v>163</v>
      </c>
      <c r="P10" s="2">
        <v>46185</v>
      </c>
      <c r="Q10" s="2">
        <v>46185</v>
      </c>
      <c r="R10" t="s">
        <v>25</v>
      </c>
      <c r="S10" t="s">
        <v>26</v>
      </c>
    </row>
    <row r="11" spans="1:19" x14ac:dyDescent="0.25">
      <c r="A11" t="s">
        <v>65</v>
      </c>
      <c r="B11" s="2">
        <v>46043</v>
      </c>
      <c r="C11" t="s">
        <v>20</v>
      </c>
      <c r="D11" t="s">
        <v>21</v>
      </c>
      <c r="E11" t="s">
        <v>66</v>
      </c>
      <c r="F11" t="s">
        <v>67</v>
      </c>
      <c r="G11" t="s">
        <v>24</v>
      </c>
      <c r="H11">
        <v>204</v>
      </c>
      <c r="I11">
        <v>218</v>
      </c>
      <c r="J11">
        <v>20</v>
      </c>
      <c r="K11">
        <v>4.8</v>
      </c>
      <c r="L11">
        <v>63700.32</v>
      </c>
      <c r="M11">
        <v>8.8800000000000008</v>
      </c>
      <c r="N11">
        <v>177.6</v>
      </c>
      <c r="O11">
        <v>231</v>
      </c>
      <c r="P11" s="2">
        <v>46053</v>
      </c>
      <c r="Q11" s="2">
        <v>46055</v>
      </c>
      <c r="R11" t="s">
        <v>25</v>
      </c>
      <c r="S11" t="s">
        <v>51</v>
      </c>
    </row>
    <row r="12" spans="1:19" x14ac:dyDescent="0.25">
      <c r="A12" t="s">
        <v>68</v>
      </c>
      <c r="B12" s="2">
        <v>46102</v>
      </c>
      <c r="C12" t="s">
        <v>35</v>
      </c>
      <c r="D12" t="s">
        <v>36</v>
      </c>
      <c r="E12" t="s">
        <v>69</v>
      </c>
      <c r="F12" t="s">
        <v>23</v>
      </c>
      <c r="G12" t="s">
        <v>57</v>
      </c>
      <c r="H12">
        <v>192</v>
      </c>
      <c r="I12">
        <v>212</v>
      </c>
      <c r="J12">
        <v>9</v>
      </c>
      <c r="K12">
        <v>2.2000000000000002</v>
      </c>
      <c r="L12">
        <v>14346.1</v>
      </c>
      <c r="M12">
        <v>6.63</v>
      </c>
      <c r="N12">
        <v>172.38</v>
      </c>
      <c r="O12">
        <v>208</v>
      </c>
      <c r="P12" s="2">
        <v>46104</v>
      </c>
      <c r="Q12" s="2">
        <v>46103</v>
      </c>
      <c r="R12" t="s">
        <v>25</v>
      </c>
      <c r="S12" t="s">
        <v>33</v>
      </c>
    </row>
    <row r="13" spans="1:19" x14ac:dyDescent="0.25">
      <c r="A13" t="s">
        <v>70</v>
      </c>
      <c r="B13" s="2">
        <v>46107</v>
      </c>
      <c r="C13" t="s">
        <v>20</v>
      </c>
      <c r="D13" t="s">
        <v>21</v>
      </c>
      <c r="E13" t="s">
        <v>66</v>
      </c>
      <c r="F13" t="s">
        <v>71</v>
      </c>
      <c r="G13" t="s">
        <v>24</v>
      </c>
      <c r="H13">
        <v>140</v>
      </c>
      <c r="I13">
        <v>117</v>
      </c>
      <c r="J13">
        <v>5</v>
      </c>
      <c r="K13">
        <v>4.9000000000000004</v>
      </c>
      <c r="L13">
        <v>45127.85</v>
      </c>
      <c r="M13">
        <v>3.72</v>
      </c>
      <c r="N13">
        <v>74.400000000000006</v>
      </c>
      <c r="O13">
        <v>221</v>
      </c>
      <c r="P13" s="2">
        <v>46115</v>
      </c>
      <c r="Q13" s="2">
        <v>46115</v>
      </c>
      <c r="R13" t="s">
        <v>25</v>
      </c>
      <c r="S13" t="s">
        <v>72</v>
      </c>
    </row>
    <row r="14" spans="1:19" x14ac:dyDescent="0.25">
      <c r="A14" t="s">
        <v>73</v>
      </c>
      <c r="B14" s="2">
        <v>46113</v>
      </c>
      <c r="C14" t="s">
        <v>35</v>
      </c>
      <c r="D14" t="s">
        <v>36</v>
      </c>
      <c r="E14" t="s">
        <v>69</v>
      </c>
      <c r="F14" t="s">
        <v>74</v>
      </c>
      <c r="G14" t="s">
        <v>57</v>
      </c>
      <c r="H14">
        <v>199</v>
      </c>
      <c r="I14">
        <v>217</v>
      </c>
      <c r="J14">
        <v>2</v>
      </c>
      <c r="K14">
        <v>5.9</v>
      </c>
      <c r="L14">
        <v>18557.740000000002</v>
      </c>
      <c r="M14">
        <v>7.7</v>
      </c>
      <c r="N14">
        <v>138.6</v>
      </c>
      <c r="O14">
        <v>222</v>
      </c>
      <c r="P14" s="2">
        <v>46118</v>
      </c>
      <c r="Q14" s="2">
        <v>46118</v>
      </c>
      <c r="R14" t="s">
        <v>39</v>
      </c>
      <c r="S14" t="s">
        <v>72</v>
      </c>
    </row>
    <row r="15" spans="1:19" x14ac:dyDescent="0.25">
      <c r="A15" t="s">
        <v>75</v>
      </c>
      <c r="B15" s="2">
        <v>46069</v>
      </c>
      <c r="C15" t="s">
        <v>59</v>
      </c>
      <c r="D15" t="s">
        <v>49</v>
      </c>
      <c r="E15" t="s">
        <v>76</v>
      </c>
      <c r="F15" t="s">
        <v>77</v>
      </c>
      <c r="G15" t="s">
        <v>32</v>
      </c>
      <c r="H15">
        <v>143</v>
      </c>
      <c r="I15">
        <v>156</v>
      </c>
      <c r="J15">
        <v>1</v>
      </c>
      <c r="K15">
        <v>7.3</v>
      </c>
      <c r="L15">
        <v>27424.21</v>
      </c>
      <c r="M15">
        <v>5.25</v>
      </c>
      <c r="N15">
        <v>136.5</v>
      </c>
      <c r="O15">
        <v>106</v>
      </c>
      <c r="P15" s="2">
        <v>46072</v>
      </c>
      <c r="Q15" s="2">
        <v>46072</v>
      </c>
      <c r="R15" t="s">
        <v>25</v>
      </c>
      <c r="S15" t="s">
        <v>72</v>
      </c>
    </row>
    <row r="16" spans="1:19" x14ac:dyDescent="0.25">
      <c r="A16" t="s">
        <v>78</v>
      </c>
      <c r="B16" s="2">
        <v>46077</v>
      </c>
      <c r="C16" t="s">
        <v>35</v>
      </c>
      <c r="D16" t="s">
        <v>36</v>
      </c>
      <c r="E16" t="s">
        <v>37</v>
      </c>
      <c r="F16" t="s">
        <v>31</v>
      </c>
      <c r="G16" t="s">
        <v>57</v>
      </c>
      <c r="H16">
        <v>122</v>
      </c>
      <c r="I16">
        <v>107</v>
      </c>
      <c r="J16">
        <v>10</v>
      </c>
      <c r="K16">
        <v>2.4</v>
      </c>
      <c r="L16">
        <v>10728.74</v>
      </c>
      <c r="M16">
        <v>3.01</v>
      </c>
      <c r="N16">
        <v>78.260000000000005</v>
      </c>
      <c r="O16">
        <v>206</v>
      </c>
      <c r="P16" s="2">
        <v>46081</v>
      </c>
      <c r="Q16" s="2">
        <v>46081</v>
      </c>
      <c r="R16" t="s">
        <v>25</v>
      </c>
      <c r="S16" t="s">
        <v>26</v>
      </c>
    </row>
    <row r="17" spans="1:19" x14ac:dyDescent="0.25">
      <c r="A17" t="s">
        <v>79</v>
      </c>
      <c r="B17" s="2">
        <v>46161</v>
      </c>
      <c r="C17" t="s">
        <v>80</v>
      </c>
      <c r="D17" t="s">
        <v>21</v>
      </c>
      <c r="E17" t="s">
        <v>66</v>
      </c>
      <c r="F17" t="s">
        <v>46</v>
      </c>
      <c r="G17" t="s">
        <v>57</v>
      </c>
      <c r="H17">
        <v>160</v>
      </c>
      <c r="I17">
        <v>119</v>
      </c>
      <c r="J17">
        <v>6</v>
      </c>
      <c r="K17">
        <v>4.5</v>
      </c>
      <c r="L17">
        <v>32487.03</v>
      </c>
      <c r="M17">
        <v>4.8899999999999997</v>
      </c>
      <c r="N17">
        <v>88.02</v>
      </c>
      <c r="O17">
        <v>167</v>
      </c>
      <c r="P17" s="2">
        <v>46164</v>
      </c>
      <c r="Q17" s="2">
        <v>46163</v>
      </c>
      <c r="R17" t="s">
        <v>25</v>
      </c>
      <c r="S17" t="s">
        <v>26</v>
      </c>
    </row>
    <row r="18" spans="1:19" x14ac:dyDescent="0.25">
      <c r="A18" t="s">
        <v>81</v>
      </c>
      <c r="B18" s="2">
        <v>46086</v>
      </c>
      <c r="C18" t="s">
        <v>80</v>
      </c>
      <c r="D18" t="s">
        <v>21</v>
      </c>
      <c r="E18" t="s">
        <v>66</v>
      </c>
      <c r="F18" t="s">
        <v>74</v>
      </c>
      <c r="G18" t="s">
        <v>32</v>
      </c>
      <c r="H18">
        <v>100</v>
      </c>
      <c r="I18">
        <v>90</v>
      </c>
      <c r="J18">
        <v>5</v>
      </c>
      <c r="K18">
        <v>4.7</v>
      </c>
      <c r="L18">
        <v>25561.49</v>
      </c>
      <c r="M18">
        <v>3.17</v>
      </c>
      <c r="N18">
        <v>63.4</v>
      </c>
      <c r="O18">
        <v>127</v>
      </c>
      <c r="P18" s="2">
        <v>46094</v>
      </c>
      <c r="Q18" s="2">
        <v>46094</v>
      </c>
      <c r="R18" t="s">
        <v>25</v>
      </c>
      <c r="S18" t="s">
        <v>33</v>
      </c>
    </row>
    <row r="19" spans="1:19" x14ac:dyDescent="0.25">
      <c r="A19" t="s">
        <v>82</v>
      </c>
      <c r="B19" s="2">
        <v>46025</v>
      </c>
      <c r="C19" t="s">
        <v>53</v>
      </c>
      <c r="D19" t="s">
        <v>54</v>
      </c>
      <c r="E19" t="s">
        <v>55</v>
      </c>
      <c r="F19" t="s">
        <v>83</v>
      </c>
      <c r="G19" t="s">
        <v>24</v>
      </c>
      <c r="H19">
        <v>98</v>
      </c>
      <c r="I19">
        <v>93</v>
      </c>
      <c r="J19">
        <v>4</v>
      </c>
      <c r="K19">
        <v>1.2</v>
      </c>
      <c r="L19">
        <v>11114.58</v>
      </c>
      <c r="M19">
        <v>2.2200000000000002</v>
      </c>
      <c r="N19">
        <v>48.84</v>
      </c>
      <c r="O19">
        <v>98</v>
      </c>
      <c r="P19" s="2">
        <v>46034</v>
      </c>
      <c r="Q19" s="2">
        <v>46034</v>
      </c>
      <c r="R19" t="s">
        <v>39</v>
      </c>
      <c r="S19" t="s">
        <v>26</v>
      </c>
    </row>
    <row r="20" spans="1:19" x14ac:dyDescent="0.25">
      <c r="A20" t="s">
        <v>84</v>
      </c>
      <c r="B20" s="2">
        <v>46025</v>
      </c>
      <c r="C20" t="s">
        <v>59</v>
      </c>
      <c r="D20" t="s">
        <v>49</v>
      </c>
      <c r="E20" t="s">
        <v>60</v>
      </c>
      <c r="F20" t="s">
        <v>85</v>
      </c>
      <c r="G20" t="s">
        <v>32</v>
      </c>
      <c r="H20">
        <v>106</v>
      </c>
      <c r="I20">
        <v>119</v>
      </c>
      <c r="J20">
        <v>2</v>
      </c>
      <c r="K20">
        <v>1</v>
      </c>
      <c r="L20">
        <v>18094.849999999999</v>
      </c>
      <c r="M20">
        <v>2.92</v>
      </c>
      <c r="N20">
        <v>75.92</v>
      </c>
      <c r="O20">
        <v>119</v>
      </c>
      <c r="P20" s="2">
        <v>46032</v>
      </c>
      <c r="Q20" s="2">
        <v>46032</v>
      </c>
      <c r="R20" t="s">
        <v>25</v>
      </c>
      <c r="S20" t="s">
        <v>86</v>
      </c>
    </row>
    <row r="21" spans="1:19" x14ac:dyDescent="0.25">
      <c r="A21" t="s">
        <v>87</v>
      </c>
      <c r="B21" s="2">
        <v>46036</v>
      </c>
      <c r="C21" t="s">
        <v>20</v>
      </c>
      <c r="D21" t="s">
        <v>21</v>
      </c>
      <c r="E21" t="s">
        <v>66</v>
      </c>
      <c r="F21" t="s">
        <v>88</v>
      </c>
      <c r="G21" t="s">
        <v>24</v>
      </c>
      <c r="H21">
        <v>188</v>
      </c>
      <c r="I21">
        <v>202</v>
      </c>
      <c r="J21">
        <v>1</v>
      </c>
      <c r="K21">
        <v>3</v>
      </c>
      <c r="L21">
        <v>64009.47</v>
      </c>
      <c r="M21">
        <v>4.42</v>
      </c>
      <c r="N21">
        <v>106.08</v>
      </c>
      <c r="O21">
        <v>257</v>
      </c>
      <c r="P21" s="2">
        <v>46046</v>
      </c>
      <c r="Q21" s="2">
        <v>46044</v>
      </c>
      <c r="R21" t="s">
        <v>25</v>
      </c>
      <c r="S21" t="s">
        <v>51</v>
      </c>
    </row>
    <row r="22" spans="1:19" x14ac:dyDescent="0.25">
      <c r="A22" t="s">
        <v>89</v>
      </c>
      <c r="B22" s="2">
        <v>46162</v>
      </c>
      <c r="C22" t="s">
        <v>80</v>
      </c>
      <c r="D22" t="s">
        <v>21</v>
      </c>
      <c r="E22" t="s">
        <v>90</v>
      </c>
      <c r="F22" t="s">
        <v>91</v>
      </c>
      <c r="G22" t="s">
        <v>24</v>
      </c>
      <c r="H22">
        <v>229</v>
      </c>
      <c r="I22">
        <v>219</v>
      </c>
      <c r="J22">
        <v>9</v>
      </c>
      <c r="K22">
        <v>0.4</v>
      </c>
      <c r="L22">
        <v>62003.43</v>
      </c>
      <c r="M22">
        <v>9.0500000000000007</v>
      </c>
      <c r="N22">
        <v>162.9</v>
      </c>
      <c r="O22">
        <v>280</v>
      </c>
      <c r="P22" s="2">
        <v>46167</v>
      </c>
      <c r="Q22" s="2">
        <v>46167</v>
      </c>
      <c r="R22" t="s">
        <v>25</v>
      </c>
      <c r="S22" t="s">
        <v>72</v>
      </c>
    </row>
    <row r="23" spans="1:19" x14ac:dyDescent="0.25">
      <c r="A23" t="s">
        <v>92</v>
      </c>
      <c r="B23" s="2">
        <v>46181</v>
      </c>
      <c r="C23" t="s">
        <v>43</v>
      </c>
      <c r="D23" t="s">
        <v>44</v>
      </c>
      <c r="E23" t="s">
        <v>93</v>
      </c>
      <c r="F23" t="s">
        <v>46</v>
      </c>
      <c r="G23" t="s">
        <v>57</v>
      </c>
      <c r="H23">
        <v>301</v>
      </c>
      <c r="I23">
        <v>237</v>
      </c>
      <c r="J23">
        <v>18</v>
      </c>
      <c r="K23">
        <v>1.6</v>
      </c>
      <c r="L23">
        <v>24648.03</v>
      </c>
      <c r="M23">
        <v>9.52</v>
      </c>
      <c r="N23">
        <v>228.48</v>
      </c>
      <c r="O23">
        <v>324</v>
      </c>
      <c r="P23" s="2">
        <v>46187</v>
      </c>
      <c r="Q23" s="2">
        <v>46187</v>
      </c>
      <c r="R23" t="s">
        <v>25</v>
      </c>
      <c r="S23" t="s">
        <v>72</v>
      </c>
    </row>
    <row r="24" spans="1:19" x14ac:dyDescent="0.25">
      <c r="A24" t="s">
        <v>94</v>
      </c>
      <c r="B24" s="2">
        <v>46079</v>
      </c>
      <c r="C24" t="s">
        <v>28</v>
      </c>
      <c r="D24" t="s">
        <v>29</v>
      </c>
      <c r="E24" t="s">
        <v>95</v>
      </c>
      <c r="F24" t="s">
        <v>96</v>
      </c>
      <c r="G24" t="s">
        <v>57</v>
      </c>
      <c r="H24">
        <v>169</v>
      </c>
      <c r="I24">
        <v>143</v>
      </c>
      <c r="J24">
        <v>10</v>
      </c>
      <c r="K24">
        <v>2</v>
      </c>
      <c r="L24">
        <v>24859.05</v>
      </c>
      <c r="M24">
        <v>3.7</v>
      </c>
      <c r="N24">
        <v>66.599999999999994</v>
      </c>
      <c r="O24">
        <v>200</v>
      </c>
      <c r="P24" s="2">
        <v>46086</v>
      </c>
      <c r="Q24" s="2">
        <v>46088</v>
      </c>
      <c r="R24" t="s">
        <v>39</v>
      </c>
      <c r="S24" t="s">
        <v>33</v>
      </c>
    </row>
    <row r="25" spans="1:19" x14ac:dyDescent="0.25">
      <c r="A25" t="s">
        <v>97</v>
      </c>
      <c r="B25" s="2">
        <v>46089</v>
      </c>
      <c r="C25" t="s">
        <v>43</v>
      </c>
      <c r="D25" t="s">
        <v>44</v>
      </c>
      <c r="E25" t="s">
        <v>45</v>
      </c>
      <c r="F25" t="s">
        <v>64</v>
      </c>
      <c r="G25" t="s">
        <v>24</v>
      </c>
      <c r="H25">
        <v>147</v>
      </c>
      <c r="I25">
        <v>108</v>
      </c>
      <c r="J25">
        <v>6</v>
      </c>
      <c r="K25">
        <v>3.1</v>
      </c>
      <c r="L25">
        <v>13757.22</v>
      </c>
      <c r="M25">
        <v>4.5</v>
      </c>
      <c r="N25">
        <v>81</v>
      </c>
      <c r="O25">
        <v>205</v>
      </c>
      <c r="P25" s="2">
        <v>46100</v>
      </c>
      <c r="Q25" s="2">
        <v>46100</v>
      </c>
      <c r="R25" t="s">
        <v>25</v>
      </c>
      <c r="S25" t="s">
        <v>72</v>
      </c>
    </row>
    <row r="26" spans="1:19" x14ac:dyDescent="0.25">
      <c r="A26" t="s">
        <v>98</v>
      </c>
      <c r="B26" s="2">
        <v>46023</v>
      </c>
      <c r="C26" t="s">
        <v>28</v>
      </c>
      <c r="D26" t="s">
        <v>29</v>
      </c>
      <c r="E26" t="s">
        <v>95</v>
      </c>
      <c r="F26" t="s">
        <v>46</v>
      </c>
      <c r="G26" t="s">
        <v>24</v>
      </c>
      <c r="H26">
        <v>190</v>
      </c>
      <c r="I26">
        <v>142</v>
      </c>
      <c r="J26">
        <v>9</v>
      </c>
      <c r="K26">
        <v>3</v>
      </c>
      <c r="L26">
        <v>33108.400000000001</v>
      </c>
      <c r="M26">
        <v>5.01</v>
      </c>
      <c r="N26">
        <v>110.22</v>
      </c>
      <c r="O26">
        <v>279</v>
      </c>
      <c r="P26" s="2">
        <v>46029</v>
      </c>
      <c r="Q26" s="2">
        <v>46031</v>
      </c>
      <c r="R26" t="s">
        <v>25</v>
      </c>
      <c r="S26" t="s">
        <v>86</v>
      </c>
    </row>
    <row r="27" spans="1:19" x14ac:dyDescent="0.25">
      <c r="A27" t="s">
        <v>99</v>
      </c>
      <c r="B27" s="2">
        <v>46164</v>
      </c>
      <c r="C27" t="s">
        <v>43</v>
      </c>
      <c r="D27" t="s">
        <v>44</v>
      </c>
      <c r="E27" t="s">
        <v>93</v>
      </c>
      <c r="F27" t="s">
        <v>83</v>
      </c>
      <c r="G27" t="s">
        <v>24</v>
      </c>
      <c r="H27">
        <v>187</v>
      </c>
      <c r="I27">
        <v>188</v>
      </c>
      <c r="J27">
        <v>7</v>
      </c>
      <c r="K27">
        <v>6.7</v>
      </c>
      <c r="L27">
        <v>19854.23</v>
      </c>
      <c r="M27">
        <v>5.22</v>
      </c>
      <c r="N27">
        <v>93.96</v>
      </c>
      <c r="O27">
        <v>224</v>
      </c>
      <c r="P27" s="2">
        <v>46170</v>
      </c>
      <c r="Q27" s="2">
        <v>46170</v>
      </c>
      <c r="R27" t="s">
        <v>100</v>
      </c>
      <c r="S27" t="s">
        <v>26</v>
      </c>
    </row>
    <row r="28" spans="1:19" x14ac:dyDescent="0.25">
      <c r="A28" t="s">
        <v>101</v>
      </c>
      <c r="B28" s="2">
        <v>46190</v>
      </c>
      <c r="C28" t="s">
        <v>48</v>
      </c>
      <c r="D28" t="s">
        <v>49</v>
      </c>
      <c r="E28" t="s">
        <v>76</v>
      </c>
      <c r="F28" t="s">
        <v>61</v>
      </c>
      <c r="G28" t="s">
        <v>57</v>
      </c>
      <c r="H28">
        <v>193</v>
      </c>
      <c r="I28">
        <v>175</v>
      </c>
      <c r="J28">
        <v>4</v>
      </c>
      <c r="K28">
        <v>4.3</v>
      </c>
      <c r="L28">
        <v>43234.66</v>
      </c>
      <c r="M28">
        <v>3.86</v>
      </c>
      <c r="N28">
        <v>69.48</v>
      </c>
      <c r="O28">
        <v>225</v>
      </c>
      <c r="P28" s="2">
        <v>46200</v>
      </c>
      <c r="Q28" s="2">
        <v>46201</v>
      </c>
      <c r="R28" t="s">
        <v>25</v>
      </c>
      <c r="S28" t="s">
        <v>86</v>
      </c>
    </row>
    <row r="29" spans="1:19" x14ac:dyDescent="0.25">
      <c r="A29" t="s">
        <v>102</v>
      </c>
      <c r="B29" s="2">
        <v>46080</v>
      </c>
      <c r="C29" t="s">
        <v>28</v>
      </c>
      <c r="D29" t="s">
        <v>29</v>
      </c>
      <c r="E29" t="s">
        <v>63</v>
      </c>
      <c r="F29" t="s">
        <v>23</v>
      </c>
      <c r="G29" t="s">
        <v>57</v>
      </c>
      <c r="H29">
        <v>86</v>
      </c>
      <c r="I29">
        <v>63</v>
      </c>
      <c r="J29">
        <v>5</v>
      </c>
      <c r="K29">
        <v>5.5</v>
      </c>
      <c r="L29">
        <v>15605.31</v>
      </c>
      <c r="M29">
        <v>2.4700000000000002</v>
      </c>
      <c r="N29">
        <v>64.22</v>
      </c>
      <c r="O29">
        <v>99</v>
      </c>
      <c r="P29" s="2">
        <v>46088</v>
      </c>
      <c r="Q29" s="2">
        <v>46092</v>
      </c>
      <c r="R29" t="s">
        <v>100</v>
      </c>
      <c r="S29" t="s">
        <v>33</v>
      </c>
    </row>
    <row r="30" spans="1:19" x14ac:dyDescent="0.25">
      <c r="A30" t="s">
        <v>103</v>
      </c>
      <c r="B30" s="2">
        <v>46050</v>
      </c>
      <c r="C30" t="s">
        <v>35</v>
      </c>
      <c r="D30" t="s">
        <v>36</v>
      </c>
      <c r="E30" t="s">
        <v>37</v>
      </c>
      <c r="F30" t="s">
        <v>104</v>
      </c>
      <c r="G30" t="s">
        <v>24</v>
      </c>
      <c r="H30">
        <v>125</v>
      </c>
      <c r="I30">
        <v>133</v>
      </c>
      <c r="J30">
        <v>8</v>
      </c>
      <c r="K30">
        <v>4.2</v>
      </c>
      <c r="L30">
        <v>13895.99</v>
      </c>
      <c r="M30">
        <v>2.78</v>
      </c>
      <c r="N30">
        <v>55.6</v>
      </c>
      <c r="O30">
        <v>203</v>
      </c>
      <c r="P30" s="2">
        <v>46062</v>
      </c>
      <c r="Q30" s="2">
        <v>46063</v>
      </c>
      <c r="R30" t="s">
        <v>100</v>
      </c>
      <c r="S30" t="s">
        <v>26</v>
      </c>
    </row>
    <row r="31" spans="1:19" x14ac:dyDescent="0.25">
      <c r="A31" t="s">
        <v>105</v>
      </c>
      <c r="B31" s="2">
        <v>46132</v>
      </c>
      <c r="C31" t="s">
        <v>53</v>
      </c>
      <c r="D31" t="s">
        <v>54</v>
      </c>
      <c r="E31" t="s">
        <v>55</v>
      </c>
      <c r="F31" t="s">
        <v>106</v>
      </c>
      <c r="G31" t="s">
        <v>32</v>
      </c>
      <c r="H31">
        <v>270</v>
      </c>
      <c r="I31">
        <v>294</v>
      </c>
      <c r="J31">
        <v>13</v>
      </c>
      <c r="K31">
        <v>6.8</v>
      </c>
      <c r="L31">
        <v>44333.98</v>
      </c>
      <c r="M31">
        <v>10.78</v>
      </c>
      <c r="N31">
        <v>258.72000000000003</v>
      </c>
      <c r="O31">
        <v>291</v>
      </c>
      <c r="P31" s="2">
        <v>46138</v>
      </c>
      <c r="Q31" s="2">
        <v>46142</v>
      </c>
      <c r="R31" t="s">
        <v>25</v>
      </c>
      <c r="S31" t="s">
        <v>51</v>
      </c>
    </row>
    <row r="32" spans="1:19" x14ac:dyDescent="0.25">
      <c r="A32" t="s">
        <v>107</v>
      </c>
      <c r="B32" s="2">
        <v>46092</v>
      </c>
      <c r="C32" t="s">
        <v>48</v>
      </c>
      <c r="D32" t="s">
        <v>49</v>
      </c>
      <c r="E32" t="s">
        <v>76</v>
      </c>
      <c r="F32" t="s">
        <v>64</v>
      </c>
      <c r="G32" t="s">
        <v>57</v>
      </c>
      <c r="H32">
        <v>308</v>
      </c>
      <c r="I32">
        <v>293</v>
      </c>
      <c r="J32">
        <v>5</v>
      </c>
      <c r="K32">
        <v>2.1</v>
      </c>
      <c r="L32">
        <v>66164.28</v>
      </c>
      <c r="M32">
        <v>5.73</v>
      </c>
      <c r="N32">
        <v>137.52000000000001</v>
      </c>
      <c r="O32">
        <v>352</v>
      </c>
      <c r="P32" s="2">
        <v>46102</v>
      </c>
      <c r="Q32" s="2">
        <v>46106</v>
      </c>
      <c r="R32" t="s">
        <v>100</v>
      </c>
      <c r="S32" t="s">
        <v>72</v>
      </c>
    </row>
    <row r="33" spans="1:19" x14ac:dyDescent="0.25">
      <c r="A33" t="s">
        <v>108</v>
      </c>
      <c r="B33" s="2">
        <v>46122</v>
      </c>
      <c r="C33" t="s">
        <v>80</v>
      </c>
      <c r="D33" t="s">
        <v>21</v>
      </c>
      <c r="E33" t="s">
        <v>66</v>
      </c>
      <c r="F33" t="s">
        <v>23</v>
      </c>
      <c r="G33" t="s">
        <v>32</v>
      </c>
      <c r="H33">
        <v>177</v>
      </c>
      <c r="I33">
        <v>163</v>
      </c>
      <c r="J33">
        <v>14</v>
      </c>
      <c r="K33">
        <v>2.7</v>
      </c>
      <c r="L33">
        <v>46127.88</v>
      </c>
      <c r="M33">
        <v>6.2</v>
      </c>
      <c r="N33">
        <v>161.19999999999999</v>
      </c>
      <c r="O33">
        <v>276</v>
      </c>
      <c r="P33" s="2">
        <v>46133</v>
      </c>
      <c r="Q33" s="2">
        <v>46133</v>
      </c>
      <c r="R33" t="s">
        <v>100</v>
      </c>
      <c r="S33" t="s">
        <v>72</v>
      </c>
    </row>
    <row r="34" spans="1:19" x14ac:dyDescent="0.25">
      <c r="A34" t="s">
        <v>109</v>
      </c>
      <c r="B34" s="2">
        <v>46147</v>
      </c>
      <c r="C34" t="s">
        <v>80</v>
      </c>
      <c r="D34" t="s">
        <v>21</v>
      </c>
      <c r="E34" t="s">
        <v>90</v>
      </c>
      <c r="F34" t="s">
        <v>110</v>
      </c>
      <c r="G34" t="s">
        <v>32</v>
      </c>
      <c r="H34">
        <v>166</v>
      </c>
      <c r="I34">
        <v>167</v>
      </c>
      <c r="J34">
        <v>12</v>
      </c>
      <c r="K34">
        <v>6.5</v>
      </c>
      <c r="L34">
        <v>55614.32</v>
      </c>
      <c r="M34">
        <v>6.94</v>
      </c>
      <c r="N34">
        <v>180.44</v>
      </c>
      <c r="O34">
        <v>132</v>
      </c>
      <c r="P34" s="2">
        <v>46155</v>
      </c>
      <c r="Q34" s="2">
        <v>46153</v>
      </c>
      <c r="R34" t="s">
        <v>25</v>
      </c>
      <c r="S34" t="s">
        <v>51</v>
      </c>
    </row>
    <row r="35" spans="1:19" x14ac:dyDescent="0.25">
      <c r="A35" t="s">
        <v>111</v>
      </c>
      <c r="B35" s="2">
        <v>46141</v>
      </c>
      <c r="C35" t="s">
        <v>43</v>
      </c>
      <c r="D35" t="s">
        <v>44</v>
      </c>
      <c r="E35" t="s">
        <v>93</v>
      </c>
      <c r="F35" t="s">
        <v>112</v>
      </c>
      <c r="G35" t="s">
        <v>24</v>
      </c>
      <c r="H35">
        <v>146</v>
      </c>
      <c r="I35">
        <v>128</v>
      </c>
      <c r="J35">
        <v>3</v>
      </c>
      <c r="K35">
        <v>2.9</v>
      </c>
      <c r="L35">
        <v>15918.55</v>
      </c>
      <c r="M35">
        <v>4.6100000000000003</v>
      </c>
      <c r="N35">
        <v>110.64</v>
      </c>
      <c r="O35">
        <v>170</v>
      </c>
      <c r="P35" s="2">
        <v>46144</v>
      </c>
      <c r="Q35" s="2">
        <v>46148</v>
      </c>
      <c r="R35" t="s">
        <v>25</v>
      </c>
      <c r="S35" t="s">
        <v>33</v>
      </c>
    </row>
    <row r="36" spans="1:19" x14ac:dyDescent="0.25">
      <c r="A36" t="s">
        <v>113</v>
      </c>
      <c r="B36" s="2">
        <v>46112</v>
      </c>
      <c r="C36" t="s">
        <v>28</v>
      </c>
      <c r="D36" t="s">
        <v>29</v>
      </c>
      <c r="E36" t="s">
        <v>30</v>
      </c>
      <c r="F36" t="s">
        <v>114</v>
      </c>
      <c r="G36" t="s">
        <v>57</v>
      </c>
      <c r="H36">
        <v>97</v>
      </c>
      <c r="I36">
        <v>102</v>
      </c>
      <c r="J36">
        <v>6</v>
      </c>
      <c r="K36">
        <v>6.8</v>
      </c>
      <c r="L36">
        <v>24910.85</v>
      </c>
      <c r="M36">
        <v>1.89</v>
      </c>
      <c r="N36">
        <v>37.799999999999997</v>
      </c>
      <c r="O36">
        <v>118</v>
      </c>
      <c r="P36" s="2">
        <v>46116</v>
      </c>
      <c r="Q36" s="2">
        <v>46120</v>
      </c>
      <c r="R36" t="s">
        <v>25</v>
      </c>
      <c r="S36" t="s">
        <v>72</v>
      </c>
    </row>
    <row r="37" spans="1:19" x14ac:dyDescent="0.25">
      <c r="A37" t="s">
        <v>115</v>
      </c>
      <c r="B37" s="2">
        <v>46202</v>
      </c>
      <c r="C37" t="s">
        <v>59</v>
      </c>
      <c r="D37" t="s">
        <v>49</v>
      </c>
      <c r="E37" t="s">
        <v>76</v>
      </c>
      <c r="F37" t="s">
        <v>106</v>
      </c>
      <c r="G37" t="s">
        <v>57</v>
      </c>
      <c r="H37">
        <v>122</v>
      </c>
      <c r="I37">
        <v>119</v>
      </c>
      <c r="J37">
        <v>10</v>
      </c>
      <c r="K37">
        <v>6.5</v>
      </c>
      <c r="L37">
        <v>20800.900000000001</v>
      </c>
      <c r="M37">
        <v>3.03</v>
      </c>
      <c r="N37">
        <v>78.78</v>
      </c>
      <c r="O37">
        <v>88</v>
      </c>
      <c r="P37" s="2">
        <v>46208</v>
      </c>
      <c r="Q37" s="2">
        <v>46210</v>
      </c>
      <c r="R37" t="s">
        <v>100</v>
      </c>
    </row>
    <row r="38" spans="1:19" x14ac:dyDescent="0.25">
      <c r="A38" t="s">
        <v>116</v>
      </c>
      <c r="B38" s="2">
        <v>46174</v>
      </c>
      <c r="C38" t="s">
        <v>28</v>
      </c>
      <c r="D38" t="s">
        <v>29</v>
      </c>
      <c r="E38" t="s">
        <v>63</v>
      </c>
      <c r="F38" t="s">
        <v>85</v>
      </c>
      <c r="G38" t="s">
        <v>24</v>
      </c>
      <c r="H38">
        <v>258</v>
      </c>
      <c r="I38">
        <v>271</v>
      </c>
      <c r="J38">
        <v>22</v>
      </c>
      <c r="K38">
        <v>5.4</v>
      </c>
      <c r="L38">
        <v>60429.22</v>
      </c>
      <c r="M38">
        <v>9.9700000000000006</v>
      </c>
      <c r="N38">
        <v>219.34</v>
      </c>
      <c r="O38">
        <v>354</v>
      </c>
      <c r="P38" s="2">
        <v>46182</v>
      </c>
      <c r="Q38" s="2">
        <v>46183</v>
      </c>
      <c r="R38" t="s">
        <v>25</v>
      </c>
      <c r="S38" t="s">
        <v>86</v>
      </c>
    </row>
    <row r="39" spans="1:19" x14ac:dyDescent="0.25">
      <c r="A39" t="s">
        <v>117</v>
      </c>
      <c r="B39" s="2">
        <v>46026</v>
      </c>
      <c r="C39" t="s">
        <v>35</v>
      </c>
      <c r="D39" t="s">
        <v>36</v>
      </c>
      <c r="E39" t="s">
        <v>69</v>
      </c>
      <c r="F39" t="s">
        <v>77</v>
      </c>
      <c r="G39" t="s">
        <v>24</v>
      </c>
      <c r="H39">
        <v>107</v>
      </c>
      <c r="I39">
        <v>96</v>
      </c>
      <c r="J39">
        <v>3</v>
      </c>
      <c r="K39">
        <v>8</v>
      </c>
      <c r="L39">
        <v>7901.83</v>
      </c>
      <c r="M39">
        <v>2.13</v>
      </c>
      <c r="N39">
        <v>55.38</v>
      </c>
      <c r="O39">
        <v>136</v>
      </c>
      <c r="P39" s="2">
        <v>46037</v>
      </c>
      <c r="Q39" s="2">
        <v>46041</v>
      </c>
      <c r="R39" t="s">
        <v>100</v>
      </c>
      <c r="S39" t="s">
        <v>26</v>
      </c>
    </row>
    <row r="40" spans="1:19" x14ac:dyDescent="0.25">
      <c r="A40" t="s">
        <v>118</v>
      </c>
      <c r="B40" s="2">
        <v>46091</v>
      </c>
      <c r="C40" t="s">
        <v>48</v>
      </c>
      <c r="D40" t="s">
        <v>49</v>
      </c>
      <c r="E40" t="s">
        <v>50</v>
      </c>
      <c r="F40" t="s">
        <v>119</v>
      </c>
      <c r="G40" t="s">
        <v>57</v>
      </c>
      <c r="H40">
        <v>292</v>
      </c>
      <c r="I40">
        <v>327</v>
      </c>
      <c r="J40">
        <v>9</v>
      </c>
      <c r="K40">
        <v>4.0999999999999996</v>
      </c>
      <c r="L40">
        <v>72639.539999999994</v>
      </c>
      <c r="M40">
        <v>11.13</v>
      </c>
      <c r="N40">
        <v>244.86</v>
      </c>
      <c r="O40">
        <v>259</v>
      </c>
      <c r="P40" s="2">
        <v>46100</v>
      </c>
      <c r="Q40" s="2">
        <v>46101</v>
      </c>
      <c r="R40" t="s">
        <v>25</v>
      </c>
      <c r="S40" t="s">
        <v>86</v>
      </c>
    </row>
    <row r="41" spans="1:19" x14ac:dyDescent="0.25">
      <c r="A41" t="s">
        <v>120</v>
      </c>
      <c r="B41" s="2">
        <v>46089</v>
      </c>
      <c r="C41" t="s">
        <v>48</v>
      </c>
      <c r="D41" t="s">
        <v>49</v>
      </c>
      <c r="E41" t="s">
        <v>76</v>
      </c>
      <c r="F41" t="s">
        <v>110</v>
      </c>
      <c r="G41" t="s">
        <v>24</v>
      </c>
      <c r="H41">
        <v>305</v>
      </c>
      <c r="I41">
        <v>297</v>
      </c>
      <c r="J41">
        <v>25</v>
      </c>
      <c r="K41">
        <v>5</v>
      </c>
      <c r="L41">
        <v>54820.07</v>
      </c>
      <c r="M41">
        <v>7.07</v>
      </c>
      <c r="N41">
        <v>169.68</v>
      </c>
      <c r="O41">
        <v>390</v>
      </c>
      <c r="P41" s="2">
        <v>46099</v>
      </c>
      <c r="Q41" s="2">
        <v>46099</v>
      </c>
      <c r="R41" t="s">
        <v>100</v>
      </c>
      <c r="S41" t="s">
        <v>72</v>
      </c>
    </row>
    <row r="42" spans="1:19" x14ac:dyDescent="0.25">
      <c r="A42" t="s">
        <v>121</v>
      </c>
      <c r="B42" s="2">
        <v>46137</v>
      </c>
      <c r="C42" t="s">
        <v>80</v>
      </c>
      <c r="D42" t="s">
        <v>21</v>
      </c>
      <c r="E42" t="s">
        <v>22</v>
      </c>
      <c r="F42" t="s">
        <v>122</v>
      </c>
      <c r="G42" t="s">
        <v>32</v>
      </c>
      <c r="H42">
        <v>155</v>
      </c>
      <c r="I42">
        <v>126</v>
      </c>
      <c r="J42">
        <v>8</v>
      </c>
      <c r="K42">
        <v>2.8</v>
      </c>
      <c r="L42">
        <v>34343.199999999997</v>
      </c>
      <c r="M42">
        <v>3.87</v>
      </c>
      <c r="N42">
        <v>92.88</v>
      </c>
      <c r="O42">
        <v>255</v>
      </c>
      <c r="P42" s="2">
        <v>46144</v>
      </c>
      <c r="Q42" s="2">
        <v>46145</v>
      </c>
      <c r="R42" t="s">
        <v>100</v>
      </c>
      <c r="S42" t="s">
        <v>86</v>
      </c>
    </row>
    <row r="43" spans="1:19" x14ac:dyDescent="0.25">
      <c r="A43" t="s">
        <v>123</v>
      </c>
      <c r="B43" s="2">
        <v>46082</v>
      </c>
      <c r="C43" t="s">
        <v>20</v>
      </c>
      <c r="D43" t="s">
        <v>21</v>
      </c>
      <c r="E43" t="s">
        <v>66</v>
      </c>
      <c r="F43" t="s">
        <v>61</v>
      </c>
      <c r="G43" t="s">
        <v>57</v>
      </c>
      <c r="H43">
        <v>129</v>
      </c>
      <c r="I43">
        <v>110</v>
      </c>
      <c r="J43">
        <v>7</v>
      </c>
      <c r="K43">
        <v>8.6</v>
      </c>
      <c r="L43">
        <v>34919.08</v>
      </c>
      <c r="M43">
        <v>3.93</v>
      </c>
      <c r="N43">
        <v>86.46</v>
      </c>
      <c r="O43">
        <v>223</v>
      </c>
      <c r="P43" s="2">
        <v>46093</v>
      </c>
      <c r="Q43" s="2">
        <v>46093</v>
      </c>
      <c r="R43" t="s">
        <v>25</v>
      </c>
      <c r="S43" t="s">
        <v>86</v>
      </c>
    </row>
    <row r="44" spans="1:19" x14ac:dyDescent="0.25">
      <c r="A44" t="s">
        <v>124</v>
      </c>
      <c r="B44" s="2">
        <v>46081</v>
      </c>
      <c r="C44" t="s">
        <v>48</v>
      </c>
      <c r="D44" t="s">
        <v>49</v>
      </c>
      <c r="E44" t="s">
        <v>50</v>
      </c>
      <c r="F44" t="s">
        <v>125</v>
      </c>
      <c r="G44" t="s">
        <v>32</v>
      </c>
      <c r="H44">
        <v>157</v>
      </c>
      <c r="I44">
        <v>113</v>
      </c>
      <c r="J44">
        <v>5</v>
      </c>
      <c r="K44">
        <v>2.5</v>
      </c>
      <c r="L44">
        <v>26840.19</v>
      </c>
      <c r="M44">
        <v>3.93</v>
      </c>
      <c r="N44">
        <v>78.599999999999994</v>
      </c>
      <c r="O44">
        <v>242</v>
      </c>
      <c r="P44" s="2">
        <v>46084</v>
      </c>
      <c r="Q44" s="2">
        <v>46082</v>
      </c>
      <c r="R44" t="s">
        <v>39</v>
      </c>
      <c r="S44" t="s">
        <v>72</v>
      </c>
    </row>
    <row r="45" spans="1:19" x14ac:dyDescent="0.25">
      <c r="A45" t="s">
        <v>126</v>
      </c>
      <c r="B45" s="2">
        <v>46135</v>
      </c>
      <c r="C45" t="s">
        <v>48</v>
      </c>
      <c r="D45" t="s">
        <v>49</v>
      </c>
      <c r="E45" t="s">
        <v>50</v>
      </c>
      <c r="F45" t="s">
        <v>23</v>
      </c>
      <c r="G45" t="s">
        <v>57</v>
      </c>
      <c r="H45">
        <v>93</v>
      </c>
      <c r="I45">
        <v>77</v>
      </c>
      <c r="J45">
        <v>6</v>
      </c>
      <c r="K45">
        <v>1</v>
      </c>
      <c r="L45">
        <v>12963.18</v>
      </c>
      <c r="M45">
        <v>2.4500000000000002</v>
      </c>
      <c r="N45">
        <v>44.1</v>
      </c>
      <c r="O45">
        <v>91</v>
      </c>
      <c r="P45" s="2">
        <v>46139</v>
      </c>
      <c r="Q45" s="2">
        <v>46139</v>
      </c>
      <c r="R45" t="s">
        <v>25</v>
      </c>
      <c r="S45" t="s">
        <v>26</v>
      </c>
    </row>
    <row r="46" spans="1:19" x14ac:dyDescent="0.25">
      <c r="A46" t="s">
        <v>127</v>
      </c>
      <c r="B46" s="2">
        <v>46129</v>
      </c>
      <c r="C46" t="s">
        <v>28</v>
      </c>
      <c r="D46" t="s">
        <v>29</v>
      </c>
      <c r="E46" t="s">
        <v>30</v>
      </c>
      <c r="F46" t="s">
        <v>41</v>
      </c>
      <c r="G46" t="s">
        <v>57</v>
      </c>
      <c r="H46">
        <v>177</v>
      </c>
      <c r="I46">
        <v>161</v>
      </c>
      <c r="J46">
        <v>7</v>
      </c>
      <c r="K46">
        <v>7.7</v>
      </c>
      <c r="L46">
        <v>41041.43</v>
      </c>
      <c r="M46">
        <v>5.3</v>
      </c>
      <c r="N46">
        <v>137.80000000000001</v>
      </c>
      <c r="O46">
        <v>162</v>
      </c>
      <c r="P46" s="2">
        <v>46134</v>
      </c>
      <c r="Q46" s="2">
        <v>46134</v>
      </c>
      <c r="R46" t="s">
        <v>25</v>
      </c>
      <c r="S46" t="s">
        <v>51</v>
      </c>
    </row>
    <row r="47" spans="1:19" x14ac:dyDescent="0.25">
      <c r="A47" t="s">
        <v>128</v>
      </c>
      <c r="B47" s="2">
        <v>46084</v>
      </c>
      <c r="C47" t="s">
        <v>43</v>
      </c>
      <c r="D47" t="s">
        <v>44</v>
      </c>
      <c r="E47" t="s">
        <v>45</v>
      </c>
      <c r="F47" t="s">
        <v>83</v>
      </c>
      <c r="G47" t="s">
        <v>24</v>
      </c>
      <c r="H47">
        <v>99</v>
      </c>
      <c r="I47">
        <v>77</v>
      </c>
      <c r="J47">
        <v>3</v>
      </c>
      <c r="K47">
        <v>6.2</v>
      </c>
      <c r="L47">
        <v>7828.07</v>
      </c>
      <c r="M47">
        <v>1.92</v>
      </c>
      <c r="N47">
        <v>42.24</v>
      </c>
      <c r="O47">
        <v>175</v>
      </c>
      <c r="P47" s="2">
        <v>46087</v>
      </c>
      <c r="Q47" s="2">
        <v>46087</v>
      </c>
      <c r="R47" t="s">
        <v>25</v>
      </c>
      <c r="S47" t="s">
        <v>26</v>
      </c>
    </row>
    <row r="48" spans="1:19" x14ac:dyDescent="0.25">
      <c r="A48" t="s">
        <v>129</v>
      </c>
      <c r="B48" s="2">
        <v>46192</v>
      </c>
      <c r="C48" t="s">
        <v>28</v>
      </c>
      <c r="D48" t="s">
        <v>29</v>
      </c>
      <c r="E48" t="s">
        <v>95</v>
      </c>
      <c r="F48" t="s">
        <v>106</v>
      </c>
      <c r="G48" t="s">
        <v>32</v>
      </c>
      <c r="H48">
        <v>109</v>
      </c>
      <c r="I48">
        <v>104</v>
      </c>
      <c r="J48">
        <v>6</v>
      </c>
      <c r="K48">
        <v>8.1999999999999993</v>
      </c>
      <c r="L48">
        <v>23521.31</v>
      </c>
      <c r="M48">
        <v>2.29</v>
      </c>
      <c r="N48">
        <v>50.38</v>
      </c>
      <c r="O48">
        <v>142</v>
      </c>
      <c r="P48" s="2">
        <v>46201</v>
      </c>
      <c r="Q48" s="2">
        <v>46200</v>
      </c>
      <c r="R48" t="s">
        <v>100</v>
      </c>
      <c r="S48" t="s">
        <v>72</v>
      </c>
    </row>
    <row r="49" spans="1:19" x14ac:dyDescent="0.25">
      <c r="A49" t="s">
        <v>130</v>
      </c>
      <c r="B49" s="2">
        <v>46092</v>
      </c>
      <c r="C49" t="s">
        <v>53</v>
      </c>
      <c r="D49" t="s">
        <v>54</v>
      </c>
      <c r="E49" t="s">
        <v>131</v>
      </c>
      <c r="F49" t="s">
        <v>64</v>
      </c>
      <c r="G49" t="s">
        <v>57</v>
      </c>
      <c r="H49">
        <v>100</v>
      </c>
      <c r="I49">
        <v>97</v>
      </c>
      <c r="J49">
        <v>8</v>
      </c>
      <c r="K49">
        <v>6.6</v>
      </c>
      <c r="L49">
        <v>12551.48</v>
      </c>
      <c r="M49">
        <v>2.2799999999999998</v>
      </c>
      <c r="N49">
        <v>59.28</v>
      </c>
      <c r="O49">
        <v>65</v>
      </c>
      <c r="P49" s="2">
        <v>46104</v>
      </c>
      <c r="Q49" s="2">
        <v>46104</v>
      </c>
      <c r="R49" t="s">
        <v>39</v>
      </c>
      <c r="S49" t="s">
        <v>72</v>
      </c>
    </row>
    <row r="50" spans="1:19" x14ac:dyDescent="0.25">
      <c r="A50" t="s">
        <v>132</v>
      </c>
      <c r="B50" s="2">
        <v>46155</v>
      </c>
      <c r="C50" t="s">
        <v>53</v>
      </c>
      <c r="D50" t="s">
        <v>54</v>
      </c>
      <c r="E50" t="s">
        <v>131</v>
      </c>
      <c r="F50" t="s">
        <v>106</v>
      </c>
      <c r="G50" t="s">
        <v>32</v>
      </c>
      <c r="H50">
        <v>126</v>
      </c>
      <c r="I50">
        <v>144</v>
      </c>
      <c r="J50">
        <v>6</v>
      </c>
      <c r="K50">
        <v>7.3</v>
      </c>
      <c r="L50">
        <v>23855.05</v>
      </c>
      <c r="M50">
        <v>4</v>
      </c>
      <c r="N50">
        <v>88</v>
      </c>
      <c r="O50">
        <v>112</v>
      </c>
      <c r="P50" s="2">
        <v>46159</v>
      </c>
      <c r="Q50" s="2">
        <v>46160</v>
      </c>
      <c r="R50" t="s">
        <v>100</v>
      </c>
      <c r="S50" t="s">
        <v>86</v>
      </c>
    </row>
    <row r="51" spans="1:19" x14ac:dyDescent="0.25">
      <c r="A51" t="s">
        <v>133</v>
      </c>
      <c r="B51" s="2">
        <v>46192</v>
      </c>
      <c r="C51" t="s">
        <v>35</v>
      </c>
      <c r="D51" t="s">
        <v>36</v>
      </c>
      <c r="E51" t="s">
        <v>37</v>
      </c>
      <c r="F51" t="s">
        <v>31</v>
      </c>
      <c r="G51" t="s">
        <v>24</v>
      </c>
      <c r="H51">
        <v>196</v>
      </c>
      <c r="I51">
        <v>148</v>
      </c>
      <c r="J51">
        <v>4</v>
      </c>
      <c r="K51">
        <v>1</v>
      </c>
      <c r="L51">
        <v>16426.04</v>
      </c>
      <c r="M51">
        <v>5.59</v>
      </c>
      <c r="N51">
        <v>100.62</v>
      </c>
      <c r="O51">
        <v>294</v>
      </c>
      <c r="P51" s="2">
        <v>46201</v>
      </c>
      <c r="Q51" s="2">
        <v>46203</v>
      </c>
      <c r="R51" t="s">
        <v>25</v>
      </c>
      <c r="S51" t="s">
        <v>86</v>
      </c>
    </row>
    <row r="52" spans="1:19" x14ac:dyDescent="0.25">
      <c r="A52" t="s">
        <v>134</v>
      </c>
      <c r="B52" s="2">
        <v>46182</v>
      </c>
      <c r="C52" t="s">
        <v>53</v>
      </c>
      <c r="D52" t="s">
        <v>54</v>
      </c>
      <c r="E52" t="s">
        <v>131</v>
      </c>
      <c r="F52" t="s">
        <v>135</v>
      </c>
      <c r="G52" t="s">
        <v>24</v>
      </c>
      <c r="H52">
        <v>274</v>
      </c>
      <c r="I52">
        <v>203</v>
      </c>
      <c r="J52">
        <v>5</v>
      </c>
      <c r="K52">
        <v>1.2</v>
      </c>
      <c r="L52">
        <v>29521.89</v>
      </c>
      <c r="M52">
        <v>6.02</v>
      </c>
      <c r="N52">
        <v>108.36</v>
      </c>
      <c r="O52">
        <v>295</v>
      </c>
      <c r="P52" s="2">
        <v>46186</v>
      </c>
      <c r="Q52" s="2">
        <v>46186</v>
      </c>
      <c r="R52" t="s">
        <v>39</v>
      </c>
      <c r="S52" t="s">
        <v>72</v>
      </c>
    </row>
    <row r="53" spans="1:19" x14ac:dyDescent="0.25">
      <c r="A53" t="s">
        <v>136</v>
      </c>
      <c r="B53" s="2">
        <v>46046</v>
      </c>
      <c r="C53" t="s">
        <v>28</v>
      </c>
      <c r="D53" t="s">
        <v>29</v>
      </c>
      <c r="E53" t="s">
        <v>63</v>
      </c>
      <c r="F53" t="s">
        <v>137</v>
      </c>
      <c r="G53" t="s">
        <v>57</v>
      </c>
      <c r="H53">
        <v>198</v>
      </c>
      <c r="I53">
        <v>223</v>
      </c>
      <c r="J53">
        <v>14</v>
      </c>
      <c r="K53">
        <v>1.4</v>
      </c>
      <c r="L53">
        <v>55634.83</v>
      </c>
      <c r="M53">
        <v>7.79</v>
      </c>
      <c r="N53">
        <v>186.96</v>
      </c>
      <c r="O53">
        <v>281</v>
      </c>
      <c r="P53" s="2">
        <v>46055</v>
      </c>
      <c r="Q53" s="2">
        <v>46055</v>
      </c>
      <c r="R53" t="s">
        <v>100</v>
      </c>
      <c r="S53" t="s">
        <v>72</v>
      </c>
    </row>
    <row r="54" spans="1:19" x14ac:dyDescent="0.25">
      <c r="A54" t="s">
        <v>138</v>
      </c>
      <c r="B54" s="2">
        <v>46071</v>
      </c>
      <c r="C54" t="s">
        <v>43</v>
      </c>
      <c r="D54" t="s">
        <v>44</v>
      </c>
      <c r="E54" t="s">
        <v>93</v>
      </c>
      <c r="F54" t="s">
        <v>119</v>
      </c>
      <c r="G54" t="s">
        <v>32</v>
      </c>
      <c r="H54">
        <v>150</v>
      </c>
      <c r="I54">
        <v>157</v>
      </c>
      <c r="J54">
        <v>12</v>
      </c>
      <c r="K54">
        <v>3.1</v>
      </c>
      <c r="L54">
        <v>19085.23</v>
      </c>
      <c r="M54">
        <v>2.84</v>
      </c>
      <c r="N54">
        <v>62.48</v>
      </c>
      <c r="O54">
        <v>235</v>
      </c>
      <c r="P54" s="2">
        <v>46075</v>
      </c>
      <c r="Q54" s="2">
        <v>46079</v>
      </c>
      <c r="R54" t="s">
        <v>39</v>
      </c>
      <c r="S54" t="s">
        <v>86</v>
      </c>
    </row>
    <row r="55" spans="1:19" x14ac:dyDescent="0.25">
      <c r="A55" t="s">
        <v>139</v>
      </c>
      <c r="B55" s="2">
        <v>46164</v>
      </c>
      <c r="C55" t="s">
        <v>35</v>
      </c>
      <c r="D55" t="s">
        <v>36</v>
      </c>
      <c r="E55" t="s">
        <v>69</v>
      </c>
      <c r="F55" t="s">
        <v>41</v>
      </c>
      <c r="G55" t="s">
        <v>24</v>
      </c>
      <c r="H55">
        <v>318</v>
      </c>
      <c r="I55">
        <v>272</v>
      </c>
      <c r="J55">
        <v>5</v>
      </c>
      <c r="K55">
        <v>6.3</v>
      </c>
      <c r="L55">
        <v>23859.14</v>
      </c>
      <c r="M55">
        <v>9.9600000000000009</v>
      </c>
      <c r="N55">
        <v>179.28</v>
      </c>
      <c r="O55">
        <v>359</v>
      </c>
      <c r="P55" s="2">
        <v>46173</v>
      </c>
      <c r="Q55" s="2">
        <v>46175</v>
      </c>
      <c r="R55" t="s">
        <v>100</v>
      </c>
      <c r="S55" t="s">
        <v>51</v>
      </c>
    </row>
    <row r="56" spans="1:19" x14ac:dyDescent="0.25">
      <c r="A56" t="s">
        <v>140</v>
      </c>
      <c r="B56" s="2">
        <v>46149</v>
      </c>
      <c r="C56" t="s">
        <v>80</v>
      </c>
      <c r="D56" t="s">
        <v>21</v>
      </c>
      <c r="E56" t="s">
        <v>22</v>
      </c>
      <c r="F56" t="s">
        <v>119</v>
      </c>
      <c r="G56" t="s">
        <v>32</v>
      </c>
      <c r="H56">
        <v>208</v>
      </c>
      <c r="I56">
        <v>236</v>
      </c>
      <c r="J56">
        <v>8</v>
      </c>
      <c r="K56">
        <v>0.9</v>
      </c>
      <c r="L56">
        <v>63176.55</v>
      </c>
      <c r="M56">
        <v>9.4</v>
      </c>
      <c r="N56">
        <v>169.2</v>
      </c>
      <c r="O56">
        <v>204</v>
      </c>
      <c r="P56" s="2">
        <v>46157</v>
      </c>
      <c r="Q56" s="2">
        <v>46157</v>
      </c>
      <c r="R56" t="s">
        <v>25</v>
      </c>
      <c r="S56" t="s">
        <v>86</v>
      </c>
    </row>
    <row r="57" spans="1:19" x14ac:dyDescent="0.25">
      <c r="A57" t="s">
        <v>141</v>
      </c>
      <c r="B57" s="2">
        <v>46182</v>
      </c>
      <c r="C57" t="s">
        <v>35</v>
      </c>
      <c r="D57" t="s">
        <v>36</v>
      </c>
      <c r="E57" t="s">
        <v>37</v>
      </c>
      <c r="F57" t="s">
        <v>110</v>
      </c>
      <c r="G57" t="s">
        <v>24</v>
      </c>
      <c r="H57">
        <v>298</v>
      </c>
      <c r="I57">
        <v>256</v>
      </c>
      <c r="J57">
        <v>16</v>
      </c>
      <c r="K57">
        <v>4.8</v>
      </c>
      <c r="L57">
        <v>28355.83</v>
      </c>
      <c r="M57">
        <v>10.06</v>
      </c>
      <c r="N57">
        <v>241.44</v>
      </c>
      <c r="O57">
        <v>396</v>
      </c>
      <c r="P57" s="2">
        <v>46184</v>
      </c>
      <c r="Q57" s="2">
        <v>46183</v>
      </c>
      <c r="R57" t="s">
        <v>25</v>
      </c>
      <c r="S57" t="s">
        <v>86</v>
      </c>
    </row>
    <row r="58" spans="1:19" x14ac:dyDescent="0.25">
      <c r="A58" t="s">
        <v>142</v>
      </c>
      <c r="B58" s="2">
        <v>46081</v>
      </c>
      <c r="C58" t="s">
        <v>20</v>
      </c>
      <c r="D58" t="s">
        <v>21</v>
      </c>
      <c r="E58" t="s">
        <v>90</v>
      </c>
      <c r="F58" t="s">
        <v>77</v>
      </c>
      <c r="G58" t="s">
        <v>57</v>
      </c>
      <c r="H58">
        <v>105</v>
      </c>
      <c r="I58">
        <v>109</v>
      </c>
      <c r="J58">
        <v>7</v>
      </c>
      <c r="K58">
        <v>0.9</v>
      </c>
      <c r="L58">
        <v>29392.37</v>
      </c>
      <c r="M58">
        <v>2.04</v>
      </c>
      <c r="N58">
        <v>44.88</v>
      </c>
      <c r="O58">
        <v>79</v>
      </c>
      <c r="P58" s="2">
        <v>46087</v>
      </c>
      <c r="Q58" s="2">
        <v>46088</v>
      </c>
      <c r="R58" t="s">
        <v>25</v>
      </c>
      <c r="S58" t="s">
        <v>51</v>
      </c>
    </row>
    <row r="59" spans="1:19" x14ac:dyDescent="0.25">
      <c r="A59" t="s">
        <v>143</v>
      </c>
      <c r="B59" s="2">
        <v>46158</v>
      </c>
      <c r="C59" t="s">
        <v>35</v>
      </c>
      <c r="D59" t="s">
        <v>36</v>
      </c>
      <c r="E59" t="s">
        <v>37</v>
      </c>
      <c r="F59" t="s">
        <v>122</v>
      </c>
      <c r="G59" t="s">
        <v>24</v>
      </c>
      <c r="H59">
        <v>123</v>
      </c>
      <c r="I59">
        <v>97</v>
      </c>
      <c r="J59">
        <v>5</v>
      </c>
      <c r="K59">
        <v>3.4</v>
      </c>
      <c r="L59">
        <v>9514.15</v>
      </c>
      <c r="M59">
        <v>3.1</v>
      </c>
      <c r="N59">
        <v>62</v>
      </c>
      <c r="O59">
        <v>201</v>
      </c>
      <c r="P59" s="2">
        <v>46170</v>
      </c>
      <c r="Q59" s="2">
        <v>46170</v>
      </c>
      <c r="R59" t="s">
        <v>100</v>
      </c>
      <c r="S59" t="s">
        <v>33</v>
      </c>
    </row>
    <row r="60" spans="1:19" x14ac:dyDescent="0.25">
      <c r="A60" t="s">
        <v>144</v>
      </c>
      <c r="B60" s="2">
        <v>46142</v>
      </c>
      <c r="C60" t="s">
        <v>59</v>
      </c>
      <c r="D60" t="s">
        <v>49</v>
      </c>
      <c r="E60" t="s">
        <v>60</v>
      </c>
      <c r="F60" t="s">
        <v>56</v>
      </c>
      <c r="G60" t="s">
        <v>32</v>
      </c>
      <c r="H60">
        <v>219</v>
      </c>
      <c r="I60">
        <v>172</v>
      </c>
      <c r="J60">
        <v>7</v>
      </c>
      <c r="K60">
        <v>3.1</v>
      </c>
      <c r="L60">
        <v>32134.82</v>
      </c>
      <c r="M60">
        <v>4.8499999999999996</v>
      </c>
      <c r="N60">
        <v>106.7</v>
      </c>
      <c r="O60">
        <v>295</v>
      </c>
      <c r="P60" s="2">
        <v>46148</v>
      </c>
      <c r="Q60" s="2">
        <v>46148</v>
      </c>
      <c r="R60" t="s">
        <v>100</v>
      </c>
      <c r="S60" t="s">
        <v>33</v>
      </c>
    </row>
    <row r="61" spans="1:19" x14ac:dyDescent="0.25">
      <c r="A61" t="s">
        <v>145</v>
      </c>
      <c r="B61" s="2">
        <v>46083</v>
      </c>
      <c r="C61" t="s">
        <v>35</v>
      </c>
      <c r="D61" t="s">
        <v>36</v>
      </c>
      <c r="E61" t="s">
        <v>69</v>
      </c>
      <c r="F61" t="s">
        <v>83</v>
      </c>
      <c r="G61" t="s">
        <v>32</v>
      </c>
      <c r="H61">
        <v>227</v>
      </c>
      <c r="I61">
        <v>192</v>
      </c>
      <c r="J61">
        <v>13</v>
      </c>
      <c r="K61">
        <v>0.2</v>
      </c>
      <c r="L61">
        <v>19227.11</v>
      </c>
      <c r="M61">
        <v>3.49</v>
      </c>
      <c r="N61">
        <v>62.82</v>
      </c>
      <c r="O61">
        <v>314</v>
      </c>
      <c r="P61" s="2">
        <v>46089</v>
      </c>
      <c r="Q61" s="2">
        <v>46089</v>
      </c>
      <c r="R61" t="s">
        <v>39</v>
      </c>
      <c r="S61" t="s">
        <v>51</v>
      </c>
    </row>
    <row r="62" spans="1:19" x14ac:dyDescent="0.25">
      <c r="A62" t="s">
        <v>146</v>
      </c>
      <c r="B62" s="2">
        <v>46185</v>
      </c>
      <c r="C62" t="s">
        <v>28</v>
      </c>
      <c r="D62" t="s">
        <v>29</v>
      </c>
      <c r="E62" t="s">
        <v>30</v>
      </c>
      <c r="F62" t="s">
        <v>91</v>
      </c>
      <c r="G62" t="s">
        <v>24</v>
      </c>
      <c r="H62">
        <v>144</v>
      </c>
      <c r="I62">
        <v>145</v>
      </c>
      <c r="J62">
        <v>10</v>
      </c>
      <c r="K62">
        <v>5.9</v>
      </c>
      <c r="L62">
        <v>38461.040000000001</v>
      </c>
      <c r="M62">
        <v>5.75</v>
      </c>
      <c r="N62">
        <v>103.5</v>
      </c>
      <c r="O62">
        <v>183</v>
      </c>
      <c r="P62" s="2">
        <v>46194</v>
      </c>
      <c r="Q62" s="2">
        <v>46192</v>
      </c>
      <c r="R62" t="s">
        <v>39</v>
      </c>
      <c r="S62" t="s">
        <v>51</v>
      </c>
    </row>
    <row r="63" spans="1:19" x14ac:dyDescent="0.25">
      <c r="A63" t="s">
        <v>147</v>
      </c>
      <c r="B63" s="2">
        <v>46046</v>
      </c>
      <c r="C63" t="s">
        <v>59</v>
      </c>
      <c r="D63" t="s">
        <v>49</v>
      </c>
      <c r="E63" t="s">
        <v>76</v>
      </c>
      <c r="F63" t="s">
        <v>112</v>
      </c>
      <c r="G63" t="s">
        <v>32</v>
      </c>
      <c r="H63">
        <v>271</v>
      </c>
      <c r="I63">
        <v>243</v>
      </c>
      <c r="J63">
        <v>5</v>
      </c>
      <c r="K63">
        <v>7.1</v>
      </c>
      <c r="L63">
        <v>46454.34</v>
      </c>
      <c r="M63">
        <v>7.3</v>
      </c>
      <c r="N63">
        <v>160.6</v>
      </c>
      <c r="O63">
        <v>273</v>
      </c>
      <c r="P63" s="2">
        <v>46052</v>
      </c>
      <c r="Q63" s="2">
        <v>46056</v>
      </c>
      <c r="R63" t="s">
        <v>25</v>
      </c>
      <c r="S63" t="s">
        <v>33</v>
      </c>
    </row>
    <row r="64" spans="1:19" x14ac:dyDescent="0.25">
      <c r="A64" t="s">
        <v>148</v>
      </c>
      <c r="B64" s="2">
        <v>46142</v>
      </c>
      <c r="C64" t="s">
        <v>20</v>
      </c>
      <c r="D64" t="s">
        <v>21</v>
      </c>
      <c r="E64" t="s">
        <v>22</v>
      </c>
      <c r="F64" t="s">
        <v>137</v>
      </c>
      <c r="G64" t="s">
        <v>57</v>
      </c>
      <c r="H64">
        <v>273</v>
      </c>
      <c r="I64">
        <v>310</v>
      </c>
      <c r="J64">
        <v>25</v>
      </c>
      <c r="K64">
        <v>6.5</v>
      </c>
      <c r="L64">
        <v>132468.12</v>
      </c>
      <c r="M64">
        <v>11.57</v>
      </c>
      <c r="N64">
        <v>254.54</v>
      </c>
      <c r="O64">
        <v>256</v>
      </c>
      <c r="P64" s="2">
        <v>46150</v>
      </c>
      <c r="Q64" s="2">
        <v>46148</v>
      </c>
      <c r="R64" t="s">
        <v>25</v>
      </c>
      <c r="S64" t="s">
        <v>72</v>
      </c>
    </row>
    <row r="65" spans="1:19" x14ac:dyDescent="0.25">
      <c r="A65" t="s">
        <v>149</v>
      </c>
      <c r="B65" s="2">
        <v>46117</v>
      </c>
      <c r="C65" t="s">
        <v>59</v>
      </c>
      <c r="D65" t="s">
        <v>49</v>
      </c>
      <c r="E65" t="s">
        <v>60</v>
      </c>
      <c r="F65" t="s">
        <v>110</v>
      </c>
      <c r="G65" t="s">
        <v>32</v>
      </c>
      <c r="H65">
        <v>177</v>
      </c>
      <c r="I65">
        <v>190</v>
      </c>
      <c r="J65">
        <v>17</v>
      </c>
      <c r="K65">
        <v>1</v>
      </c>
      <c r="L65">
        <v>26184.74</v>
      </c>
      <c r="M65">
        <v>7.45</v>
      </c>
      <c r="N65">
        <v>193.7</v>
      </c>
      <c r="O65">
        <v>220</v>
      </c>
      <c r="P65" s="2">
        <v>46128</v>
      </c>
      <c r="Q65" s="2">
        <v>46128</v>
      </c>
      <c r="R65" t="s">
        <v>25</v>
      </c>
      <c r="S65" t="s">
        <v>86</v>
      </c>
    </row>
    <row r="66" spans="1:19" x14ac:dyDescent="0.25">
      <c r="A66" t="s">
        <v>150</v>
      </c>
      <c r="B66" s="2">
        <v>46189</v>
      </c>
      <c r="C66" t="s">
        <v>35</v>
      </c>
      <c r="D66" t="s">
        <v>36</v>
      </c>
      <c r="E66" t="s">
        <v>37</v>
      </c>
      <c r="F66" t="s">
        <v>112</v>
      </c>
      <c r="G66" t="s">
        <v>24</v>
      </c>
      <c r="H66">
        <v>115</v>
      </c>
      <c r="I66">
        <v>85</v>
      </c>
      <c r="J66">
        <v>0</v>
      </c>
      <c r="K66">
        <v>9</v>
      </c>
      <c r="L66">
        <v>6265.93</v>
      </c>
      <c r="M66">
        <v>2.63</v>
      </c>
      <c r="N66">
        <v>63.12</v>
      </c>
      <c r="O66">
        <v>191</v>
      </c>
      <c r="P66" s="2">
        <v>46196</v>
      </c>
      <c r="Q66" s="2">
        <v>46198</v>
      </c>
      <c r="R66" t="s">
        <v>39</v>
      </c>
      <c r="S66" t="s">
        <v>51</v>
      </c>
    </row>
    <row r="67" spans="1:19" x14ac:dyDescent="0.25">
      <c r="A67" t="s">
        <v>151</v>
      </c>
      <c r="B67" s="2">
        <v>46129</v>
      </c>
      <c r="C67" t="s">
        <v>20</v>
      </c>
      <c r="D67" t="s">
        <v>21</v>
      </c>
      <c r="E67" t="s">
        <v>90</v>
      </c>
      <c r="F67" t="s">
        <v>38</v>
      </c>
      <c r="G67" t="s">
        <v>24</v>
      </c>
      <c r="H67">
        <v>237</v>
      </c>
      <c r="I67">
        <v>212</v>
      </c>
      <c r="J67">
        <v>19</v>
      </c>
      <c r="K67">
        <v>0.3</v>
      </c>
      <c r="L67">
        <v>64464.05</v>
      </c>
      <c r="M67">
        <v>8.65</v>
      </c>
      <c r="N67">
        <v>190.3</v>
      </c>
      <c r="O67">
        <v>222</v>
      </c>
      <c r="P67" s="2">
        <v>46141</v>
      </c>
      <c r="Q67" s="2">
        <v>46142</v>
      </c>
      <c r="R67" t="s">
        <v>39</v>
      </c>
      <c r="S67" t="s">
        <v>86</v>
      </c>
    </row>
    <row r="68" spans="1:19" x14ac:dyDescent="0.25">
      <c r="A68" t="s">
        <v>152</v>
      </c>
      <c r="B68" s="2">
        <v>46038</v>
      </c>
      <c r="C68" t="s">
        <v>35</v>
      </c>
      <c r="D68" t="s">
        <v>36</v>
      </c>
      <c r="E68" t="s">
        <v>69</v>
      </c>
      <c r="F68" t="s">
        <v>83</v>
      </c>
      <c r="G68" t="s">
        <v>24</v>
      </c>
      <c r="H68">
        <v>128</v>
      </c>
      <c r="I68">
        <v>145</v>
      </c>
      <c r="J68">
        <v>13</v>
      </c>
      <c r="K68">
        <v>7.4</v>
      </c>
      <c r="L68">
        <v>10510.58</v>
      </c>
      <c r="M68">
        <v>4.84</v>
      </c>
      <c r="N68">
        <v>87.12</v>
      </c>
      <c r="O68">
        <v>100</v>
      </c>
      <c r="P68" s="2">
        <v>46045</v>
      </c>
      <c r="Q68" s="2">
        <v>46045</v>
      </c>
      <c r="R68" t="s">
        <v>25</v>
      </c>
      <c r="S68" t="s">
        <v>51</v>
      </c>
    </row>
    <row r="69" spans="1:19" x14ac:dyDescent="0.25">
      <c r="A69" t="s">
        <v>153</v>
      </c>
      <c r="B69" s="2">
        <v>46040</v>
      </c>
      <c r="C69" t="s">
        <v>28</v>
      </c>
      <c r="D69" t="s">
        <v>29</v>
      </c>
      <c r="E69" t="s">
        <v>30</v>
      </c>
      <c r="F69" t="s">
        <v>71</v>
      </c>
      <c r="G69" t="s">
        <v>24</v>
      </c>
      <c r="H69">
        <v>135</v>
      </c>
      <c r="I69">
        <v>144</v>
      </c>
      <c r="J69">
        <v>3</v>
      </c>
      <c r="K69">
        <v>7</v>
      </c>
      <c r="L69">
        <v>37272.769999999997</v>
      </c>
      <c r="M69">
        <v>3.55</v>
      </c>
      <c r="N69">
        <v>71</v>
      </c>
      <c r="O69">
        <v>128</v>
      </c>
      <c r="P69" s="2">
        <v>46050</v>
      </c>
      <c r="Q69" s="2">
        <v>46050</v>
      </c>
      <c r="R69" t="s">
        <v>25</v>
      </c>
      <c r="S69" t="s">
        <v>33</v>
      </c>
    </row>
    <row r="70" spans="1:19" x14ac:dyDescent="0.25">
      <c r="A70" t="s">
        <v>154</v>
      </c>
      <c r="B70" s="2">
        <v>46056</v>
      </c>
      <c r="C70" t="s">
        <v>80</v>
      </c>
      <c r="D70" t="s">
        <v>21</v>
      </c>
      <c r="E70" t="s">
        <v>90</v>
      </c>
      <c r="F70" t="s">
        <v>85</v>
      </c>
      <c r="G70" t="s">
        <v>24</v>
      </c>
      <c r="H70">
        <v>282</v>
      </c>
      <c r="I70">
        <v>298</v>
      </c>
      <c r="J70">
        <v>17</v>
      </c>
      <c r="K70">
        <v>0.1</v>
      </c>
      <c r="L70">
        <v>65492.66</v>
      </c>
      <c r="M70">
        <v>8.3699999999999992</v>
      </c>
      <c r="N70">
        <v>150.66</v>
      </c>
      <c r="O70">
        <v>258</v>
      </c>
      <c r="P70" s="2">
        <v>46065</v>
      </c>
      <c r="Q70" s="2">
        <v>46069</v>
      </c>
      <c r="R70" t="s">
        <v>25</v>
      </c>
      <c r="S70" t="s">
        <v>33</v>
      </c>
    </row>
    <row r="71" spans="1:19" x14ac:dyDescent="0.25">
      <c r="A71" t="s">
        <v>155</v>
      </c>
      <c r="B71" s="2">
        <v>46138</v>
      </c>
      <c r="C71" t="s">
        <v>28</v>
      </c>
      <c r="D71" t="s">
        <v>29</v>
      </c>
      <c r="E71" t="s">
        <v>30</v>
      </c>
      <c r="F71" t="s">
        <v>106</v>
      </c>
      <c r="G71" t="s">
        <v>32</v>
      </c>
      <c r="H71">
        <v>91</v>
      </c>
      <c r="I71">
        <v>93</v>
      </c>
      <c r="J71">
        <v>8</v>
      </c>
      <c r="K71">
        <v>5.9</v>
      </c>
      <c r="L71">
        <v>20499.150000000001</v>
      </c>
      <c r="M71">
        <v>1.74</v>
      </c>
      <c r="N71">
        <v>41.76</v>
      </c>
      <c r="O71">
        <v>153</v>
      </c>
      <c r="P71" s="2">
        <v>46146</v>
      </c>
      <c r="Q71" s="2">
        <v>46145</v>
      </c>
      <c r="R71" t="s">
        <v>100</v>
      </c>
      <c r="S71" t="s">
        <v>33</v>
      </c>
    </row>
    <row r="72" spans="1:19" x14ac:dyDescent="0.25">
      <c r="A72" t="s">
        <v>156</v>
      </c>
      <c r="B72" s="2">
        <v>46043</v>
      </c>
      <c r="C72" t="s">
        <v>48</v>
      </c>
      <c r="D72" t="s">
        <v>49</v>
      </c>
      <c r="E72" t="s">
        <v>60</v>
      </c>
      <c r="F72" t="s">
        <v>83</v>
      </c>
      <c r="G72" t="s">
        <v>24</v>
      </c>
      <c r="H72">
        <v>117</v>
      </c>
      <c r="I72">
        <v>87</v>
      </c>
      <c r="J72">
        <v>2</v>
      </c>
      <c r="K72">
        <v>5.7</v>
      </c>
      <c r="L72">
        <v>16876.5</v>
      </c>
      <c r="M72">
        <v>3.64</v>
      </c>
      <c r="N72">
        <v>94.64</v>
      </c>
      <c r="O72">
        <v>152</v>
      </c>
      <c r="P72" s="2">
        <v>46052</v>
      </c>
      <c r="Q72" s="2">
        <v>46054</v>
      </c>
      <c r="R72" t="s">
        <v>25</v>
      </c>
      <c r="S72" t="s">
        <v>33</v>
      </c>
    </row>
    <row r="73" spans="1:19" x14ac:dyDescent="0.25">
      <c r="A73" t="s">
        <v>157</v>
      </c>
      <c r="B73" s="2">
        <v>46190</v>
      </c>
      <c r="C73" t="s">
        <v>28</v>
      </c>
      <c r="D73" t="s">
        <v>29</v>
      </c>
      <c r="E73" t="s">
        <v>95</v>
      </c>
      <c r="F73" t="s">
        <v>88</v>
      </c>
      <c r="G73" t="s">
        <v>57</v>
      </c>
      <c r="H73">
        <v>195</v>
      </c>
      <c r="I73">
        <v>214</v>
      </c>
      <c r="J73">
        <v>9</v>
      </c>
      <c r="K73">
        <v>7.4</v>
      </c>
      <c r="L73">
        <v>50034.46</v>
      </c>
      <c r="M73">
        <v>5.46</v>
      </c>
      <c r="N73">
        <v>120.12</v>
      </c>
      <c r="O73">
        <v>220</v>
      </c>
      <c r="P73" s="2">
        <v>46197</v>
      </c>
      <c r="Q73" s="2">
        <v>46197</v>
      </c>
      <c r="R73" t="s">
        <v>100</v>
      </c>
      <c r="S73" t="s">
        <v>33</v>
      </c>
    </row>
    <row r="74" spans="1:19" x14ac:dyDescent="0.25">
      <c r="A74" t="s">
        <v>158</v>
      </c>
      <c r="B74" s="2">
        <v>46046</v>
      </c>
      <c r="C74" t="s">
        <v>35</v>
      </c>
      <c r="D74" t="s">
        <v>36</v>
      </c>
      <c r="E74" t="s">
        <v>37</v>
      </c>
      <c r="F74" t="s">
        <v>125</v>
      </c>
      <c r="G74" t="s">
        <v>24</v>
      </c>
      <c r="H74">
        <v>270</v>
      </c>
      <c r="I74">
        <v>280</v>
      </c>
      <c r="J74">
        <v>21</v>
      </c>
      <c r="K74">
        <v>5</v>
      </c>
      <c r="L74">
        <v>27021.8</v>
      </c>
      <c r="M74">
        <v>7.26</v>
      </c>
      <c r="N74">
        <v>130.68</v>
      </c>
      <c r="O74">
        <v>335</v>
      </c>
      <c r="P74" s="2">
        <v>46053</v>
      </c>
      <c r="Q74" s="2">
        <v>46055</v>
      </c>
      <c r="R74" t="s">
        <v>25</v>
      </c>
      <c r="S74" t="s">
        <v>86</v>
      </c>
    </row>
    <row r="75" spans="1:19" x14ac:dyDescent="0.25">
      <c r="A75" t="s">
        <v>159</v>
      </c>
      <c r="B75" s="2">
        <v>46113</v>
      </c>
      <c r="C75" t="s">
        <v>20</v>
      </c>
      <c r="D75" t="s">
        <v>21</v>
      </c>
      <c r="E75" t="s">
        <v>66</v>
      </c>
      <c r="F75" t="s">
        <v>67</v>
      </c>
      <c r="G75" t="s">
        <v>24</v>
      </c>
      <c r="H75">
        <v>209</v>
      </c>
      <c r="I75">
        <v>169</v>
      </c>
      <c r="J75">
        <v>10</v>
      </c>
      <c r="K75">
        <v>2</v>
      </c>
      <c r="L75">
        <v>51358.14</v>
      </c>
      <c r="M75">
        <v>4.53</v>
      </c>
      <c r="N75">
        <v>99.66</v>
      </c>
      <c r="O75">
        <v>226</v>
      </c>
      <c r="P75" s="2">
        <v>46121</v>
      </c>
      <c r="Q75" s="2">
        <v>46119</v>
      </c>
      <c r="R75" t="s">
        <v>39</v>
      </c>
      <c r="S75" t="s">
        <v>86</v>
      </c>
    </row>
    <row r="76" spans="1:19" x14ac:dyDescent="0.25">
      <c r="A76" t="s">
        <v>160</v>
      </c>
      <c r="B76" s="2">
        <v>46030</v>
      </c>
      <c r="C76" t="s">
        <v>43</v>
      </c>
      <c r="D76" t="s">
        <v>44</v>
      </c>
      <c r="E76" t="s">
        <v>161</v>
      </c>
      <c r="F76" t="s">
        <v>112</v>
      </c>
      <c r="G76" t="s">
        <v>24</v>
      </c>
      <c r="H76">
        <v>259</v>
      </c>
      <c r="I76">
        <v>271</v>
      </c>
      <c r="J76">
        <v>23</v>
      </c>
      <c r="K76">
        <v>3.2</v>
      </c>
      <c r="L76">
        <v>25492.54</v>
      </c>
      <c r="M76">
        <v>9.15</v>
      </c>
      <c r="N76">
        <v>164.7</v>
      </c>
      <c r="O76">
        <v>255</v>
      </c>
      <c r="P76" s="2">
        <v>46042</v>
      </c>
      <c r="Q76" s="2">
        <v>46040</v>
      </c>
      <c r="R76" t="s">
        <v>25</v>
      </c>
      <c r="S76" t="s">
        <v>51</v>
      </c>
    </row>
    <row r="77" spans="1:19" x14ac:dyDescent="0.25">
      <c r="A77" t="s">
        <v>162</v>
      </c>
      <c r="B77" s="2">
        <v>46119</v>
      </c>
      <c r="C77" t="s">
        <v>35</v>
      </c>
      <c r="D77" t="s">
        <v>36</v>
      </c>
      <c r="E77" t="s">
        <v>69</v>
      </c>
      <c r="F77" t="s">
        <v>122</v>
      </c>
      <c r="G77" t="s">
        <v>32</v>
      </c>
      <c r="H77">
        <v>167</v>
      </c>
      <c r="I77">
        <v>131</v>
      </c>
      <c r="J77">
        <v>4</v>
      </c>
      <c r="K77">
        <v>2.9</v>
      </c>
      <c r="L77">
        <v>14338.63</v>
      </c>
      <c r="M77">
        <v>5.14</v>
      </c>
      <c r="N77">
        <v>102.8</v>
      </c>
      <c r="O77">
        <v>167</v>
      </c>
      <c r="P77" s="2">
        <v>46130</v>
      </c>
      <c r="Q77" s="2">
        <v>46128</v>
      </c>
      <c r="R77" t="s">
        <v>25</v>
      </c>
      <c r="S77" t="s">
        <v>72</v>
      </c>
    </row>
    <row r="78" spans="1:19" x14ac:dyDescent="0.25">
      <c r="A78" t="s">
        <v>163</v>
      </c>
      <c r="B78" s="2">
        <v>46147</v>
      </c>
      <c r="C78" t="s">
        <v>53</v>
      </c>
      <c r="D78" t="s">
        <v>54</v>
      </c>
      <c r="E78" t="s">
        <v>131</v>
      </c>
      <c r="F78" t="s">
        <v>104</v>
      </c>
      <c r="G78" t="s">
        <v>57</v>
      </c>
      <c r="H78">
        <v>149</v>
      </c>
      <c r="I78">
        <v>121</v>
      </c>
      <c r="J78">
        <v>6</v>
      </c>
      <c r="K78">
        <v>3.1</v>
      </c>
      <c r="L78">
        <v>15575.49</v>
      </c>
      <c r="M78">
        <v>3.9</v>
      </c>
      <c r="N78">
        <v>101.4</v>
      </c>
      <c r="O78">
        <v>187</v>
      </c>
      <c r="P78" s="2">
        <v>46149</v>
      </c>
      <c r="Q78" s="2">
        <v>46149</v>
      </c>
      <c r="R78" t="s">
        <v>100</v>
      </c>
      <c r="S78" t="s">
        <v>33</v>
      </c>
    </row>
    <row r="79" spans="1:19" x14ac:dyDescent="0.25">
      <c r="A79" t="s">
        <v>164</v>
      </c>
      <c r="B79" s="2">
        <v>46075</v>
      </c>
      <c r="C79" t="s">
        <v>59</v>
      </c>
      <c r="D79" t="s">
        <v>49</v>
      </c>
      <c r="E79" t="s">
        <v>50</v>
      </c>
      <c r="F79" t="s">
        <v>46</v>
      </c>
      <c r="G79" t="s">
        <v>24</v>
      </c>
      <c r="H79">
        <v>276</v>
      </c>
      <c r="I79">
        <v>215</v>
      </c>
      <c r="J79">
        <v>6</v>
      </c>
      <c r="K79">
        <v>3</v>
      </c>
      <c r="L79">
        <v>32933.67</v>
      </c>
      <c r="M79">
        <v>4.78</v>
      </c>
      <c r="N79">
        <v>114.72</v>
      </c>
      <c r="O79">
        <v>372</v>
      </c>
      <c r="P79" s="2">
        <v>46080</v>
      </c>
      <c r="Q79" s="2">
        <v>46081</v>
      </c>
      <c r="R79" t="s">
        <v>25</v>
      </c>
      <c r="S79" t="s">
        <v>33</v>
      </c>
    </row>
    <row r="80" spans="1:19" x14ac:dyDescent="0.25">
      <c r="A80" t="s">
        <v>165</v>
      </c>
      <c r="B80" s="2">
        <v>46134</v>
      </c>
      <c r="C80" t="s">
        <v>80</v>
      </c>
      <c r="D80" t="s">
        <v>21</v>
      </c>
      <c r="E80" t="s">
        <v>90</v>
      </c>
      <c r="F80" t="s">
        <v>74</v>
      </c>
      <c r="G80" t="s">
        <v>24</v>
      </c>
      <c r="H80">
        <v>315</v>
      </c>
      <c r="I80">
        <v>237</v>
      </c>
      <c r="J80">
        <v>7</v>
      </c>
      <c r="K80">
        <v>3.9</v>
      </c>
      <c r="L80">
        <v>63322.91</v>
      </c>
      <c r="M80">
        <v>5.91</v>
      </c>
      <c r="N80">
        <v>141.84</v>
      </c>
      <c r="O80">
        <v>280</v>
      </c>
      <c r="P80" s="2">
        <v>46141</v>
      </c>
      <c r="Q80" s="2">
        <v>46141</v>
      </c>
      <c r="R80" t="s">
        <v>39</v>
      </c>
      <c r="S80" t="s">
        <v>86</v>
      </c>
    </row>
    <row r="81" spans="1:19" x14ac:dyDescent="0.25">
      <c r="A81" t="s">
        <v>166</v>
      </c>
      <c r="B81" s="2">
        <v>46045</v>
      </c>
      <c r="C81" t="s">
        <v>35</v>
      </c>
      <c r="D81" t="s">
        <v>36</v>
      </c>
      <c r="E81" t="s">
        <v>37</v>
      </c>
      <c r="F81" t="s">
        <v>85</v>
      </c>
      <c r="G81" t="s">
        <v>57</v>
      </c>
      <c r="H81">
        <v>142</v>
      </c>
      <c r="I81">
        <v>128</v>
      </c>
      <c r="J81">
        <v>5</v>
      </c>
      <c r="K81">
        <v>0.7</v>
      </c>
      <c r="L81">
        <v>14236.68</v>
      </c>
      <c r="M81">
        <v>2.98</v>
      </c>
      <c r="N81">
        <v>59.6</v>
      </c>
      <c r="O81">
        <v>121</v>
      </c>
      <c r="P81" s="2">
        <v>46055</v>
      </c>
      <c r="Q81" s="2">
        <v>46054</v>
      </c>
      <c r="R81" t="s">
        <v>39</v>
      </c>
      <c r="S81" t="s">
        <v>86</v>
      </c>
    </row>
    <row r="82" spans="1:19" x14ac:dyDescent="0.25">
      <c r="A82" t="s">
        <v>167</v>
      </c>
      <c r="B82" s="2">
        <v>46112</v>
      </c>
      <c r="C82" t="s">
        <v>43</v>
      </c>
      <c r="D82" t="s">
        <v>44</v>
      </c>
      <c r="E82" t="s">
        <v>93</v>
      </c>
      <c r="F82" t="s">
        <v>110</v>
      </c>
      <c r="G82" t="s">
        <v>24</v>
      </c>
      <c r="H82">
        <v>106</v>
      </c>
      <c r="I82">
        <v>82</v>
      </c>
      <c r="J82">
        <v>1</v>
      </c>
      <c r="K82">
        <v>5.4</v>
      </c>
      <c r="L82">
        <v>10973.95</v>
      </c>
      <c r="M82">
        <v>1.82</v>
      </c>
      <c r="N82">
        <v>43.68</v>
      </c>
      <c r="O82">
        <v>184</v>
      </c>
      <c r="P82" s="2">
        <v>46123</v>
      </c>
      <c r="Q82" s="2">
        <v>46127</v>
      </c>
      <c r="R82" t="s">
        <v>39</v>
      </c>
      <c r="S82" t="s">
        <v>26</v>
      </c>
    </row>
    <row r="83" spans="1:19" x14ac:dyDescent="0.25">
      <c r="A83" t="s">
        <v>168</v>
      </c>
      <c r="B83" s="2">
        <v>46105</v>
      </c>
      <c r="C83" t="s">
        <v>48</v>
      </c>
      <c r="D83" t="s">
        <v>49</v>
      </c>
      <c r="E83" t="s">
        <v>50</v>
      </c>
      <c r="F83" t="s">
        <v>91</v>
      </c>
      <c r="G83" t="s">
        <v>32</v>
      </c>
      <c r="H83">
        <v>192</v>
      </c>
      <c r="I83">
        <v>143</v>
      </c>
      <c r="J83">
        <v>6</v>
      </c>
      <c r="K83">
        <v>2.7</v>
      </c>
      <c r="L83">
        <v>23160.34</v>
      </c>
      <c r="M83">
        <v>4.32</v>
      </c>
      <c r="N83">
        <v>95.04</v>
      </c>
      <c r="O83">
        <v>270</v>
      </c>
      <c r="P83" s="2">
        <v>46114</v>
      </c>
      <c r="Q83" s="2">
        <v>46112</v>
      </c>
      <c r="R83" t="s">
        <v>25</v>
      </c>
      <c r="S83" t="s">
        <v>33</v>
      </c>
    </row>
    <row r="84" spans="1:19" x14ac:dyDescent="0.25">
      <c r="A84" t="s">
        <v>169</v>
      </c>
      <c r="B84" s="2">
        <v>46188</v>
      </c>
      <c r="C84" t="s">
        <v>20</v>
      </c>
      <c r="D84" t="s">
        <v>21</v>
      </c>
      <c r="E84" t="s">
        <v>66</v>
      </c>
      <c r="F84" t="s">
        <v>170</v>
      </c>
      <c r="G84" t="s">
        <v>57</v>
      </c>
      <c r="H84">
        <v>232</v>
      </c>
      <c r="I84">
        <v>217</v>
      </c>
      <c r="J84">
        <v>10</v>
      </c>
      <c r="K84">
        <v>5</v>
      </c>
      <c r="L84">
        <v>85888.63</v>
      </c>
      <c r="M84">
        <v>6.25</v>
      </c>
      <c r="N84">
        <v>162.5</v>
      </c>
      <c r="O84">
        <v>240</v>
      </c>
      <c r="P84" s="2">
        <v>46195</v>
      </c>
      <c r="Q84" s="2">
        <v>46199</v>
      </c>
      <c r="R84" t="s">
        <v>39</v>
      </c>
      <c r="S84" t="s">
        <v>72</v>
      </c>
    </row>
    <row r="85" spans="1:19" x14ac:dyDescent="0.25">
      <c r="A85" t="s">
        <v>171</v>
      </c>
      <c r="B85" s="2">
        <v>46049</v>
      </c>
      <c r="C85" t="s">
        <v>48</v>
      </c>
      <c r="D85" t="s">
        <v>49</v>
      </c>
      <c r="E85" t="s">
        <v>60</v>
      </c>
      <c r="F85" t="s">
        <v>77</v>
      </c>
      <c r="G85" t="s">
        <v>32</v>
      </c>
      <c r="H85">
        <v>101</v>
      </c>
      <c r="I85">
        <v>94</v>
      </c>
      <c r="J85">
        <v>1</v>
      </c>
      <c r="K85">
        <v>2.2000000000000002</v>
      </c>
      <c r="L85">
        <v>18082.95</v>
      </c>
      <c r="M85">
        <v>2.87</v>
      </c>
      <c r="N85">
        <v>57.4</v>
      </c>
      <c r="O85">
        <v>154</v>
      </c>
      <c r="P85" s="2">
        <v>46056</v>
      </c>
      <c r="Q85" s="2">
        <v>46056</v>
      </c>
      <c r="R85" t="s">
        <v>100</v>
      </c>
      <c r="S85" t="s">
        <v>26</v>
      </c>
    </row>
    <row r="86" spans="1:19" x14ac:dyDescent="0.25">
      <c r="A86" t="s">
        <v>172</v>
      </c>
      <c r="B86" s="2">
        <v>46036</v>
      </c>
      <c r="C86" t="s">
        <v>48</v>
      </c>
      <c r="D86" t="s">
        <v>49</v>
      </c>
      <c r="E86" t="s">
        <v>50</v>
      </c>
      <c r="F86" t="s">
        <v>125</v>
      </c>
      <c r="G86" t="s">
        <v>24</v>
      </c>
      <c r="H86">
        <v>164</v>
      </c>
      <c r="I86">
        <v>124</v>
      </c>
      <c r="J86">
        <v>8</v>
      </c>
      <c r="K86">
        <v>2.6</v>
      </c>
      <c r="L86">
        <v>27924.2</v>
      </c>
      <c r="M86">
        <v>4.93</v>
      </c>
      <c r="N86">
        <v>98.6</v>
      </c>
      <c r="O86">
        <v>209</v>
      </c>
      <c r="P86" s="2">
        <v>46039</v>
      </c>
      <c r="Q86" s="2">
        <v>46039</v>
      </c>
      <c r="R86" t="s">
        <v>25</v>
      </c>
      <c r="S86" t="s">
        <v>72</v>
      </c>
    </row>
    <row r="87" spans="1:19" x14ac:dyDescent="0.25">
      <c r="A87" t="s">
        <v>173</v>
      </c>
      <c r="B87" s="2">
        <v>46056</v>
      </c>
      <c r="C87" t="s">
        <v>20</v>
      </c>
      <c r="D87" t="s">
        <v>21</v>
      </c>
      <c r="E87" t="s">
        <v>90</v>
      </c>
      <c r="F87" t="s">
        <v>91</v>
      </c>
      <c r="G87" t="s">
        <v>57</v>
      </c>
      <c r="H87">
        <v>223</v>
      </c>
      <c r="I87">
        <v>196</v>
      </c>
      <c r="J87">
        <v>14</v>
      </c>
      <c r="K87">
        <v>7.3</v>
      </c>
      <c r="L87">
        <v>73294.320000000007</v>
      </c>
      <c r="M87">
        <v>7</v>
      </c>
      <c r="N87">
        <v>182</v>
      </c>
      <c r="O87">
        <v>206</v>
      </c>
      <c r="P87" s="2">
        <v>46068</v>
      </c>
      <c r="Q87" s="2">
        <v>46070</v>
      </c>
      <c r="R87" t="s">
        <v>39</v>
      </c>
      <c r="S87" t="s">
        <v>86</v>
      </c>
    </row>
    <row r="88" spans="1:19" x14ac:dyDescent="0.25">
      <c r="A88" t="s">
        <v>174</v>
      </c>
      <c r="B88" s="2">
        <v>46102</v>
      </c>
      <c r="C88" t="s">
        <v>43</v>
      </c>
      <c r="D88" t="s">
        <v>44</v>
      </c>
      <c r="E88" t="s">
        <v>93</v>
      </c>
      <c r="F88" t="s">
        <v>38</v>
      </c>
      <c r="G88" t="s">
        <v>24</v>
      </c>
      <c r="H88">
        <v>167</v>
      </c>
      <c r="I88">
        <v>188</v>
      </c>
      <c r="J88">
        <v>9</v>
      </c>
      <c r="K88">
        <v>2</v>
      </c>
      <c r="L88">
        <v>17029.830000000002</v>
      </c>
      <c r="M88">
        <v>7.19</v>
      </c>
      <c r="N88">
        <v>129.41999999999999</v>
      </c>
      <c r="O88">
        <v>256</v>
      </c>
      <c r="P88" s="2">
        <v>46112</v>
      </c>
      <c r="Q88" s="2">
        <v>46110</v>
      </c>
      <c r="R88" t="s">
        <v>25</v>
      </c>
      <c r="S88" t="s">
        <v>51</v>
      </c>
    </row>
    <row r="89" spans="1:19" x14ac:dyDescent="0.25">
      <c r="A89" t="s">
        <v>175</v>
      </c>
      <c r="B89" s="2">
        <v>46175</v>
      </c>
      <c r="C89" t="s">
        <v>35</v>
      </c>
      <c r="D89" t="s">
        <v>36</v>
      </c>
      <c r="E89" t="s">
        <v>37</v>
      </c>
      <c r="F89" t="s">
        <v>23</v>
      </c>
      <c r="G89" t="s">
        <v>24</v>
      </c>
      <c r="H89">
        <v>121</v>
      </c>
      <c r="I89">
        <v>96</v>
      </c>
      <c r="J89">
        <v>6</v>
      </c>
      <c r="K89">
        <v>5.6</v>
      </c>
      <c r="L89">
        <v>10719.78</v>
      </c>
      <c r="M89">
        <v>1.83</v>
      </c>
      <c r="N89">
        <v>40.26</v>
      </c>
      <c r="O89">
        <v>141</v>
      </c>
      <c r="P89" s="2">
        <v>46184</v>
      </c>
      <c r="Q89" s="2">
        <v>46184</v>
      </c>
      <c r="R89" t="s">
        <v>100</v>
      </c>
      <c r="S89" t="s">
        <v>51</v>
      </c>
    </row>
    <row r="90" spans="1:19" x14ac:dyDescent="0.25">
      <c r="A90" t="s">
        <v>176</v>
      </c>
      <c r="B90" s="2">
        <v>46102</v>
      </c>
      <c r="C90" t="s">
        <v>53</v>
      </c>
      <c r="D90" t="s">
        <v>54</v>
      </c>
      <c r="E90" t="s">
        <v>55</v>
      </c>
      <c r="F90" t="s">
        <v>64</v>
      </c>
      <c r="G90" t="s">
        <v>24</v>
      </c>
      <c r="H90">
        <v>174</v>
      </c>
      <c r="I90">
        <v>176</v>
      </c>
      <c r="J90">
        <v>9</v>
      </c>
      <c r="K90">
        <v>4</v>
      </c>
      <c r="L90">
        <v>29639.05</v>
      </c>
      <c r="M90">
        <v>5.29</v>
      </c>
      <c r="N90">
        <v>126.96</v>
      </c>
      <c r="O90">
        <v>175</v>
      </c>
      <c r="P90" s="2">
        <v>46107</v>
      </c>
      <c r="Q90" s="2">
        <v>46107</v>
      </c>
      <c r="R90" t="s">
        <v>25</v>
      </c>
      <c r="S90" t="s">
        <v>72</v>
      </c>
    </row>
    <row r="91" spans="1:19" x14ac:dyDescent="0.25">
      <c r="A91" t="s">
        <v>177</v>
      </c>
      <c r="B91" s="2">
        <v>46118</v>
      </c>
      <c r="C91" t="s">
        <v>20</v>
      </c>
      <c r="D91" t="s">
        <v>21</v>
      </c>
      <c r="E91" t="s">
        <v>66</v>
      </c>
      <c r="F91" t="s">
        <v>67</v>
      </c>
      <c r="G91" t="s">
        <v>57</v>
      </c>
      <c r="H91">
        <v>296</v>
      </c>
      <c r="I91">
        <v>278</v>
      </c>
      <c r="J91">
        <v>4</v>
      </c>
      <c r="K91">
        <v>0.8</v>
      </c>
      <c r="L91">
        <v>77948.55</v>
      </c>
      <c r="M91">
        <v>8.43</v>
      </c>
      <c r="N91">
        <v>202.32</v>
      </c>
      <c r="O91">
        <v>279</v>
      </c>
      <c r="P91" s="2">
        <v>46123</v>
      </c>
      <c r="Q91" s="2">
        <v>46127</v>
      </c>
      <c r="R91" t="s">
        <v>25</v>
      </c>
      <c r="S91" t="s">
        <v>72</v>
      </c>
    </row>
    <row r="92" spans="1:19" x14ac:dyDescent="0.25">
      <c r="A92" t="s">
        <v>178</v>
      </c>
      <c r="B92" s="2">
        <v>46036</v>
      </c>
      <c r="C92" t="s">
        <v>35</v>
      </c>
      <c r="D92" t="s">
        <v>36</v>
      </c>
      <c r="E92" t="s">
        <v>69</v>
      </c>
      <c r="F92" t="s">
        <v>67</v>
      </c>
      <c r="G92" t="s">
        <v>32</v>
      </c>
      <c r="H92">
        <v>140</v>
      </c>
      <c r="I92">
        <v>124</v>
      </c>
      <c r="J92">
        <v>1</v>
      </c>
      <c r="K92">
        <v>2</v>
      </c>
      <c r="L92">
        <v>9526.6</v>
      </c>
      <c r="M92">
        <v>4.3600000000000003</v>
      </c>
      <c r="N92">
        <v>95.92</v>
      </c>
      <c r="O92">
        <v>137</v>
      </c>
      <c r="P92" s="2">
        <v>46040</v>
      </c>
      <c r="Q92" s="2">
        <v>46038</v>
      </c>
      <c r="R92" t="s">
        <v>25</v>
      </c>
      <c r="S92" t="s">
        <v>51</v>
      </c>
    </row>
    <row r="93" spans="1:19" x14ac:dyDescent="0.25">
      <c r="A93" t="s">
        <v>179</v>
      </c>
      <c r="B93" s="2">
        <v>46143</v>
      </c>
      <c r="C93" t="s">
        <v>53</v>
      </c>
      <c r="D93" t="s">
        <v>54</v>
      </c>
      <c r="E93" t="s">
        <v>55</v>
      </c>
      <c r="F93" t="s">
        <v>64</v>
      </c>
      <c r="G93" t="s">
        <v>57</v>
      </c>
      <c r="H93">
        <v>311</v>
      </c>
      <c r="I93">
        <v>234</v>
      </c>
      <c r="J93">
        <v>6</v>
      </c>
      <c r="K93">
        <v>7.5</v>
      </c>
      <c r="L93">
        <v>36089.75</v>
      </c>
      <c r="M93">
        <v>7.18</v>
      </c>
      <c r="N93">
        <v>129.24</v>
      </c>
      <c r="O93">
        <v>344</v>
      </c>
      <c r="P93" s="2">
        <v>46148</v>
      </c>
      <c r="Q93" s="2">
        <v>46148</v>
      </c>
      <c r="R93" t="s">
        <v>25</v>
      </c>
      <c r="S93" t="s">
        <v>72</v>
      </c>
    </row>
    <row r="94" spans="1:19" x14ac:dyDescent="0.25">
      <c r="A94" t="s">
        <v>180</v>
      </c>
      <c r="B94" s="2">
        <v>46186</v>
      </c>
      <c r="C94" t="s">
        <v>53</v>
      </c>
      <c r="D94" t="s">
        <v>54</v>
      </c>
      <c r="E94" t="s">
        <v>55</v>
      </c>
      <c r="F94" t="s">
        <v>114</v>
      </c>
      <c r="G94" t="s">
        <v>32</v>
      </c>
      <c r="H94">
        <v>108</v>
      </c>
      <c r="I94">
        <v>116</v>
      </c>
      <c r="J94">
        <v>5</v>
      </c>
      <c r="K94">
        <v>4.8</v>
      </c>
      <c r="L94">
        <v>17709.61</v>
      </c>
      <c r="M94">
        <v>4.09</v>
      </c>
      <c r="N94">
        <v>89.98</v>
      </c>
      <c r="O94">
        <v>177</v>
      </c>
      <c r="P94" s="2">
        <v>46188</v>
      </c>
      <c r="Q94" s="2">
        <v>46189</v>
      </c>
      <c r="R94" t="s">
        <v>25</v>
      </c>
      <c r="S94" t="s">
        <v>51</v>
      </c>
    </row>
    <row r="95" spans="1:19" x14ac:dyDescent="0.25">
      <c r="A95" t="s">
        <v>181</v>
      </c>
      <c r="B95" s="2">
        <v>46193</v>
      </c>
      <c r="C95" t="s">
        <v>20</v>
      </c>
      <c r="D95" t="s">
        <v>21</v>
      </c>
      <c r="E95" t="s">
        <v>66</v>
      </c>
      <c r="F95" t="s">
        <v>122</v>
      </c>
      <c r="G95" t="s">
        <v>24</v>
      </c>
      <c r="H95">
        <v>172</v>
      </c>
      <c r="J95">
        <v>6</v>
      </c>
      <c r="K95">
        <v>4.5999999999999996</v>
      </c>
      <c r="L95">
        <v>49446.78</v>
      </c>
      <c r="M95">
        <v>3.5</v>
      </c>
      <c r="N95">
        <v>84</v>
      </c>
      <c r="O95">
        <v>143</v>
      </c>
      <c r="P95" s="2">
        <v>46205</v>
      </c>
      <c r="Q95" s="2">
        <v>46207</v>
      </c>
      <c r="R95" t="s">
        <v>25</v>
      </c>
      <c r="S95" t="s">
        <v>33</v>
      </c>
    </row>
    <row r="96" spans="1:19" x14ac:dyDescent="0.25">
      <c r="A96" t="s">
        <v>182</v>
      </c>
      <c r="B96" s="2">
        <v>46114</v>
      </c>
      <c r="C96" t="s">
        <v>20</v>
      </c>
      <c r="D96" t="s">
        <v>21</v>
      </c>
      <c r="E96" t="s">
        <v>90</v>
      </c>
      <c r="F96" t="s">
        <v>106</v>
      </c>
      <c r="G96" t="s">
        <v>32</v>
      </c>
      <c r="H96">
        <v>141</v>
      </c>
      <c r="I96">
        <v>145</v>
      </c>
      <c r="J96">
        <v>8</v>
      </c>
      <c r="K96">
        <v>6.9</v>
      </c>
      <c r="L96">
        <v>48650.32</v>
      </c>
      <c r="M96">
        <v>2.76</v>
      </c>
      <c r="N96">
        <v>71.760000000000005</v>
      </c>
      <c r="O96">
        <v>187</v>
      </c>
      <c r="P96" s="2">
        <v>46126</v>
      </c>
      <c r="Q96" s="2">
        <v>46126</v>
      </c>
      <c r="R96" t="s">
        <v>100</v>
      </c>
      <c r="S96" t="s">
        <v>51</v>
      </c>
    </row>
    <row r="97" spans="1:19" x14ac:dyDescent="0.25">
      <c r="A97" t="s">
        <v>183</v>
      </c>
      <c r="B97" s="2">
        <v>46057</v>
      </c>
      <c r="C97" t="s">
        <v>20</v>
      </c>
      <c r="D97" t="s">
        <v>21</v>
      </c>
      <c r="E97" t="s">
        <v>66</v>
      </c>
      <c r="F97" t="s">
        <v>64</v>
      </c>
      <c r="G97" t="s">
        <v>24</v>
      </c>
      <c r="H97">
        <v>278</v>
      </c>
      <c r="I97">
        <v>312</v>
      </c>
      <c r="J97">
        <v>2</v>
      </c>
      <c r="K97">
        <v>1.8</v>
      </c>
      <c r="L97">
        <v>123159.7</v>
      </c>
      <c r="M97">
        <v>7.98</v>
      </c>
      <c r="N97">
        <v>175.56</v>
      </c>
      <c r="O97">
        <v>369</v>
      </c>
      <c r="P97" s="2">
        <v>46065</v>
      </c>
      <c r="Q97" s="2">
        <v>46069</v>
      </c>
      <c r="R97" t="s">
        <v>25</v>
      </c>
      <c r="S97" t="s">
        <v>51</v>
      </c>
    </row>
    <row r="98" spans="1:19" x14ac:dyDescent="0.25">
      <c r="A98" t="s">
        <v>184</v>
      </c>
      <c r="B98" s="2">
        <v>46096</v>
      </c>
      <c r="C98" t="s">
        <v>48</v>
      </c>
      <c r="D98" t="s">
        <v>49</v>
      </c>
      <c r="E98" t="s">
        <v>50</v>
      </c>
      <c r="F98" t="s">
        <v>91</v>
      </c>
      <c r="G98" t="s">
        <v>24</v>
      </c>
      <c r="H98">
        <v>301</v>
      </c>
      <c r="I98">
        <v>301</v>
      </c>
      <c r="J98">
        <v>8</v>
      </c>
      <c r="K98">
        <v>7.2</v>
      </c>
      <c r="L98">
        <v>57266.04</v>
      </c>
      <c r="M98">
        <v>8.59</v>
      </c>
      <c r="N98">
        <v>206.16</v>
      </c>
      <c r="O98">
        <v>347</v>
      </c>
      <c r="P98" s="2">
        <v>46100</v>
      </c>
      <c r="Q98" s="2">
        <v>46104</v>
      </c>
      <c r="R98" t="s">
        <v>100</v>
      </c>
      <c r="S98" t="s">
        <v>86</v>
      </c>
    </row>
    <row r="99" spans="1:19" x14ac:dyDescent="0.25">
      <c r="A99" t="s">
        <v>185</v>
      </c>
      <c r="B99" s="2">
        <v>46044</v>
      </c>
      <c r="C99" t="s">
        <v>35</v>
      </c>
      <c r="D99" t="s">
        <v>36</v>
      </c>
      <c r="E99" t="s">
        <v>37</v>
      </c>
      <c r="F99" t="s">
        <v>106</v>
      </c>
      <c r="G99" t="s">
        <v>32</v>
      </c>
      <c r="H99">
        <v>190</v>
      </c>
      <c r="I99">
        <v>186</v>
      </c>
      <c r="J99">
        <v>14</v>
      </c>
      <c r="K99">
        <v>4.9000000000000004</v>
      </c>
      <c r="L99">
        <v>14222.24</v>
      </c>
      <c r="M99">
        <v>6.3</v>
      </c>
      <c r="N99">
        <v>138.6</v>
      </c>
      <c r="O99">
        <v>264</v>
      </c>
      <c r="P99" s="2">
        <v>46055</v>
      </c>
      <c r="Q99" s="2">
        <v>46057</v>
      </c>
      <c r="R99" t="s">
        <v>25</v>
      </c>
      <c r="S99" t="s">
        <v>86</v>
      </c>
    </row>
    <row r="100" spans="1:19" x14ac:dyDescent="0.25">
      <c r="A100" t="s">
        <v>186</v>
      </c>
      <c r="B100" s="2">
        <v>46137</v>
      </c>
      <c r="C100" t="s">
        <v>80</v>
      </c>
      <c r="D100" t="s">
        <v>21</v>
      </c>
      <c r="E100" t="s">
        <v>66</v>
      </c>
      <c r="F100" t="s">
        <v>170</v>
      </c>
      <c r="G100" t="s">
        <v>24</v>
      </c>
      <c r="H100">
        <v>302</v>
      </c>
      <c r="I100">
        <v>335</v>
      </c>
      <c r="J100">
        <v>20</v>
      </c>
      <c r="K100">
        <v>3.9</v>
      </c>
      <c r="L100">
        <v>101152.3</v>
      </c>
      <c r="M100">
        <v>6.49</v>
      </c>
      <c r="N100">
        <v>155.76</v>
      </c>
      <c r="O100">
        <v>355</v>
      </c>
      <c r="P100" s="2">
        <v>46147</v>
      </c>
      <c r="Q100" s="2">
        <v>46147</v>
      </c>
      <c r="R100" t="s">
        <v>25</v>
      </c>
      <c r="S100" t="s">
        <v>72</v>
      </c>
    </row>
    <row r="101" spans="1:19" x14ac:dyDescent="0.25">
      <c r="A101" t="s">
        <v>187</v>
      </c>
      <c r="B101" s="2">
        <v>46031</v>
      </c>
      <c r="C101" t="s">
        <v>43</v>
      </c>
      <c r="D101" t="s">
        <v>44</v>
      </c>
      <c r="E101" t="s">
        <v>93</v>
      </c>
      <c r="F101" t="s">
        <v>170</v>
      </c>
      <c r="G101" t="s">
        <v>24</v>
      </c>
      <c r="H101">
        <v>140</v>
      </c>
      <c r="I101">
        <v>147</v>
      </c>
      <c r="J101">
        <v>5</v>
      </c>
      <c r="K101">
        <v>3.4</v>
      </c>
      <c r="L101">
        <v>18184.5</v>
      </c>
      <c r="M101">
        <v>5.04</v>
      </c>
      <c r="N101">
        <v>110.88</v>
      </c>
      <c r="O101">
        <v>195</v>
      </c>
      <c r="P101" s="2">
        <v>46040</v>
      </c>
      <c r="Q101" s="2">
        <v>46039</v>
      </c>
      <c r="R101" t="s">
        <v>39</v>
      </c>
      <c r="S101" t="s">
        <v>86</v>
      </c>
    </row>
    <row r="102" spans="1:19" x14ac:dyDescent="0.25">
      <c r="A102" t="s">
        <v>188</v>
      </c>
      <c r="B102" s="2">
        <v>46124</v>
      </c>
      <c r="C102" t="s">
        <v>48</v>
      </c>
      <c r="D102" t="s">
        <v>49</v>
      </c>
      <c r="E102" t="s">
        <v>60</v>
      </c>
      <c r="F102" t="s">
        <v>125</v>
      </c>
      <c r="G102" t="s">
        <v>24</v>
      </c>
      <c r="H102">
        <v>151</v>
      </c>
      <c r="I102">
        <v>124</v>
      </c>
      <c r="J102">
        <v>1</v>
      </c>
      <c r="K102">
        <v>6.6</v>
      </c>
      <c r="L102">
        <v>24044.400000000001</v>
      </c>
      <c r="M102">
        <v>3.9</v>
      </c>
      <c r="N102">
        <v>85.8</v>
      </c>
      <c r="O102">
        <v>177</v>
      </c>
      <c r="P102" s="2">
        <v>46133</v>
      </c>
      <c r="Q102" s="2">
        <v>46133</v>
      </c>
      <c r="R102" t="s">
        <v>39</v>
      </c>
      <c r="S102" t="s">
        <v>72</v>
      </c>
    </row>
    <row r="103" spans="1:19" x14ac:dyDescent="0.25">
      <c r="A103" t="s">
        <v>189</v>
      </c>
      <c r="B103" s="2">
        <v>46074</v>
      </c>
      <c r="C103" t="s">
        <v>20</v>
      </c>
      <c r="D103" t="s">
        <v>21</v>
      </c>
      <c r="E103" t="s">
        <v>22</v>
      </c>
      <c r="F103" t="s">
        <v>56</v>
      </c>
      <c r="G103" t="s">
        <v>57</v>
      </c>
      <c r="H103">
        <v>298</v>
      </c>
      <c r="I103">
        <v>224</v>
      </c>
      <c r="J103">
        <v>4</v>
      </c>
      <c r="K103">
        <v>6.4</v>
      </c>
      <c r="L103">
        <v>92638.49</v>
      </c>
      <c r="M103">
        <v>9.23</v>
      </c>
      <c r="N103">
        <v>203.06</v>
      </c>
      <c r="O103">
        <v>346</v>
      </c>
      <c r="P103" s="2">
        <v>46077</v>
      </c>
      <c r="Q103" s="2">
        <v>46077</v>
      </c>
      <c r="R103" t="s">
        <v>25</v>
      </c>
      <c r="S103" t="s">
        <v>51</v>
      </c>
    </row>
    <row r="104" spans="1:19" x14ac:dyDescent="0.25">
      <c r="A104" t="s">
        <v>190</v>
      </c>
      <c r="B104" s="2">
        <v>46115</v>
      </c>
      <c r="C104" t="s">
        <v>28</v>
      </c>
      <c r="D104" t="s">
        <v>29</v>
      </c>
      <c r="E104" t="s">
        <v>63</v>
      </c>
      <c r="F104" t="s">
        <v>125</v>
      </c>
      <c r="G104" t="s">
        <v>32</v>
      </c>
      <c r="H104">
        <v>131</v>
      </c>
      <c r="I104">
        <v>138</v>
      </c>
      <c r="J104">
        <v>3</v>
      </c>
      <c r="K104">
        <v>4.4000000000000004</v>
      </c>
      <c r="L104">
        <v>30546.880000000001</v>
      </c>
      <c r="M104">
        <v>4.03</v>
      </c>
      <c r="N104">
        <v>104.78</v>
      </c>
      <c r="O104">
        <v>124</v>
      </c>
      <c r="P104" s="2">
        <v>46126</v>
      </c>
      <c r="Q104" s="2">
        <v>46125</v>
      </c>
      <c r="R104" t="s">
        <v>25</v>
      </c>
      <c r="S104" t="s">
        <v>72</v>
      </c>
    </row>
    <row r="105" spans="1:19" x14ac:dyDescent="0.25">
      <c r="A105" t="s">
        <v>191</v>
      </c>
      <c r="B105" s="2">
        <v>46157</v>
      </c>
      <c r="C105" t="s">
        <v>35</v>
      </c>
      <c r="D105" t="s">
        <v>36</v>
      </c>
      <c r="E105" t="s">
        <v>69</v>
      </c>
      <c r="F105" t="s">
        <v>67</v>
      </c>
      <c r="G105" t="s">
        <v>57</v>
      </c>
      <c r="H105">
        <v>290</v>
      </c>
      <c r="I105">
        <v>280</v>
      </c>
      <c r="J105">
        <v>4</v>
      </c>
      <c r="K105">
        <v>2.9</v>
      </c>
      <c r="L105">
        <v>21629.09</v>
      </c>
      <c r="M105">
        <v>8.52</v>
      </c>
      <c r="N105">
        <v>170.4</v>
      </c>
      <c r="O105">
        <v>296</v>
      </c>
      <c r="P105" s="2">
        <v>46161</v>
      </c>
      <c r="Q105" s="2">
        <v>46163</v>
      </c>
      <c r="R105" t="s">
        <v>39</v>
      </c>
      <c r="S105" t="s">
        <v>33</v>
      </c>
    </row>
    <row r="106" spans="1:19" x14ac:dyDescent="0.25">
      <c r="A106" t="s">
        <v>192</v>
      </c>
      <c r="B106" s="2">
        <v>46155</v>
      </c>
      <c r="C106" t="s">
        <v>43</v>
      </c>
      <c r="D106" t="s">
        <v>44</v>
      </c>
      <c r="E106" t="s">
        <v>161</v>
      </c>
      <c r="F106" t="s">
        <v>110</v>
      </c>
      <c r="G106" t="s">
        <v>32</v>
      </c>
      <c r="H106">
        <v>122</v>
      </c>
      <c r="I106">
        <v>96</v>
      </c>
      <c r="J106">
        <v>8</v>
      </c>
      <c r="K106">
        <v>2</v>
      </c>
      <c r="L106">
        <v>13160.6</v>
      </c>
      <c r="M106">
        <v>2.38</v>
      </c>
      <c r="N106">
        <v>42.84</v>
      </c>
      <c r="O106">
        <v>146</v>
      </c>
      <c r="P106" s="2">
        <v>46160</v>
      </c>
      <c r="Q106" s="2">
        <v>46160</v>
      </c>
      <c r="R106" t="s">
        <v>25</v>
      </c>
      <c r="S106" t="s">
        <v>26</v>
      </c>
    </row>
    <row r="107" spans="1:19" x14ac:dyDescent="0.25">
      <c r="A107" t="s">
        <v>193</v>
      </c>
      <c r="B107" s="2">
        <v>46159</v>
      </c>
      <c r="C107" t="s">
        <v>20</v>
      </c>
      <c r="D107" t="s">
        <v>21</v>
      </c>
      <c r="E107" t="s">
        <v>66</v>
      </c>
      <c r="F107" t="s">
        <v>110</v>
      </c>
      <c r="G107" t="s">
        <v>24</v>
      </c>
      <c r="H107">
        <v>244</v>
      </c>
      <c r="I107">
        <v>193</v>
      </c>
      <c r="J107">
        <v>17</v>
      </c>
      <c r="K107">
        <v>1.4</v>
      </c>
      <c r="L107">
        <v>69977.55</v>
      </c>
      <c r="M107">
        <v>6.28</v>
      </c>
      <c r="N107">
        <v>163.28</v>
      </c>
      <c r="O107">
        <v>214</v>
      </c>
      <c r="P107" s="2">
        <v>46161</v>
      </c>
      <c r="Q107" s="2">
        <v>46160</v>
      </c>
      <c r="R107" t="s">
        <v>25</v>
      </c>
      <c r="S107" t="s">
        <v>86</v>
      </c>
    </row>
    <row r="108" spans="1:19" x14ac:dyDescent="0.25">
      <c r="A108" t="s">
        <v>194</v>
      </c>
      <c r="B108" s="2">
        <v>46189</v>
      </c>
      <c r="C108" t="s">
        <v>28</v>
      </c>
      <c r="D108" t="s">
        <v>29</v>
      </c>
      <c r="E108" t="s">
        <v>30</v>
      </c>
      <c r="F108" t="s">
        <v>106</v>
      </c>
      <c r="G108" t="s">
        <v>57</v>
      </c>
      <c r="H108">
        <v>186</v>
      </c>
      <c r="I108">
        <v>183</v>
      </c>
      <c r="J108">
        <v>1</v>
      </c>
      <c r="K108">
        <v>8</v>
      </c>
      <c r="L108">
        <v>44135.59</v>
      </c>
      <c r="M108">
        <v>4.62</v>
      </c>
      <c r="N108">
        <v>92.4</v>
      </c>
      <c r="O108">
        <v>249</v>
      </c>
      <c r="P108" s="2">
        <v>46195</v>
      </c>
      <c r="Q108" s="2">
        <v>46199</v>
      </c>
      <c r="R108" t="s">
        <v>25</v>
      </c>
      <c r="S108" t="s">
        <v>51</v>
      </c>
    </row>
    <row r="109" spans="1:19" x14ac:dyDescent="0.25">
      <c r="A109" t="s">
        <v>195</v>
      </c>
      <c r="B109" s="2">
        <v>46135</v>
      </c>
      <c r="C109" t="s">
        <v>35</v>
      </c>
      <c r="D109" t="s">
        <v>36</v>
      </c>
      <c r="E109" t="s">
        <v>69</v>
      </c>
      <c r="F109" t="s">
        <v>23</v>
      </c>
      <c r="G109" t="s">
        <v>32</v>
      </c>
      <c r="H109">
        <v>198</v>
      </c>
      <c r="I109">
        <v>159</v>
      </c>
      <c r="J109">
        <v>9</v>
      </c>
      <c r="K109">
        <v>2.8</v>
      </c>
      <c r="L109">
        <v>16780.849999999999</v>
      </c>
      <c r="M109">
        <v>6.15</v>
      </c>
      <c r="N109">
        <v>147.6</v>
      </c>
      <c r="O109">
        <v>191</v>
      </c>
      <c r="P109" s="2">
        <v>46142</v>
      </c>
      <c r="Q109" s="2">
        <v>46141</v>
      </c>
      <c r="R109" t="s">
        <v>25</v>
      </c>
      <c r="S109" t="s">
        <v>33</v>
      </c>
    </row>
    <row r="110" spans="1:19" x14ac:dyDescent="0.25">
      <c r="A110" t="s">
        <v>196</v>
      </c>
      <c r="B110" s="2">
        <v>46091</v>
      </c>
      <c r="C110" t="s">
        <v>53</v>
      </c>
      <c r="D110" t="s">
        <v>54</v>
      </c>
      <c r="E110" t="s">
        <v>55</v>
      </c>
      <c r="F110" t="s">
        <v>197</v>
      </c>
      <c r="G110" t="s">
        <v>57</v>
      </c>
      <c r="H110">
        <v>116</v>
      </c>
      <c r="I110">
        <v>88</v>
      </c>
      <c r="J110">
        <v>2</v>
      </c>
      <c r="K110">
        <v>3.5</v>
      </c>
      <c r="L110">
        <v>12212.71</v>
      </c>
      <c r="M110">
        <v>3.41</v>
      </c>
      <c r="N110">
        <v>68.2</v>
      </c>
      <c r="O110">
        <v>159</v>
      </c>
      <c r="P110" s="2">
        <v>46102</v>
      </c>
      <c r="Q110" s="2">
        <v>46103</v>
      </c>
      <c r="R110" t="s">
        <v>25</v>
      </c>
      <c r="S110" t="s">
        <v>72</v>
      </c>
    </row>
    <row r="111" spans="1:19" x14ac:dyDescent="0.25">
      <c r="A111" t="s">
        <v>198</v>
      </c>
      <c r="B111" s="2">
        <v>46154</v>
      </c>
      <c r="C111" t="s">
        <v>53</v>
      </c>
      <c r="D111" t="s">
        <v>54</v>
      </c>
      <c r="E111" t="s">
        <v>131</v>
      </c>
      <c r="F111" t="s">
        <v>104</v>
      </c>
      <c r="G111" t="s">
        <v>24</v>
      </c>
      <c r="H111">
        <v>305</v>
      </c>
      <c r="I111">
        <v>260</v>
      </c>
      <c r="J111">
        <v>1</v>
      </c>
      <c r="K111">
        <v>8.5</v>
      </c>
      <c r="L111">
        <v>41870.6</v>
      </c>
      <c r="M111">
        <v>6.02</v>
      </c>
      <c r="N111">
        <v>132.44</v>
      </c>
      <c r="O111">
        <v>277</v>
      </c>
      <c r="P111" s="2">
        <v>46156</v>
      </c>
      <c r="Q111" s="2">
        <v>46156</v>
      </c>
      <c r="R111" t="s">
        <v>100</v>
      </c>
      <c r="S111" t="s">
        <v>72</v>
      </c>
    </row>
    <row r="112" spans="1:19" x14ac:dyDescent="0.25">
      <c r="A112" t="s">
        <v>199</v>
      </c>
      <c r="B112" s="2">
        <v>46096</v>
      </c>
      <c r="C112" t="s">
        <v>80</v>
      </c>
      <c r="D112" t="s">
        <v>21</v>
      </c>
      <c r="E112" t="s">
        <v>22</v>
      </c>
      <c r="F112" t="s">
        <v>46</v>
      </c>
      <c r="G112" t="s">
        <v>24</v>
      </c>
      <c r="H112">
        <v>190</v>
      </c>
      <c r="I112">
        <v>147</v>
      </c>
      <c r="J112">
        <v>4</v>
      </c>
      <c r="K112">
        <v>3.3</v>
      </c>
      <c r="L112">
        <v>33232.639999999999</v>
      </c>
      <c r="M112">
        <v>2.83</v>
      </c>
      <c r="N112">
        <v>73.58</v>
      </c>
      <c r="O112">
        <v>199</v>
      </c>
      <c r="P112" s="2">
        <v>46103</v>
      </c>
      <c r="Q112" s="2">
        <v>46103</v>
      </c>
      <c r="R112" t="s">
        <v>25</v>
      </c>
      <c r="S112" t="s">
        <v>72</v>
      </c>
    </row>
    <row r="113" spans="1:19" x14ac:dyDescent="0.25">
      <c r="A113" t="s">
        <v>200</v>
      </c>
      <c r="B113" s="2">
        <v>46163</v>
      </c>
      <c r="C113" t="s">
        <v>59</v>
      </c>
      <c r="D113" t="s">
        <v>49</v>
      </c>
      <c r="E113" t="s">
        <v>60</v>
      </c>
      <c r="F113" t="s">
        <v>64</v>
      </c>
      <c r="G113" t="s">
        <v>57</v>
      </c>
      <c r="H113">
        <v>254</v>
      </c>
      <c r="I113">
        <v>249</v>
      </c>
      <c r="J113">
        <v>4</v>
      </c>
      <c r="K113">
        <v>0.9</v>
      </c>
      <c r="L113">
        <v>46904.65</v>
      </c>
      <c r="M113">
        <v>7.82</v>
      </c>
      <c r="N113">
        <v>172.04</v>
      </c>
      <c r="O113">
        <v>250</v>
      </c>
      <c r="P113" s="2">
        <v>46168</v>
      </c>
      <c r="Q113" s="2">
        <v>46170</v>
      </c>
      <c r="R113" t="s">
        <v>39</v>
      </c>
      <c r="S113" t="s">
        <v>33</v>
      </c>
    </row>
    <row r="114" spans="1:19" x14ac:dyDescent="0.25">
      <c r="A114" t="s">
        <v>201</v>
      </c>
      <c r="B114" s="2">
        <v>46058</v>
      </c>
      <c r="C114" t="s">
        <v>48</v>
      </c>
      <c r="D114" t="s">
        <v>49</v>
      </c>
      <c r="E114" t="s">
        <v>76</v>
      </c>
      <c r="F114" t="s">
        <v>61</v>
      </c>
      <c r="G114" t="s">
        <v>24</v>
      </c>
      <c r="H114">
        <v>212</v>
      </c>
      <c r="I114">
        <v>194</v>
      </c>
      <c r="J114">
        <v>11</v>
      </c>
      <c r="K114">
        <v>4.5999999999999996</v>
      </c>
      <c r="L114">
        <v>37503.46</v>
      </c>
      <c r="M114">
        <v>4.25</v>
      </c>
      <c r="N114">
        <v>110.5</v>
      </c>
      <c r="O114">
        <v>248</v>
      </c>
      <c r="P114" s="2">
        <v>46069</v>
      </c>
      <c r="Q114" s="2">
        <v>46070</v>
      </c>
      <c r="R114" t="s">
        <v>39</v>
      </c>
      <c r="S114" t="s">
        <v>26</v>
      </c>
    </row>
    <row r="115" spans="1:19" x14ac:dyDescent="0.25">
      <c r="A115" t="s">
        <v>202</v>
      </c>
      <c r="B115" s="2">
        <v>46148</v>
      </c>
      <c r="C115" t="s">
        <v>59</v>
      </c>
      <c r="D115" t="s">
        <v>49</v>
      </c>
      <c r="E115" t="s">
        <v>76</v>
      </c>
      <c r="F115" t="s">
        <v>114</v>
      </c>
      <c r="G115" t="s">
        <v>32</v>
      </c>
      <c r="H115">
        <v>288</v>
      </c>
      <c r="I115">
        <v>209</v>
      </c>
      <c r="J115">
        <v>7</v>
      </c>
      <c r="K115">
        <v>1</v>
      </c>
      <c r="L115">
        <v>33577.39</v>
      </c>
      <c r="M115">
        <v>8.27</v>
      </c>
      <c r="N115">
        <v>148.86000000000001</v>
      </c>
      <c r="O115">
        <v>369</v>
      </c>
      <c r="P115" s="2">
        <v>46154</v>
      </c>
      <c r="Q115" s="2">
        <v>46154</v>
      </c>
      <c r="R115" t="s">
        <v>25</v>
      </c>
      <c r="S115" t="s">
        <v>51</v>
      </c>
    </row>
    <row r="116" spans="1:19" x14ac:dyDescent="0.25">
      <c r="A116" t="s">
        <v>203</v>
      </c>
      <c r="B116" s="2">
        <v>46157</v>
      </c>
      <c r="C116" t="s">
        <v>35</v>
      </c>
      <c r="D116" t="s">
        <v>36</v>
      </c>
      <c r="E116" t="s">
        <v>37</v>
      </c>
      <c r="F116" t="s">
        <v>197</v>
      </c>
      <c r="G116" t="s">
        <v>24</v>
      </c>
      <c r="H116">
        <v>290</v>
      </c>
      <c r="I116">
        <v>293</v>
      </c>
      <c r="J116">
        <v>2</v>
      </c>
      <c r="K116">
        <v>8.5</v>
      </c>
      <c r="L116">
        <v>20202.75</v>
      </c>
      <c r="M116">
        <v>7.48</v>
      </c>
      <c r="N116">
        <v>149.6</v>
      </c>
      <c r="O116">
        <v>355</v>
      </c>
      <c r="P116" s="2">
        <v>46162</v>
      </c>
      <c r="Q116" s="2">
        <v>46164</v>
      </c>
      <c r="R116" t="s">
        <v>39</v>
      </c>
      <c r="S116" t="s">
        <v>72</v>
      </c>
    </row>
    <row r="117" spans="1:19" x14ac:dyDescent="0.25">
      <c r="A117" t="s">
        <v>204</v>
      </c>
      <c r="B117" s="2">
        <v>46038</v>
      </c>
      <c r="C117" t="s">
        <v>43</v>
      </c>
      <c r="D117" t="s">
        <v>44</v>
      </c>
      <c r="E117" t="s">
        <v>45</v>
      </c>
      <c r="F117" t="s">
        <v>104</v>
      </c>
      <c r="G117" t="s">
        <v>32</v>
      </c>
      <c r="H117">
        <v>133</v>
      </c>
      <c r="I117">
        <v>127</v>
      </c>
      <c r="J117">
        <v>12</v>
      </c>
      <c r="K117">
        <v>4.3</v>
      </c>
      <c r="L117">
        <v>16000.94</v>
      </c>
      <c r="M117">
        <v>3.69</v>
      </c>
      <c r="N117">
        <v>95.94</v>
      </c>
      <c r="O117">
        <v>180</v>
      </c>
      <c r="P117" s="2">
        <v>46048</v>
      </c>
      <c r="Q117" s="2">
        <v>46049</v>
      </c>
      <c r="R117" t="s">
        <v>25</v>
      </c>
      <c r="S117" t="s">
        <v>51</v>
      </c>
    </row>
    <row r="118" spans="1:19" x14ac:dyDescent="0.25">
      <c r="A118" t="s">
        <v>205</v>
      </c>
      <c r="B118" s="2">
        <v>46086</v>
      </c>
      <c r="C118" t="s">
        <v>59</v>
      </c>
      <c r="D118" t="s">
        <v>49</v>
      </c>
      <c r="E118" t="s">
        <v>60</v>
      </c>
      <c r="F118" t="s">
        <v>71</v>
      </c>
      <c r="G118" t="s">
        <v>24</v>
      </c>
      <c r="H118">
        <v>156</v>
      </c>
      <c r="I118">
        <v>127</v>
      </c>
      <c r="J118">
        <v>11</v>
      </c>
      <c r="K118">
        <v>2.7</v>
      </c>
      <c r="L118">
        <v>18886.86</v>
      </c>
      <c r="M118">
        <v>4.43</v>
      </c>
      <c r="N118">
        <v>97.46</v>
      </c>
      <c r="O118">
        <v>238</v>
      </c>
      <c r="P118" s="2">
        <v>46093</v>
      </c>
      <c r="Q118" s="2">
        <v>46093</v>
      </c>
      <c r="R118" t="s">
        <v>25</v>
      </c>
      <c r="S118" t="s">
        <v>26</v>
      </c>
    </row>
    <row r="119" spans="1:19" x14ac:dyDescent="0.25">
      <c r="A119" t="s">
        <v>206</v>
      </c>
      <c r="B119" s="2">
        <v>46120</v>
      </c>
      <c r="C119" t="s">
        <v>35</v>
      </c>
      <c r="D119" t="s">
        <v>36</v>
      </c>
      <c r="E119" t="s">
        <v>69</v>
      </c>
      <c r="F119" t="s">
        <v>122</v>
      </c>
      <c r="G119" t="s">
        <v>24</v>
      </c>
      <c r="H119">
        <v>277</v>
      </c>
      <c r="I119">
        <v>295</v>
      </c>
      <c r="J119">
        <v>9</v>
      </c>
      <c r="K119">
        <v>2.6</v>
      </c>
      <c r="L119">
        <v>28052.74</v>
      </c>
      <c r="M119">
        <v>8.44</v>
      </c>
      <c r="N119">
        <v>185.68</v>
      </c>
      <c r="O119">
        <v>359</v>
      </c>
      <c r="P119" s="2">
        <v>46125</v>
      </c>
      <c r="Q119" s="2">
        <v>46125</v>
      </c>
      <c r="R119" t="s">
        <v>39</v>
      </c>
      <c r="S119" t="s">
        <v>86</v>
      </c>
    </row>
    <row r="120" spans="1:19" x14ac:dyDescent="0.25">
      <c r="A120" t="s">
        <v>207</v>
      </c>
      <c r="B120" s="2">
        <v>46058</v>
      </c>
      <c r="C120" t="s">
        <v>20</v>
      </c>
      <c r="D120" t="s">
        <v>21</v>
      </c>
      <c r="E120" t="s">
        <v>66</v>
      </c>
      <c r="F120" t="s">
        <v>135</v>
      </c>
      <c r="G120" t="s">
        <v>24</v>
      </c>
      <c r="H120">
        <v>269</v>
      </c>
      <c r="I120">
        <v>261</v>
      </c>
      <c r="J120">
        <v>7</v>
      </c>
      <c r="K120">
        <v>6</v>
      </c>
      <c r="L120">
        <v>88625.8</v>
      </c>
      <c r="M120">
        <v>5.03</v>
      </c>
      <c r="N120">
        <v>120.72</v>
      </c>
      <c r="O120">
        <v>313</v>
      </c>
      <c r="P120" s="2">
        <v>46067</v>
      </c>
      <c r="Q120" s="2">
        <v>46066</v>
      </c>
      <c r="R120" t="s">
        <v>25</v>
      </c>
      <c r="S120" t="s">
        <v>51</v>
      </c>
    </row>
    <row r="121" spans="1:19" x14ac:dyDescent="0.25">
      <c r="A121" t="s">
        <v>208</v>
      </c>
      <c r="B121" s="2">
        <v>46127</v>
      </c>
      <c r="C121" t="s">
        <v>53</v>
      </c>
      <c r="D121" t="s">
        <v>54</v>
      </c>
      <c r="E121" t="s">
        <v>131</v>
      </c>
      <c r="F121" t="s">
        <v>77</v>
      </c>
      <c r="G121" t="s">
        <v>57</v>
      </c>
      <c r="H121">
        <v>246</v>
      </c>
      <c r="I121">
        <v>198</v>
      </c>
      <c r="J121">
        <v>18</v>
      </c>
      <c r="K121">
        <v>2.9</v>
      </c>
      <c r="L121">
        <v>33026.879999999997</v>
      </c>
      <c r="M121">
        <v>3.99</v>
      </c>
      <c r="N121">
        <v>103.74</v>
      </c>
      <c r="O121">
        <v>265</v>
      </c>
      <c r="P121" s="2">
        <v>46137</v>
      </c>
      <c r="Q121" s="2">
        <v>46135</v>
      </c>
      <c r="R121" t="s">
        <v>25</v>
      </c>
      <c r="S121" t="s">
        <v>33</v>
      </c>
    </row>
    <row r="122" spans="1:19" x14ac:dyDescent="0.25">
      <c r="A122" t="s">
        <v>209</v>
      </c>
      <c r="B122" s="2">
        <v>46124</v>
      </c>
      <c r="C122" t="s">
        <v>53</v>
      </c>
      <c r="D122" t="s">
        <v>54</v>
      </c>
      <c r="E122" t="s">
        <v>55</v>
      </c>
      <c r="F122" t="s">
        <v>56</v>
      </c>
      <c r="G122" t="s">
        <v>24</v>
      </c>
      <c r="H122">
        <v>319</v>
      </c>
      <c r="I122">
        <v>332</v>
      </c>
      <c r="J122">
        <v>27</v>
      </c>
      <c r="K122">
        <v>2.6</v>
      </c>
      <c r="L122">
        <v>37402.17</v>
      </c>
      <c r="M122">
        <v>10.78</v>
      </c>
      <c r="N122">
        <v>237.16</v>
      </c>
      <c r="O122">
        <v>351</v>
      </c>
      <c r="P122" s="2">
        <v>46133</v>
      </c>
      <c r="Q122" s="2">
        <v>46137</v>
      </c>
      <c r="R122" t="s">
        <v>25</v>
      </c>
      <c r="S122" t="s">
        <v>72</v>
      </c>
    </row>
    <row r="123" spans="1:19" x14ac:dyDescent="0.25">
      <c r="A123" t="s">
        <v>210</v>
      </c>
      <c r="B123" s="2">
        <v>46092</v>
      </c>
      <c r="C123" t="s">
        <v>28</v>
      </c>
      <c r="D123" t="s">
        <v>29</v>
      </c>
      <c r="E123" t="s">
        <v>63</v>
      </c>
      <c r="F123" t="s">
        <v>85</v>
      </c>
      <c r="G123" t="s">
        <v>32</v>
      </c>
      <c r="H123">
        <v>164</v>
      </c>
      <c r="I123">
        <v>129</v>
      </c>
      <c r="J123">
        <v>5</v>
      </c>
      <c r="K123">
        <v>2.2999999999999998</v>
      </c>
      <c r="L123">
        <v>27815.05</v>
      </c>
      <c r="M123">
        <v>4.7699999999999996</v>
      </c>
      <c r="N123">
        <v>124.02</v>
      </c>
      <c r="O123">
        <v>173</v>
      </c>
      <c r="P123" s="2">
        <v>46096</v>
      </c>
      <c r="Q123" s="2">
        <v>46098</v>
      </c>
      <c r="R123" t="s">
        <v>100</v>
      </c>
      <c r="S123" t="s">
        <v>33</v>
      </c>
    </row>
    <row r="124" spans="1:19" x14ac:dyDescent="0.25">
      <c r="A124" t="s">
        <v>211</v>
      </c>
      <c r="B124" s="2">
        <v>46125</v>
      </c>
      <c r="C124" t="s">
        <v>20</v>
      </c>
      <c r="D124" t="s">
        <v>21</v>
      </c>
      <c r="E124" t="s">
        <v>22</v>
      </c>
      <c r="F124" t="s">
        <v>110</v>
      </c>
      <c r="G124" t="s">
        <v>32</v>
      </c>
      <c r="H124">
        <v>115</v>
      </c>
      <c r="I124">
        <v>106</v>
      </c>
      <c r="J124">
        <v>9</v>
      </c>
      <c r="K124">
        <v>0.1</v>
      </c>
      <c r="L124">
        <v>32420.3</v>
      </c>
      <c r="M124">
        <v>2.59</v>
      </c>
      <c r="N124">
        <v>56.98</v>
      </c>
      <c r="O124">
        <v>152</v>
      </c>
      <c r="P124" s="2">
        <v>46136</v>
      </c>
      <c r="Q124" s="2">
        <v>46134</v>
      </c>
      <c r="R124" t="s">
        <v>25</v>
      </c>
      <c r="S124" t="s">
        <v>51</v>
      </c>
    </row>
    <row r="125" spans="1:19" x14ac:dyDescent="0.25">
      <c r="A125" t="s">
        <v>212</v>
      </c>
      <c r="B125" s="2">
        <v>46038</v>
      </c>
      <c r="C125" t="s">
        <v>20</v>
      </c>
      <c r="D125" t="s">
        <v>21</v>
      </c>
      <c r="E125" t="s">
        <v>90</v>
      </c>
      <c r="F125" t="s">
        <v>170</v>
      </c>
      <c r="G125" t="s">
        <v>32</v>
      </c>
      <c r="H125">
        <v>158</v>
      </c>
      <c r="I125">
        <v>124</v>
      </c>
      <c r="J125">
        <v>8</v>
      </c>
      <c r="K125">
        <v>8.3000000000000007</v>
      </c>
      <c r="L125">
        <v>49069.73</v>
      </c>
      <c r="M125">
        <v>4.29</v>
      </c>
      <c r="N125">
        <v>94.38</v>
      </c>
      <c r="O125">
        <v>212</v>
      </c>
      <c r="P125" s="2">
        <v>46049</v>
      </c>
      <c r="Q125" s="2">
        <v>46049</v>
      </c>
      <c r="R125" t="s">
        <v>25</v>
      </c>
      <c r="S125" t="s">
        <v>51</v>
      </c>
    </row>
    <row r="126" spans="1:19" x14ac:dyDescent="0.25">
      <c r="A126" t="s">
        <v>213</v>
      </c>
      <c r="B126" s="2">
        <v>46139</v>
      </c>
      <c r="C126" t="s">
        <v>48</v>
      </c>
      <c r="D126" t="s">
        <v>49</v>
      </c>
      <c r="E126" t="s">
        <v>76</v>
      </c>
      <c r="F126" t="s">
        <v>106</v>
      </c>
      <c r="G126" t="s">
        <v>32</v>
      </c>
      <c r="H126">
        <v>259</v>
      </c>
      <c r="I126">
        <v>247</v>
      </c>
      <c r="J126">
        <v>11</v>
      </c>
      <c r="K126">
        <v>4.8</v>
      </c>
      <c r="L126">
        <v>48380.25</v>
      </c>
      <c r="M126">
        <v>5.91</v>
      </c>
      <c r="N126">
        <v>153.66</v>
      </c>
      <c r="O126">
        <v>239</v>
      </c>
      <c r="P126" s="2">
        <v>46149</v>
      </c>
      <c r="Q126" s="2">
        <v>46153</v>
      </c>
      <c r="R126" t="s">
        <v>39</v>
      </c>
      <c r="S126" t="s">
        <v>33</v>
      </c>
    </row>
    <row r="127" spans="1:19" x14ac:dyDescent="0.25">
      <c r="A127" t="s">
        <v>214</v>
      </c>
      <c r="B127" s="2">
        <v>46167</v>
      </c>
      <c r="C127" t="s">
        <v>20</v>
      </c>
      <c r="D127" t="s">
        <v>21</v>
      </c>
      <c r="E127" t="s">
        <v>22</v>
      </c>
      <c r="F127" t="s">
        <v>38</v>
      </c>
      <c r="G127" t="s">
        <v>24</v>
      </c>
      <c r="H127">
        <v>292</v>
      </c>
      <c r="I127">
        <v>279</v>
      </c>
      <c r="J127">
        <v>14</v>
      </c>
      <c r="K127">
        <v>5.2</v>
      </c>
      <c r="L127">
        <v>75331.100000000006</v>
      </c>
      <c r="M127">
        <v>8.51</v>
      </c>
      <c r="N127">
        <v>153.18</v>
      </c>
      <c r="O127">
        <v>304</v>
      </c>
      <c r="P127" s="2">
        <v>46178</v>
      </c>
      <c r="Q127" s="2">
        <v>46182</v>
      </c>
      <c r="R127" t="s">
        <v>25</v>
      </c>
      <c r="S127" t="s">
        <v>72</v>
      </c>
    </row>
    <row r="128" spans="1:19" x14ac:dyDescent="0.25">
      <c r="A128" t="s">
        <v>215</v>
      </c>
      <c r="B128" s="2">
        <v>46037</v>
      </c>
      <c r="C128" t="s">
        <v>53</v>
      </c>
      <c r="D128" t="s">
        <v>54</v>
      </c>
      <c r="E128" t="s">
        <v>55</v>
      </c>
      <c r="F128" t="s">
        <v>77</v>
      </c>
      <c r="G128" t="s">
        <v>32</v>
      </c>
      <c r="H128">
        <v>211</v>
      </c>
      <c r="I128">
        <v>189</v>
      </c>
      <c r="J128">
        <v>10</v>
      </c>
      <c r="K128">
        <v>5</v>
      </c>
      <c r="L128">
        <v>27209.84</v>
      </c>
      <c r="M128">
        <v>3.5</v>
      </c>
      <c r="N128">
        <v>77</v>
      </c>
      <c r="O128">
        <v>171</v>
      </c>
      <c r="P128" s="2">
        <v>46042</v>
      </c>
      <c r="Q128" s="2">
        <v>46041</v>
      </c>
      <c r="R128" t="s">
        <v>25</v>
      </c>
      <c r="S128" t="s">
        <v>33</v>
      </c>
    </row>
    <row r="129" spans="1:19" x14ac:dyDescent="0.25">
      <c r="A129" t="s">
        <v>216</v>
      </c>
      <c r="B129" s="2">
        <v>46161</v>
      </c>
      <c r="C129" t="s">
        <v>80</v>
      </c>
      <c r="D129" t="s">
        <v>21</v>
      </c>
      <c r="E129" t="s">
        <v>22</v>
      </c>
      <c r="F129" t="s">
        <v>46</v>
      </c>
      <c r="G129" t="s">
        <v>57</v>
      </c>
      <c r="H129">
        <v>319</v>
      </c>
      <c r="I129">
        <v>294</v>
      </c>
      <c r="J129">
        <v>9</v>
      </c>
      <c r="K129">
        <v>1.6</v>
      </c>
      <c r="L129">
        <v>70699.789999999994</v>
      </c>
      <c r="M129">
        <v>10.44</v>
      </c>
      <c r="N129">
        <v>250.56</v>
      </c>
      <c r="O129">
        <v>374</v>
      </c>
      <c r="P129" s="2">
        <v>46169</v>
      </c>
      <c r="Q129" s="2">
        <v>46173</v>
      </c>
      <c r="R129" t="s">
        <v>100</v>
      </c>
      <c r="S129" t="s">
        <v>26</v>
      </c>
    </row>
    <row r="130" spans="1:19" x14ac:dyDescent="0.25">
      <c r="A130" t="s">
        <v>217</v>
      </c>
      <c r="B130" s="2">
        <v>46057</v>
      </c>
      <c r="C130" t="s">
        <v>48</v>
      </c>
      <c r="D130" t="s">
        <v>49</v>
      </c>
      <c r="E130" t="s">
        <v>50</v>
      </c>
      <c r="F130" t="s">
        <v>46</v>
      </c>
      <c r="G130" t="s">
        <v>57</v>
      </c>
      <c r="H130">
        <v>125</v>
      </c>
      <c r="I130">
        <v>143</v>
      </c>
      <c r="J130">
        <v>5</v>
      </c>
      <c r="K130">
        <v>1.1000000000000001</v>
      </c>
      <c r="L130">
        <v>36538.959999999999</v>
      </c>
      <c r="M130">
        <v>5.17</v>
      </c>
      <c r="N130">
        <v>113.74</v>
      </c>
      <c r="O130">
        <v>203</v>
      </c>
      <c r="P130" s="2">
        <v>46069</v>
      </c>
      <c r="Q130" s="2">
        <v>46071</v>
      </c>
      <c r="R130" t="s">
        <v>39</v>
      </c>
      <c r="S130" t="s">
        <v>51</v>
      </c>
    </row>
    <row r="131" spans="1:19" x14ac:dyDescent="0.25">
      <c r="A131" t="s">
        <v>218</v>
      </c>
      <c r="B131" s="2">
        <v>46140</v>
      </c>
      <c r="C131" t="s">
        <v>48</v>
      </c>
      <c r="D131" t="s">
        <v>49</v>
      </c>
      <c r="E131" t="s">
        <v>50</v>
      </c>
      <c r="F131" t="s">
        <v>104</v>
      </c>
      <c r="G131" t="s">
        <v>57</v>
      </c>
      <c r="H131">
        <v>150</v>
      </c>
      <c r="I131">
        <v>120</v>
      </c>
      <c r="J131">
        <v>10</v>
      </c>
      <c r="K131">
        <v>6.9</v>
      </c>
      <c r="L131">
        <v>20816.919999999998</v>
      </c>
      <c r="M131">
        <v>3.93</v>
      </c>
      <c r="N131">
        <v>70.739999999999995</v>
      </c>
      <c r="O131">
        <v>171</v>
      </c>
      <c r="P131" s="2">
        <v>46145</v>
      </c>
      <c r="Q131" s="2">
        <v>46144</v>
      </c>
      <c r="R131" t="s">
        <v>25</v>
      </c>
      <c r="S131" t="s">
        <v>72</v>
      </c>
    </row>
    <row r="132" spans="1:19" x14ac:dyDescent="0.25">
      <c r="A132" t="s">
        <v>219</v>
      </c>
      <c r="B132" s="2">
        <v>46176</v>
      </c>
      <c r="C132" t="s">
        <v>80</v>
      </c>
      <c r="D132" t="s">
        <v>21</v>
      </c>
      <c r="E132" t="s">
        <v>22</v>
      </c>
      <c r="F132" t="s">
        <v>104</v>
      </c>
      <c r="G132" t="s">
        <v>24</v>
      </c>
      <c r="H132">
        <v>269</v>
      </c>
      <c r="I132">
        <v>198</v>
      </c>
      <c r="J132">
        <v>8</v>
      </c>
      <c r="K132">
        <v>4.9000000000000004</v>
      </c>
      <c r="L132">
        <v>61902.75</v>
      </c>
      <c r="M132">
        <v>4.2300000000000004</v>
      </c>
      <c r="N132">
        <v>93.06</v>
      </c>
      <c r="O132">
        <v>288</v>
      </c>
      <c r="P132" s="2">
        <v>46187</v>
      </c>
      <c r="Q132" s="2">
        <v>46188</v>
      </c>
      <c r="R132" t="s">
        <v>39</v>
      </c>
    </row>
    <row r="133" spans="1:19" x14ac:dyDescent="0.25">
      <c r="A133" t="s">
        <v>220</v>
      </c>
      <c r="B133" s="2">
        <v>46083</v>
      </c>
      <c r="C133" t="s">
        <v>59</v>
      </c>
      <c r="D133" t="s">
        <v>49</v>
      </c>
      <c r="E133" t="s">
        <v>50</v>
      </c>
      <c r="F133" t="s">
        <v>91</v>
      </c>
      <c r="G133" t="s">
        <v>24</v>
      </c>
      <c r="H133">
        <v>249</v>
      </c>
      <c r="I133">
        <v>235</v>
      </c>
      <c r="J133">
        <v>9</v>
      </c>
      <c r="K133">
        <v>2.5</v>
      </c>
      <c r="L133">
        <v>42902.43</v>
      </c>
      <c r="M133">
        <v>8.3800000000000008</v>
      </c>
      <c r="N133">
        <v>167.6</v>
      </c>
      <c r="O133">
        <v>318</v>
      </c>
      <c r="P133" s="2">
        <v>46093</v>
      </c>
      <c r="Q133" s="2">
        <v>46097</v>
      </c>
      <c r="R133" t="s">
        <v>25</v>
      </c>
      <c r="S133" t="s">
        <v>72</v>
      </c>
    </row>
    <row r="134" spans="1:19" x14ac:dyDescent="0.25">
      <c r="A134" t="s">
        <v>221</v>
      </c>
      <c r="B134" s="2">
        <v>46157</v>
      </c>
      <c r="C134" t="s">
        <v>48</v>
      </c>
      <c r="D134" t="s">
        <v>49</v>
      </c>
      <c r="E134" t="s">
        <v>60</v>
      </c>
      <c r="F134" t="s">
        <v>137</v>
      </c>
      <c r="G134" t="s">
        <v>24</v>
      </c>
      <c r="H134">
        <v>186</v>
      </c>
      <c r="I134">
        <v>166</v>
      </c>
      <c r="J134">
        <v>5</v>
      </c>
      <c r="K134">
        <v>1.7</v>
      </c>
      <c r="L134">
        <v>31323.47</v>
      </c>
      <c r="M134">
        <v>3.89</v>
      </c>
      <c r="N134">
        <v>77.8</v>
      </c>
      <c r="O134">
        <v>264</v>
      </c>
      <c r="P134" s="2">
        <v>46159</v>
      </c>
      <c r="Q134" s="2">
        <v>46161</v>
      </c>
      <c r="R134" t="s">
        <v>100</v>
      </c>
      <c r="S134" t="s">
        <v>51</v>
      </c>
    </row>
    <row r="135" spans="1:19" x14ac:dyDescent="0.25">
      <c r="A135" t="s">
        <v>222</v>
      </c>
      <c r="B135" s="2">
        <v>46122</v>
      </c>
      <c r="C135" t="s">
        <v>28</v>
      </c>
      <c r="D135" t="s">
        <v>29</v>
      </c>
      <c r="E135" t="s">
        <v>95</v>
      </c>
      <c r="F135" t="s">
        <v>31</v>
      </c>
      <c r="G135" t="s">
        <v>24</v>
      </c>
      <c r="H135">
        <v>132</v>
      </c>
      <c r="I135">
        <v>113</v>
      </c>
      <c r="J135">
        <v>1</v>
      </c>
      <c r="K135">
        <v>4</v>
      </c>
      <c r="L135">
        <v>24867.9</v>
      </c>
      <c r="M135">
        <v>4.28</v>
      </c>
      <c r="N135">
        <v>77.040000000000006</v>
      </c>
      <c r="O135">
        <v>160</v>
      </c>
      <c r="P135" s="2">
        <v>46130</v>
      </c>
      <c r="Q135" s="2">
        <v>46128</v>
      </c>
      <c r="R135" t="s">
        <v>25</v>
      </c>
      <c r="S135" t="s">
        <v>26</v>
      </c>
    </row>
    <row r="136" spans="1:19" x14ac:dyDescent="0.25">
      <c r="A136" t="s">
        <v>223</v>
      </c>
      <c r="B136" s="2">
        <v>46078</v>
      </c>
      <c r="C136" t="s">
        <v>53</v>
      </c>
      <c r="D136" t="s">
        <v>54</v>
      </c>
      <c r="E136" t="s">
        <v>55</v>
      </c>
      <c r="F136" t="s">
        <v>67</v>
      </c>
      <c r="G136" t="s">
        <v>57</v>
      </c>
      <c r="H136">
        <v>302</v>
      </c>
      <c r="I136">
        <v>335</v>
      </c>
      <c r="J136">
        <v>10</v>
      </c>
      <c r="K136">
        <v>8.1999999999999993</v>
      </c>
      <c r="L136">
        <v>39337.49</v>
      </c>
      <c r="M136">
        <v>11.99</v>
      </c>
      <c r="N136">
        <v>287.76</v>
      </c>
      <c r="O136">
        <v>324</v>
      </c>
      <c r="P136" s="2">
        <v>46089</v>
      </c>
      <c r="Q136" s="2">
        <v>46089</v>
      </c>
      <c r="R136" t="s">
        <v>100</v>
      </c>
      <c r="S136" t="s">
        <v>26</v>
      </c>
    </row>
    <row r="137" spans="1:19" x14ac:dyDescent="0.25">
      <c r="A137" t="s">
        <v>224</v>
      </c>
      <c r="B137" s="2">
        <v>46105</v>
      </c>
      <c r="C137" t="s">
        <v>59</v>
      </c>
      <c r="D137" t="s">
        <v>49</v>
      </c>
      <c r="E137" t="s">
        <v>76</v>
      </c>
      <c r="F137" t="s">
        <v>77</v>
      </c>
      <c r="G137" t="s">
        <v>57</v>
      </c>
      <c r="H137">
        <v>199</v>
      </c>
      <c r="I137">
        <v>188</v>
      </c>
      <c r="J137">
        <v>7</v>
      </c>
      <c r="K137">
        <v>2.4</v>
      </c>
      <c r="L137">
        <v>32956.93</v>
      </c>
      <c r="M137">
        <v>3.83</v>
      </c>
      <c r="N137">
        <v>91.92</v>
      </c>
      <c r="O137">
        <v>240</v>
      </c>
      <c r="P137" s="2">
        <v>46110</v>
      </c>
      <c r="Q137" s="2">
        <v>46111</v>
      </c>
      <c r="R137" t="s">
        <v>25</v>
      </c>
      <c r="S137" t="s">
        <v>26</v>
      </c>
    </row>
    <row r="138" spans="1:19" x14ac:dyDescent="0.25">
      <c r="A138" t="s">
        <v>225</v>
      </c>
      <c r="B138" s="2">
        <v>46079</v>
      </c>
      <c r="C138" t="s">
        <v>43</v>
      </c>
      <c r="D138" t="s">
        <v>44</v>
      </c>
      <c r="E138" t="s">
        <v>93</v>
      </c>
      <c r="F138" t="s">
        <v>197</v>
      </c>
      <c r="G138" t="s">
        <v>32</v>
      </c>
      <c r="H138">
        <v>146</v>
      </c>
      <c r="I138">
        <v>139</v>
      </c>
      <c r="J138">
        <v>8</v>
      </c>
      <c r="K138">
        <v>6.5</v>
      </c>
      <c r="L138">
        <v>13894.88</v>
      </c>
      <c r="M138">
        <v>3.27</v>
      </c>
      <c r="N138">
        <v>85.02</v>
      </c>
      <c r="O138">
        <v>168</v>
      </c>
      <c r="P138" s="2">
        <v>46088</v>
      </c>
      <c r="Q138" s="2">
        <v>46089</v>
      </c>
      <c r="R138" t="s">
        <v>25</v>
      </c>
      <c r="S138" t="s">
        <v>72</v>
      </c>
    </row>
    <row r="139" spans="1:19" x14ac:dyDescent="0.25">
      <c r="A139" t="s">
        <v>226</v>
      </c>
      <c r="B139" s="2">
        <v>46140</v>
      </c>
      <c r="C139" t="s">
        <v>43</v>
      </c>
      <c r="D139" t="s">
        <v>44</v>
      </c>
      <c r="E139" t="s">
        <v>45</v>
      </c>
      <c r="F139" t="s">
        <v>197</v>
      </c>
      <c r="G139" t="s">
        <v>57</v>
      </c>
      <c r="H139">
        <v>283</v>
      </c>
      <c r="I139">
        <v>246</v>
      </c>
      <c r="J139">
        <v>4</v>
      </c>
      <c r="K139">
        <v>4.9000000000000004</v>
      </c>
      <c r="L139">
        <v>28281.57</v>
      </c>
      <c r="M139">
        <v>10.27</v>
      </c>
      <c r="N139">
        <v>184.86</v>
      </c>
      <c r="O139">
        <v>377</v>
      </c>
      <c r="P139" s="2">
        <v>46142</v>
      </c>
      <c r="Q139" s="2">
        <v>46141</v>
      </c>
      <c r="R139" t="s">
        <v>25</v>
      </c>
      <c r="S139" t="s">
        <v>72</v>
      </c>
    </row>
    <row r="140" spans="1:19" x14ac:dyDescent="0.25">
      <c r="A140" t="s">
        <v>227</v>
      </c>
      <c r="B140" s="2">
        <v>46058</v>
      </c>
      <c r="C140" t="s">
        <v>28</v>
      </c>
      <c r="D140" t="s">
        <v>29</v>
      </c>
      <c r="E140" t="s">
        <v>63</v>
      </c>
      <c r="F140" t="s">
        <v>137</v>
      </c>
      <c r="G140" t="s">
        <v>32</v>
      </c>
      <c r="H140">
        <v>261</v>
      </c>
      <c r="I140">
        <v>204</v>
      </c>
      <c r="J140">
        <v>5</v>
      </c>
      <c r="K140">
        <v>4.0999999999999996</v>
      </c>
      <c r="L140">
        <v>40702.49</v>
      </c>
      <c r="M140">
        <v>8.24</v>
      </c>
      <c r="N140">
        <v>197.76</v>
      </c>
      <c r="O140">
        <v>345</v>
      </c>
      <c r="P140" s="2">
        <v>46060</v>
      </c>
      <c r="Q140" s="2">
        <v>46058</v>
      </c>
      <c r="R140" t="s">
        <v>39</v>
      </c>
      <c r="S140" t="s">
        <v>33</v>
      </c>
    </row>
    <row r="141" spans="1:19" x14ac:dyDescent="0.25">
      <c r="A141" t="s">
        <v>228</v>
      </c>
      <c r="B141" s="2">
        <v>46027</v>
      </c>
      <c r="C141" t="s">
        <v>59</v>
      </c>
      <c r="D141" t="s">
        <v>49</v>
      </c>
      <c r="E141" t="s">
        <v>60</v>
      </c>
      <c r="F141" t="s">
        <v>104</v>
      </c>
      <c r="G141" t="s">
        <v>24</v>
      </c>
      <c r="H141">
        <v>153</v>
      </c>
      <c r="I141">
        <v>111</v>
      </c>
      <c r="J141">
        <v>8</v>
      </c>
      <c r="K141">
        <v>6.1</v>
      </c>
      <c r="L141">
        <v>23880.61</v>
      </c>
      <c r="M141">
        <v>2.2799999999999998</v>
      </c>
      <c r="N141">
        <v>41.04</v>
      </c>
      <c r="O141">
        <v>247</v>
      </c>
      <c r="P141" s="2">
        <v>46031</v>
      </c>
      <c r="Q141" s="2">
        <v>46031</v>
      </c>
      <c r="R141" t="s">
        <v>25</v>
      </c>
      <c r="S141" t="s">
        <v>86</v>
      </c>
    </row>
    <row r="142" spans="1:19" x14ac:dyDescent="0.25">
      <c r="A142" t="s">
        <v>229</v>
      </c>
      <c r="B142" s="2">
        <v>46113</v>
      </c>
      <c r="C142" t="s">
        <v>59</v>
      </c>
      <c r="D142" t="s">
        <v>49</v>
      </c>
      <c r="E142" t="s">
        <v>76</v>
      </c>
      <c r="F142" t="s">
        <v>46</v>
      </c>
      <c r="G142" t="s">
        <v>24</v>
      </c>
      <c r="H142">
        <v>100</v>
      </c>
      <c r="I142">
        <v>88</v>
      </c>
      <c r="J142">
        <v>3</v>
      </c>
      <c r="K142">
        <v>5.0999999999999996</v>
      </c>
      <c r="L142">
        <v>16752.16</v>
      </c>
      <c r="M142">
        <v>3.03</v>
      </c>
      <c r="N142">
        <v>54.54</v>
      </c>
      <c r="O142">
        <v>68</v>
      </c>
      <c r="P142" s="2">
        <v>46116</v>
      </c>
      <c r="Q142" s="2">
        <v>46118</v>
      </c>
      <c r="R142" t="s">
        <v>100</v>
      </c>
      <c r="S142" t="s">
        <v>72</v>
      </c>
    </row>
    <row r="143" spans="1:19" x14ac:dyDescent="0.25">
      <c r="A143" t="s">
        <v>230</v>
      </c>
      <c r="B143" s="2">
        <v>46037</v>
      </c>
      <c r="C143" t="s">
        <v>80</v>
      </c>
      <c r="D143" t="s">
        <v>21</v>
      </c>
      <c r="E143" t="s">
        <v>66</v>
      </c>
      <c r="F143" t="s">
        <v>119</v>
      </c>
      <c r="G143" t="s">
        <v>32</v>
      </c>
      <c r="H143">
        <v>123</v>
      </c>
      <c r="I143">
        <v>92</v>
      </c>
      <c r="J143">
        <v>7</v>
      </c>
      <c r="K143">
        <v>5.8</v>
      </c>
      <c r="L143">
        <v>25991.02</v>
      </c>
      <c r="M143">
        <v>3.81</v>
      </c>
      <c r="N143">
        <v>99.06</v>
      </c>
      <c r="O143">
        <v>93</v>
      </c>
      <c r="P143" s="2">
        <v>46042</v>
      </c>
      <c r="Q143" s="2">
        <v>46042</v>
      </c>
      <c r="R143" t="s">
        <v>39</v>
      </c>
      <c r="S143" t="s">
        <v>33</v>
      </c>
    </row>
    <row r="144" spans="1:19" x14ac:dyDescent="0.25">
      <c r="A144" t="s">
        <v>231</v>
      </c>
      <c r="B144" s="2">
        <v>46042</v>
      </c>
      <c r="C144" t="s">
        <v>59</v>
      </c>
      <c r="D144" t="s">
        <v>49</v>
      </c>
      <c r="E144" t="s">
        <v>60</v>
      </c>
      <c r="F144" t="s">
        <v>23</v>
      </c>
      <c r="G144" t="s">
        <v>24</v>
      </c>
      <c r="H144">
        <v>224</v>
      </c>
      <c r="I144">
        <v>224</v>
      </c>
      <c r="J144">
        <v>4</v>
      </c>
      <c r="K144">
        <v>7.7</v>
      </c>
      <c r="L144">
        <v>29763.68</v>
      </c>
      <c r="M144">
        <v>4.8099999999999996</v>
      </c>
      <c r="N144">
        <v>115.44</v>
      </c>
      <c r="O144">
        <v>203</v>
      </c>
      <c r="P144" s="2">
        <v>46048</v>
      </c>
      <c r="Q144" s="2">
        <v>46048</v>
      </c>
      <c r="R144" t="s">
        <v>39</v>
      </c>
      <c r="S144" t="s">
        <v>72</v>
      </c>
    </row>
    <row r="145" spans="1:19" x14ac:dyDescent="0.25">
      <c r="A145" t="s">
        <v>232</v>
      </c>
      <c r="B145" s="2">
        <v>46196</v>
      </c>
      <c r="C145" t="s">
        <v>48</v>
      </c>
      <c r="D145" t="s">
        <v>49</v>
      </c>
      <c r="E145" t="s">
        <v>76</v>
      </c>
      <c r="F145" t="s">
        <v>104</v>
      </c>
      <c r="G145" t="s">
        <v>24</v>
      </c>
      <c r="H145">
        <v>273</v>
      </c>
      <c r="I145">
        <v>283</v>
      </c>
      <c r="J145">
        <v>21</v>
      </c>
      <c r="K145">
        <v>6.2</v>
      </c>
      <c r="L145">
        <v>51171.31</v>
      </c>
      <c r="M145">
        <v>7.44</v>
      </c>
      <c r="N145">
        <v>133.91999999999999</v>
      </c>
      <c r="O145">
        <v>344</v>
      </c>
      <c r="P145" s="2">
        <v>46201</v>
      </c>
      <c r="Q145" s="2">
        <v>46200</v>
      </c>
      <c r="R145" t="s">
        <v>25</v>
      </c>
      <c r="S145" t="s">
        <v>26</v>
      </c>
    </row>
    <row r="146" spans="1:19" x14ac:dyDescent="0.25">
      <c r="A146" t="s">
        <v>233</v>
      </c>
      <c r="B146" s="2">
        <v>46124</v>
      </c>
      <c r="C146" t="s">
        <v>48</v>
      </c>
      <c r="D146" t="s">
        <v>49</v>
      </c>
      <c r="E146" t="s">
        <v>50</v>
      </c>
      <c r="F146" t="s">
        <v>106</v>
      </c>
      <c r="G146" t="s">
        <v>57</v>
      </c>
      <c r="H146">
        <v>242</v>
      </c>
      <c r="I146">
        <v>202</v>
      </c>
      <c r="J146">
        <v>19</v>
      </c>
      <c r="K146">
        <v>4.4000000000000004</v>
      </c>
      <c r="L146">
        <v>42831.89</v>
      </c>
      <c r="M146">
        <v>5.73</v>
      </c>
      <c r="N146">
        <v>148.97999999999999</v>
      </c>
      <c r="O146">
        <v>299</v>
      </c>
      <c r="P146" s="2">
        <v>46127</v>
      </c>
      <c r="Q146" s="2">
        <v>46127</v>
      </c>
      <c r="R146" t="s">
        <v>25</v>
      </c>
      <c r="S146" t="s">
        <v>33</v>
      </c>
    </row>
    <row r="147" spans="1:19" x14ac:dyDescent="0.25">
      <c r="A147" t="s">
        <v>234</v>
      </c>
      <c r="B147" s="2">
        <v>46091</v>
      </c>
      <c r="C147" t="s">
        <v>43</v>
      </c>
      <c r="D147" t="s">
        <v>44</v>
      </c>
      <c r="E147" t="s">
        <v>161</v>
      </c>
      <c r="F147" t="s">
        <v>88</v>
      </c>
      <c r="G147" t="s">
        <v>57</v>
      </c>
      <c r="H147">
        <v>262</v>
      </c>
      <c r="I147">
        <v>276</v>
      </c>
      <c r="J147">
        <v>5</v>
      </c>
      <c r="K147">
        <v>3.5</v>
      </c>
      <c r="L147">
        <v>27429.27</v>
      </c>
      <c r="M147">
        <v>11.21</v>
      </c>
      <c r="N147">
        <v>269.04000000000002</v>
      </c>
      <c r="O147">
        <v>314</v>
      </c>
      <c r="P147" s="2">
        <v>46097</v>
      </c>
      <c r="Q147" s="2">
        <v>46096</v>
      </c>
      <c r="R147" t="s">
        <v>25</v>
      </c>
      <c r="S147" t="s">
        <v>72</v>
      </c>
    </row>
    <row r="148" spans="1:19" x14ac:dyDescent="0.25">
      <c r="A148" t="s">
        <v>235</v>
      </c>
      <c r="B148" s="2">
        <v>46137</v>
      </c>
      <c r="C148" t="s">
        <v>35</v>
      </c>
      <c r="D148" t="s">
        <v>36</v>
      </c>
      <c r="E148" t="s">
        <v>37</v>
      </c>
      <c r="F148" t="s">
        <v>85</v>
      </c>
      <c r="G148" t="s">
        <v>57</v>
      </c>
      <c r="H148">
        <v>86</v>
      </c>
      <c r="I148">
        <v>65</v>
      </c>
      <c r="J148">
        <v>3</v>
      </c>
      <c r="K148">
        <v>5.4</v>
      </c>
      <c r="L148">
        <v>7240.16</v>
      </c>
      <c r="M148">
        <v>1.19</v>
      </c>
      <c r="N148">
        <v>28.56</v>
      </c>
      <c r="O148">
        <v>149</v>
      </c>
      <c r="P148" s="2">
        <v>46140</v>
      </c>
      <c r="Q148" s="2">
        <v>46140</v>
      </c>
      <c r="R148" t="s">
        <v>39</v>
      </c>
      <c r="S148" t="s">
        <v>72</v>
      </c>
    </row>
    <row r="149" spans="1:19" x14ac:dyDescent="0.25">
      <c r="A149" t="s">
        <v>236</v>
      </c>
      <c r="B149" s="2">
        <v>46066</v>
      </c>
      <c r="C149" t="s">
        <v>43</v>
      </c>
      <c r="D149" t="s">
        <v>44</v>
      </c>
      <c r="E149" t="s">
        <v>161</v>
      </c>
      <c r="F149" t="s">
        <v>104</v>
      </c>
      <c r="G149" t="s">
        <v>57</v>
      </c>
      <c r="H149">
        <v>157</v>
      </c>
      <c r="I149">
        <v>131</v>
      </c>
      <c r="J149">
        <v>2</v>
      </c>
      <c r="K149">
        <v>1.5</v>
      </c>
      <c r="L149">
        <v>13389.56</v>
      </c>
      <c r="M149">
        <v>4.82</v>
      </c>
      <c r="N149">
        <v>106.04</v>
      </c>
      <c r="O149">
        <v>181</v>
      </c>
      <c r="P149" s="2">
        <v>46071</v>
      </c>
      <c r="Q149" s="2">
        <v>46075</v>
      </c>
      <c r="R149" t="s">
        <v>39</v>
      </c>
      <c r="S149" t="s">
        <v>72</v>
      </c>
    </row>
    <row r="150" spans="1:19" x14ac:dyDescent="0.25">
      <c r="A150" t="s">
        <v>237</v>
      </c>
      <c r="B150" s="2">
        <v>46050</v>
      </c>
      <c r="C150" t="s">
        <v>43</v>
      </c>
      <c r="D150" t="s">
        <v>44</v>
      </c>
      <c r="E150" t="s">
        <v>161</v>
      </c>
      <c r="F150" t="s">
        <v>106</v>
      </c>
      <c r="G150" t="s">
        <v>57</v>
      </c>
      <c r="H150">
        <v>81</v>
      </c>
      <c r="I150">
        <v>91</v>
      </c>
      <c r="J150">
        <v>3</v>
      </c>
      <c r="K150">
        <v>5.6</v>
      </c>
      <c r="L150">
        <v>11319.21</v>
      </c>
      <c r="M150">
        <v>2.37</v>
      </c>
      <c r="N150">
        <v>61.62</v>
      </c>
      <c r="O150">
        <v>84</v>
      </c>
      <c r="P150" s="2">
        <v>46056</v>
      </c>
      <c r="Q150" s="2">
        <v>46057</v>
      </c>
      <c r="R150" t="s">
        <v>39</v>
      </c>
      <c r="S150" t="s">
        <v>72</v>
      </c>
    </row>
    <row r="151" spans="1:19" x14ac:dyDescent="0.25">
      <c r="A151" t="s">
        <v>238</v>
      </c>
      <c r="B151" s="2">
        <v>46103</v>
      </c>
      <c r="C151" t="s">
        <v>43</v>
      </c>
      <c r="D151" t="s">
        <v>44</v>
      </c>
      <c r="E151" t="s">
        <v>161</v>
      </c>
      <c r="F151" t="s">
        <v>137</v>
      </c>
      <c r="G151" t="s">
        <v>57</v>
      </c>
      <c r="H151">
        <v>161</v>
      </c>
      <c r="I151">
        <v>136</v>
      </c>
      <c r="J151">
        <v>9</v>
      </c>
      <c r="K151">
        <v>4.4000000000000004</v>
      </c>
      <c r="L151">
        <v>15281.23</v>
      </c>
      <c r="M151">
        <v>3.68</v>
      </c>
      <c r="N151">
        <v>88.32</v>
      </c>
      <c r="O151">
        <v>214</v>
      </c>
      <c r="P151" s="2">
        <v>46106</v>
      </c>
      <c r="Q151" s="2">
        <v>46106</v>
      </c>
      <c r="R151" t="s">
        <v>39</v>
      </c>
      <c r="S151" t="s">
        <v>26</v>
      </c>
    </row>
    <row r="152" spans="1:19" x14ac:dyDescent="0.25">
      <c r="A152" t="s">
        <v>239</v>
      </c>
      <c r="B152" s="2">
        <v>46029</v>
      </c>
      <c r="C152" t="s">
        <v>53</v>
      </c>
      <c r="D152" t="s">
        <v>54</v>
      </c>
      <c r="E152" t="s">
        <v>55</v>
      </c>
      <c r="F152" t="s">
        <v>106</v>
      </c>
      <c r="G152" t="s">
        <v>32</v>
      </c>
      <c r="H152">
        <v>192</v>
      </c>
      <c r="I152">
        <v>204</v>
      </c>
      <c r="J152">
        <v>16</v>
      </c>
      <c r="K152">
        <v>0.6</v>
      </c>
      <c r="L152">
        <v>35386.239999999998</v>
      </c>
      <c r="M152">
        <v>6.97</v>
      </c>
      <c r="N152">
        <v>139.4</v>
      </c>
      <c r="O152">
        <v>229</v>
      </c>
      <c r="P152" s="2">
        <v>46034</v>
      </c>
      <c r="Q152" s="2">
        <v>46034</v>
      </c>
      <c r="R152" t="s">
        <v>25</v>
      </c>
      <c r="S152" t="s">
        <v>72</v>
      </c>
    </row>
    <row r="153" spans="1:19" x14ac:dyDescent="0.25">
      <c r="A153" t="s">
        <v>240</v>
      </c>
      <c r="B153" s="2">
        <v>46041</v>
      </c>
      <c r="C153" t="s">
        <v>53</v>
      </c>
      <c r="D153" t="s">
        <v>54</v>
      </c>
      <c r="E153" t="s">
        <v>131</v>
      </c>
      <c r="F153" t="s">
        <v>197</v>
      </c>
      <c r="G153" t="s">
        <v>57</v>
      </c>
      <c r="H153">
        <v>229</v>
      </c>
      <c r="I153">
        <v>204</v>
      </c>
      <c r="J153">
        <v>10</v>
      </c>
      <c r="K153">
        <v>8.3000000000000007</v>
      </c>
      <c r="L153">
        <v>31522.12</v>
      </c>
      <c r="M153">
        <v>7.54</v>
      </c>
      <c r="N153">
        <v>165.88</v>
      </c>
      <c r="O153">
        <v>326</v>
      </c>
      <c r="P153" s="2">
        <v>46052</v>
      </c>
      <c r="Q153" s="2">
        <v>46051</v>
      </c>
      <c r="R153" t="s">
        <v>25</v>
      </c>
      <c r="S153" t="s">
        <v>86</v>
      </c>
    </row>
    <row r="154" spans="1:19" x14ac:dyDescent="0.25">
      <c r="A154" t="s">
        <v>241</v>
      </c>
      <c r="B154" s="2">
        <v>46065</v>
      </c>
      <c r="C154" t="s">
        <v>80</v>
      </c>
      <c r="D154" t="s">
        <v>21</v>
      </c>
      <c r="E154" t="s">
        <v>66</v>
      </c>
      <c r="F154" t="s">
        <v>91</v>
      </c>
      <c r="G154" t="s">
        <v>32</v>
      </c>
      <c r="H154">
        <v>245</v>
      </c>
      <c r="I154">
        <v>247</v>
      </c>
      <c r="J154">
        <v>10</v>
      </c>
      <c r="K154">
        <v>6.8</v>
      </c>
      <c r="L154">
        <v>75487.259999999995</v>
      </c>
      <c r="M154">
        <v>4.51</v>
      </c>
      <c r="N154">
        <v>99.22</v>
      </c>
      <c r="O154">
        <v>261</v>
      </c>
      <c r="P154" s="2">
        <v>46075</v>
      </c>
      <c r="Q154" s="2">
        <v>46075</v>
      </c>
      <c r="R154" t="s">
        <v>100</v>
      </c>
      <c r="S154" t="s">
        <v>72</v>
      </c>
    </row>
    <row r="155" spans="1:19" x14ac:dyDescent="0.25">
      <c r="A155" t="s">
        <v>242</v>
      </c>
      <c r="B155" s="2">
        <v>46196</v>
      </c>
      <c r="C155" t="s">
        <v>43</v>
      </c>
      <c r="D155" t="s">
        <v>44</v>
      </c>
      <c r="E155" t="s">
        <v>161</v>
      </c>
      <c r="F155" t="s">
        <v>85</v>
      </c>
      <c r="G155" t="s">
        <v>32</v>
      </c>
      <c r="H155">
        <v>86</v>
      </c>
      <c r="I155">
        <v>79</v>
      </c>
      <c r="J155">
        <v>2</v>
      </c>
      <c r="K155">
        <v>8.3000000000000007</v>
      </c>
      <c r="L155">
        <v>8597.32</v>
      </c>
      <c r="M155">
        <v>2.81</v>
      </c>
      <c r="N155">
        <v>61.82</v>
      </c>
      <c r="O155">
        <v>129</v>
      </c>
      <c r="P155" s="2">
        <v>46203</v>
      </c>
      <c r="Q155" s="2">
        <v>46207</v>
      </c>
      <c r="R155" t="s">
        <v>25</v>
      </c>
    </row>
    <row r="156" spans="1:19" x14ac:dyDescent="0.25">
      <c r="A156" t="s">
        <v>243</v>
      </c>
      <c r="B156" s="2">
        <v>46144</v>
      </c>
      <c r="C156" t="s">
        <v>20</v>
      </c>
      <c r="D156" t="s">
        <v>21</v>
      </c>
      <c r="E156" t="s">
        <v>90</v>
      </c>
      <c r="F156" t="s">
        <v>244</v>
      </c>
      <c r="G156" t="s">
        <v>32</v>
      </c>
      <c r="H156">
        <v>264</v>
      </c>
      <c r="I156">
        <v>269</v>
      </c>
      <c r="J156">
        <v>9</v>
      </c>
      <c r="K156">
        <v>2.7</v>
      </c>
      <c r="L156">
        <v>86864.05</v>
      </c>
      <c r="M156">
        <v>10.32</v>
      </c>
      <c r="N156">
        <v>185.76</v>
      </c>
      <c r="O156">
        <v>266</v>
      </c>
      <c r="P156" s="2">
        <v>46149</v>
      </c>
      <c r="Q156" s="2">
        <v>46149</v>
      </c>
      <c r="R156" t="s">
        <v>39</v>
      </c>
      <c r="S156" t="s">
        <v>26</v>
      </c>
    </row>
    <row r="157" spans="1:19" x14ac:dyDescent="0.25">
      <c r="A157" t="s">
        <v>245</v>
      </c>
      <c r="B157" s="2">
        <v>46132</v>
      </c>
      <c r="C157" t="s">
        <v>53</v>
      </c>
      <c r="D157" t="s">
        <v>54</v>
      </c>
      <c r="E157" t="s">
        <v>55</v>
      </c>
      <c r="F157" t="s">
        <v>135</v>
      </c>
      <c r="G157" t="s">
        <v>24</v>
      </c>
      <c r="H157">
        <v>284</v>
      </c>
      <c r="I157">
        <v>253</v>
      </c>
      <c r="J157">
        <v>5</v>
      </c>
      <c r="K157">
        <v>5.8</v>
      </c>
      <c r="L157">
        <v>30819.43</v>
      </c>
      <c r="M157">
        <v>8.2799999999999994</v>
      </c>
      <c r="N157">
        <v>165.6</v>
      </c>
      <c r="O157">
        <v>359</v>
      </c>
      <c r="P157" s="2">
        <v>46143</v>
      </c>
      <c r="Q157" s="2">
        <v>46145</v>
      </c>
      <c r="R157" t="s">
        <v>100</v>
      </c>
      <c r="S157" t="s">
        <v>51</v>
      </c>
    </row>
    <row r="158" spans="1:19" x14ac:dyDescent="0.25">
      <c r="A158" t="s">
        <v>246</v>
      </c>
      <c r="B158" s="2">
        <v>46075</v>
      </c>
      <c r="C158" t="s">
        <v>59</v>
      </c>
      <c r="D158" t="s">
        <v>49</v>
      </c>
      <c r="E158" t="s">
        <v>60</v>
      </c>
      <c r="F158" t="s">
        <v>110</v>
      </c>
      <c r="G158" t="s">
        <v>32</v>
      </c>
      <c r="H158">
        <v>287</v>
      </c>
      <c r="I158">
        <v>304</v>
      </c>
      <c r="J158">
        <v>17</v>
      </c>
      <c r="K158">
        <v>7.2</v>
      </c>
      <c r="L158">
        <v>51858.31</v>
      </c>
      <c r="M158">
        <v>6.91</v>
      </c>
      <c r="N158">
        <v>124.38</v>
      </c>
      <c r="O158">
        <v>314</v>
      </c>
      <c r="P158" s="2">
        <v>46087</v>
      </c>
      <c r="Q158" s="2">
        <v>46091</v>
      </c>
      <c r="R158" t="s">
        <v>39</v>
      </c>
      <c r="S158" t="s">
        <v>26</v>
      </c>
    </row>
    <row r="159" spans="1:19" x14ac:dyDescent="0.25">
      <c r="A159" t="s">
        <v>247</v>
      </c>
      <c r="B159" s="2">
        <v>46122</v>
      </c>
      <c r="C159" t="s">
        <v>35</v>
      </c>
      <c r="D159" t="s">
        <v>36</v>
      </c>
      <c r="E159" t="s">
        <v>37</v>
      </c>
      <c r="F159" t="s">
        <v>71</v>
      </c>
      <c r="G159" t="s">
        <v>57</v>
      </c>
      <c r="H159">
        <v>169</v>
      </c>
      <c r="I159">
        <v>147</v>
      </c>
      <c r="J159">
        <v>6</v>
      </c>
      <c r="K159">
        <v>1.6</v>
      </c>
      <c r="L159">
        <v>15538.22</v>
      </c>
      <c r="M159">
        <v>5.89</v>
      </c>
      <c r="N159">
        <v>153.13999999999999</v>
      </c>
      <c r="O159">
        <v>150</v>
      </c>
      <c r="P159" s="2">
        <v>46134</v>
      </c>
      <c r="Q159" s="2">
        <v>46134</v>
      </c>
      <c r="R159" t="s">
        <v>25</v>
      </c>
      <c r="S159" t="s">
        <v>86</v>
      </c>
    </row>
    <row r="160" spans="1:19" x14ac:dyDescent="0.25">
      <c r="A160" t="s">
        <v>248</v>
      </c>
      <c r="B160" s="2">
        <v>46052</v>
      </c>
      <c r="C160" t="s">
        <v>43</v>
      </c>
      <c r="D160" t="s">
        <v>44</v>
      </c>
      <c r="E160" t="s">
        <v>161</v>
      </c>
      <c r="F160" t="s">
        <v>125</v>
      </c>
      <c r="G160" t="s">
        <v>57</v>
      </c>
      <c r="H160">
        <v>257</v>
      </c>
      <c r="I160">
        <v>200</v>
      </c>
      <c r="J160">
        <v>7</v>
      </c>
      <c r="K160">
        <v>5.4</v>
      </c>
      <c r="L160">
        <v>23630.6</v>
      </c>
      <c r="M160">
        <v>5.94</v>
      </c>
      <c r="N160">
        <v>154.44</v>
      </c>
      <c r="O160">
        <v>261</v>
      </c>
      <c r="P160" s="2">
        <v>46062</v>
      </c>
      <c r="Q160" s="2">
        <v>46062</v>
      </c>
      <c r="R160" t="s">
        <v>100</v>
      </c>
      <c r="S160" t="s">
        <v>51</v>
      </c>
    </row>
    <row r="161" spans="1:19" x14ac:dyDescent="0.25">
      <c r="A161" t="s">
        <v>249</v>
      </c>
      <c r="B161" s="2">
        <v>46103</v>
      </c>
      <c r="C161" t="s">
        <v>53</v>
      </c>
      <c r="D161" t="s">
        <v>54</v>
      </c>
      <c r="E161" t="s">
        <v>55</v>
      </c>
      <c r="F161" t="s">
        <v>106</v>
      </c>
      <c r="G161" t="s">
        <v>32</v>
      </c>
      <c r="H161">
        <v>301</v>
      </c>
      <c r="I161">
        <v>263</v>
      </c>
      <c r="J161">
        <v>1</v>
      </c>
      <c r="K161">
        <v>1.2</v>
      </c>
      <c r="L161">
        <v>47035.67</v>
      </c>
      <c r="M161">
        <v>7.92</v>
      </c>
      <c r="N161">
        <v>190.08</v>
      </c>
      <c r="O161">
        <v>365</v>
      </c>
      <c r="P161" s="2">
        <v>46115</v>
      </c>
      <c r="Q161" s="2">
        <v>46119</v>
      </c>
      <c r="R161" t="s">
        <v>100</v>
      </c>
      <c r="S161" t="s">
        <v>72</v>
      </c>
    </row>
    <row r="162" spans="1:19" x14ac:dyDescent="0.25">
      <c r="A162" t="s">
        <v>250</v>
      </c>
      <c r="B162" s="2">
        <v>46065</v>
      </c>
      <c r="C162" t="s">
        <v>20</v>
      </c>
      <c r="D162" t="s">
        <v>21</v>
      </c>
      <c r="E162" t="s">
        <v>66</v>
      </c>
      <c r="F162" t="s">
        <v>71</v>
      </c>
      <c r="G162" t="s">
        <v>32</v>
      </c>
      <c r="H162">
        <v>87</v>
      </c>
      <c r="I162">
        <v>92</v>
      </c>
      <c r="J162">
        <v>2</v>
      </c>
      <c r="K162">
        <v>0.3</v>
      </c>
      <c r="L162">
        <v>25324.22</v>
      </c>
      <c r="M162">
        <v>3.38</v>
      </c>
      <c r="N162">
        <v>87.88</v>
      </c>
      <c r="O162">
        <v>176</v>
      </c>
      <c r="P162" s="2">
        <v>46075</v>
      </c>
      <c r="Q162" s="2">
        <v>46074</v>
      </c>
      <c r="R162" t="s">
        <v>39</v>
      </c>
      <c r="S162" t="s">
        <v>26</v>
      </c>
    </row>
    <row r="163" spans="1:19" x14ac:dyDescent="0.25">
      <c r="A163" t="s">
        <v>251</v>
      </c>
      <c r="B163" s="2">
        <v>46116</v>
      </c>
      <c r="C163" t="s">
        <v>80</v>
      </c>
      <c r="D163" t="s">
        <v>21</v>
      </c>
      <c r="E163" t="s">
        <v>66</v>
      </c>
      <c r="F163" t="s">
        <v>74</v>
      </c>
      <c r="G163" t="s">
        <v>57</v>
      </c>
      <c r="H163">
        <v>192</v>
      </c>
      <c r="I163">
        <v>183</v>
      </c>
      <c r="J163">
        <v>17</v>
      </c>
      <c r="K163">
        <v>0.9</v>
      </c>
      <c r="L163">
        <v>58279.88</v>
      </c>
      <c r="M163">
        <v>4.5999999999999996</v>
      </c>
      <c r="N163">
        <v>82.8</v>
      </c>
      <c r="O163">
        <v>267</v>
      </c>
      <c r="P163" s="2">
        <v>46122</v>
      </c>
      <c r="Q163" s="2">
        <v>46123</v>
      </c>
      <c r="R163" t="s">
        <v>25</v>
      </c>
      <c r="S163" t="s">
        <v>51</v>
      </c>
    </row>
    <row r="164" spans="1:19" x14ac:dyDescent="0.25">
      <c r="A164" t="s">
        <v>252</v>
      </c>
      <c r="B164" s="2">
        <v>46076</v>
      </c>
      <c r="C164" t="s">
        <v>48</v>
      </c>
      <c r="D164" t="s">
        <v>49</v>
      </c>
      <c r="E164" t="s">
        <v>60</v>
      </c>
      <c r="F164" t="s">
        <v>106</v>
      </c>
      <c r="G164" t="s">
        <v>32</v>
      </c>
      <c r="H164">
        <v>236</v>
      </c>
      <c r="I164">
        <v>234</v>
      </c>
      <c r="J164">
        <v>4</v>
      </c>
      <c r="K164">
        <v>1.3</v>
      </c>
      <c r="L164">
        <v>38578</v>
      </c>
      <c r="M164">
        <v>4.55</v>
      </c>
      <c r="N164">
        <v>100.1</v>
      </c>
      <c r="O164">
        <v>332</v>
      </c>
      <c r="P164" s="2">
        <v>46082</v>
      </c>
      <c r="Q164" s="2">
        <v>46082</v>
      </c>
      <c r="R164" t="s">
        <v>25</v>
      </c>
      <c r="S164" t="s">
        <v>86</v>
      </c>
    </row>
    <row r="165" spans="1:19" x14ac:dyDescent="0.25">
      <c r="A165" t="s">
        <v>253</v>
      </c>
      <c r="B165" s="2">
        <v>46169</v>
      </c>
      <c r="C165" t="s">
        <v>59</v>
      </c>
      <c r="D165" t="s">
        <v>49</v>
      </c>
      <c r="E165" t="s">
        <v>60</v>
      </c>
      <c r="F165" t="s">
        <v>61</v>
      </c>
      <c r="G165" t="s">
        <v>57</v>
      </c>
      <c r="H165">
        <v>310</v>
      </c>
      <c r="I165">
        <v>313</v>
      </c>
      <c r="J165">
        <v>4</v>
      </c>
      <c r="K165">
        <v>8.6999999999999993</v>
      </c>
      <c r="L165">
        <v>67037.06</v>
      </c>
      <c r="M165">
        <v>13.09</v>
      </c>
      <c r="N165">
        <v>261.8</v>
      </c>
      <c r="O165">
        <v>303</v>
      </c>
      <c r="P165" s="2">
        <v>46174</v>
      </c>
      <c r="Q165" s="2">
        <v>46174</v>
      </c>
      <c r="R165" t="s">
        <v>25</v>
      </c>
      <c r="S165" t="s">
        <v>72</v>
      </c>
    </row>
    <row r="166" spans="1:19" x14ac:dyDescent="0.25">
      <c r="A166" t="s">
        <v>254</v>
      </c>
      <c r="B166" s="2">
        <v>46148</v>
      </c>
      <c r="C166" t="s">
        <v>43</v>
      </c>
      <c r="D166" t="s">
        <v>44</v>
      </c>
      <c r="E166" t="s">
        <v>45</v>
      </c>
      <c r="F166" t="s">
        <v>96</v>
      </c>
      <c r="G166" t="s">
        <v>24</v>
      </c>
      <c r="H166">
        <v>241</v>
      </c>
      <c r="I166">
        <v>201</v>
      </c>
      <c r="J166">
        <v>8</v>
      </c>
      <c r="K166">
        <v>4.0999999999999996</v>
      </c>
      <c r="L166">
        <v>27266.91</v>
      </c>
      <c r="M166">
        <v>4.07</v>
      </c>
      <c r="N166">
        <v>105.82</v>
      </c>
      <c r="O166">
        <v>272</v>
      </c>
      <c r="P166" s="2">
        <v>46155</v>
      </c>
      <c r="Q166" s="2">
        <v>46159</v>
      </c>
      <c r="R166" t="s">
        <v>100</v>
      </c>
      <c r="S166" t="s">
        <v>33</v>
      </c>
    </row>
    <row r="167" spans="1:19" x14ac:dyDescent="0.25">
      <c r="A167" t="s">
        <v>255</v>
      </c>
      <c r="B167" s="2">
        <v>46046</v>
      </c>
      <c r="C167" t="s">
        <v>53</v>
      </c>
      <c r="D167" t="s">
        <v>54</v>
      </c>
      <c r="E167" t="s">
        <v>131</v>
      </c>
      <c r="F167" t="s">
        <v>56</v>
      </c>
      <c r="G167" t="s">
        <v>32</v>
      </c>
      <c r="H167">
        <v>297</v>
      </c>
      <c r="I167">
        <v>221</v>
      </c>
      <c r="J167">
        <v>11</v>
      </c>
      <c r="K167">
        <v>2</v>
      </c>
      <c r="L167">
        <v>28401.52</v>
      </c>
      <c r="M167">
        <v>5.4</v>
      </c>
      <c r="N167">
        <v>118.8</v>
      </c>
      <c r="O167">
        <v>343</v>
      </c>
      <c r="P167" s="2">
        <v>46056</v>
      </c>
      <c r="Q167" s="2">
        <v>46056</v>
      </c>
      <c r="R167" t="s">
        <v>39</v>
      </c>
      <c r="S167" t="s">
        <v>86</v>
      </c>
    </row>
    <row r="168" spans="1:19" x14ac:dyDescent="0.25">
      <c r="A168" t="s">
        <v>256</v>
      </c>
      <c r="B168" s="2">
        <v>46197</v>
      </c>
      <c r="C168" t="s">
        <v>80</v>
      </c>
      <c r="D168" t="s">
        <v>21</v>
      </c>
      <c r="E168" t="s">
        <v>22</v>
      </c>
      <c r="F168" t="s">
        <v>56</v>
      </c>
      <c r="G168" t="s">
        <v>32</v>
      </c>
      <c r="H168">
        <v>105</v>
      </c>
      <c r="I168">
        <v>103</v>
      </c>
      <c r="J168">
        <v>8</v>
      </c>
      <c r="K168">
        <v>0.1</v>
      </c>
      <c r="L168">
        <v>28812.76</v>
      </c>
      <c r="M168">
        <v>2.98</v>
      </c>
      <c r="N168">
        <v>71.52</v>
      </c>
      <c r="O168">
        <v>116</v>
      </c>
      <c r="P168" s="2">
        <v>46201</v>
      </c>
      <c r="Q168" s="2">
        <v>46201</v>
      </c>
      <c r="R168" t="s">
        <v>25</v>
      </c>
      <c r="S168" t="s">
        <v>33</v>
      </c>
    </row>
    <row r="169" spans="1:19" x14ac:dyDescent="0.25">
      <c r="A169" t="s">
        <v>257</v>
      </c>
      <c r="B169" s="2">
        <v>46190</v>
      </c>
      <c r="C169" t="s">
        <v>48</v>
      </c>
      <c r="D169" t="s">
        <v>49</v>
      </c>
      <c r="E169" t="s">
        <v>76</v>
      </c>
      <c r="F169" t="s">
        <v>135</v>
      </c>
      <c r="G169" t="s">
        <v>57</v>
      </c>
      <c r="H169">
        <v>101</v>
      </c>
      <c r="I169">
        <v>88</v>
      </c>
      <c r="J169">
        <v>7</v>
      </c>
      <c r="K169">
        <v>1.5</v>
      </c>
      <c r="L169">
        <v>16063.02</v>
      </c>
      <c r="M169">
        <v>3.06</v>
      </c>
      <c r="N169">
        <v>61.2</v>
      </c>
      <c r="O169">
        <v>170</v>
      </c>
      <c r="P169" s="2">
        <v>46202</v>
      </c>
      <c r="Q169" s="2">
        <v>46201</v>
      </c>
      <c r="R169" t="s">
        <v>25</v>
      </c>
      <c r="S169" t="s">
        <v>72</v>
      </c>
    </row>
    <row r="170" spans="1:19" x14ac:dyDescent="0.25">
      <c r="A170" t="s">
        <v>258</v>
      </c>
      <c r="B170" s="2">
        <v>46042</v>
      </c>
      <c r="C170" t="s">
        <v>43</v>
      </c>
      <c r="D170" t="s">
        <v>44</v>
      </c>
      <c r="E170" t="s">
        <v>45</v>
      </c>
      <c r="F170" t="s">
        <v>88</v>
      </c>
      <c r="G170" t="s">
        <v>24</v>
      </c>
      <c r="H170">
        <v>137</v>
      </c>
      <c r="I170">
        <v>129</v>
      </c>
      <c r="J170">
        <v>5</v>
      </c>
      <c r="K170">
        <v>0.1</v>
      </c>
      <c r="L170">
        <v>12848.3</v>
      </c>
      <c r="M170">
        <v>4.99</v>
      </c>
      <c r="N170">
        <v>99.8</v>
      </c>
      <c r="O170">
        <v>219</v>
      </c>
      <c r="P170" s="2">
        <v>46045</v>
      </c>
      <c r="Q170" s="2">
        <v>46045</v>
      </c>
      <c r="R170" t="s">
        <v>100</v>
      </c>
      <c r="S170" t="s">
        <v>33</v>
      </c>
    </row>
    <row r="171" spans="1:19" x14ac:dyDescent="0.25">
      <c r="A171" t="s">
        <v>259</v>
      </c>
      <c r="B171" s="2">
        <v>46049</v>
      </c>
      <c r="C171" t="s">
        <v>48</v>
      </c>
      <c r="D171" t="s">
        <v>49</v>
      </c>
      <c r="E171" t="s">
        <v>76</v>
      </c>
      <c r="F171" t="s">
        <v>110</v>
      </c>
      <c r="G171" t="s">
        <v>57</v>
      </c>
      <c r="H171">
        <v>305</v>
      </c>
      <c r="I171">
        <v>258</v>
      </c>
      <c r="J171">
        <v>10</v>
      </c>
      <c r="K171">
        <v>7.3</v>
      </c>
      <c r="L171">
        <v>60783.69</v>
      </c>
      <c r="M171">
        <v>8.84</v>
      </c>
      <c r="N171">
        <v>159.12</v>
      </c>
      <c r="O171">
        <v>400</v>
      </c>
      <c r="P171" s="2">
        <v>46060</v>
      </c>
      <c r="Q171" s="2">
        <v>46058</v>
      </c>
      <c r="R171" t="s">
        <v>39</v>
      </c>
      <c r="S171" t="s">
        <v>72</v>
      </c>
    </row>
    <row r="172" spans="1:19" x14ac:dyDescent="0.25">
      <c r="A172" t="s">
        <v>260</v>
      </c>
      <c r="B172" s="2">
        <v>46112</v>
      </c>
      <c r="C172" t="s">
        <v>28</v>
      </c>
      <c r="D172" t="s">
        <v>29</v>
      </c>
      <c r="E172" t="s">
        <v>30</v>
      </c>
      <c r="F172" t="s">
        <v>83</v>
      </c>
      <c r="G172" t="s">
        <v>57</v>
      </c>
      <c r="H172">
        <v>271</v>
      </c>
      <c r="I172">
        <v>212</v>
      </c>
      <c r="J172">
        <v>8</v>
      </c>
      <c r="K172">
        <v>6.2</v>
      </c>
      <c r="L172">
        <v>48686</v>
      </c>
      <c r="M172">
        <v>4.33</v>
      </c>
      <c r="N172">
        <v>77.94</v>
      </c>
      <c r="O172">
        <v>329</v>
      </c>
      <c r="P172" s="2">
        <v>46119</v>
      </c>
      <c r="Q172" s="2">
        <v>46121</v>
      </c>
      <c r="R172" t="s">
        <v>25</v>
      </c>
      <c r="S172" t="s">
        <v>51</v>
      </c>
    </row>
    <row r="173" spans="1:19" x14ac:dyDescent="0.25">
      <c r="A173" t="s">
        <v>261</v>
      </c>
      <c r="B173" s="2">
        <v>46093</v>
      </c>
      <c r="C173" t="s">
        <v>20</v>
      </c>
      <c r="D173" t="s">
        <v>21</v>
      </c>
      <c r="E173" t="s">
        <v>22</v>
      </c>
      <c r="F173" t="s">
        <v>125</v>
      </c>
      <c r="G173" t="s">
        <v>24</v>
      </c>
      <c r="H173">
        <v>221</v>
      </c>
      <c r="I173">
        <v>216</v>
      </c>
      <c r="J173">
        <v>15</v>
      </c>
      <c r="K173">
        <v>2.6</v>
      </c>
      <c r="L173">
        <v>70795.19</v>
      </c>
      <c r="M173">
        <v>8.2799999999999994</v>
      </c>
      <c r="N173">
        <v>182.16</v>
      </c>
      <c r="O173">
        <v>233</v>
      </c>
      <c r="P173" s="2">
        <v>46103</v>
      </c>
      <c r="Q173" s="2">
        <v>46103</v>
      </c>
      <c r="R173" t="s">
        <v>100</v>
      </c>
      <c r="S173" t="s">
        <v>33</v>
      </c>
    </row>
    <row r="174" spans="1:19" x14ac:dyDescent="0.25">
      <c r="A174" t="s">
        <v>262</v>
      </c>
      <c r="B174" s="2">
        <v>46084</v>
      </c>
      <c r="C174" t="s">
        <v>53</v>
      </c>
      <c r="D174" t="s">
        <v>54</v>
      </c>
      <c r="E174" t="s">
        <v>131</v>
      </c>
      <c r="F174" t="s">
        <v>137</v>
      </c>
      <c r="G174" t="s">
        <v>24</v>
      </c>
      <c r="H174">
        <v>108</v>
      </c>
      <c r="I174">
        <v>88</v>
      </c>
      <c r="J174">
        <v>5</v>
      </c>
      <c r="K174">
        <v>0.6</v>
      </c>
      <c r="L174">
        <v>12460.26</v>
      </c>
      <c r="M174">
        <v>2.35</v>
      </c>
      <c r="N174">
        <v>51.7</v>
      </c>
      <c r="O174">
        <v>101</v>
      </c>
      <c r="P174" s="2">
        <v>46092</v>
      </c>
      <c r="Q174" s="2">
        <v>46094</v>
      </c>
      <c r="R174" t="s">
        <v>25</v>
      </c>
      <c r="S174" t="s">
        <v>51</v>
      </c>
    </row>
    <row r="175" spans="1:19" x14ac:dyDescent="0.25">
      <c r="A175" t="s">
        <v>263</v>
      </c>
      <c r="B175" s="2">
        <v>46143</v>
      </c>
      <c r="C175" t="s">
        <v>20</v>
      </c>
      <c r="D175" t="s">
        <v>21</v>
      </c>
      <c r="E175" t="s">
        <v>22</v>
      </c>
      <c r="F175" t="s">
        <v>110</v>
      </c>
      <c r="G175" t="s">
        <v>24</v>
      </c>
      <c r="H175">
        <v>230</v>
      </c>
      <c r="I175">
        <v>172</v>
      </c>
      <c r="J175">
        <v>4</v>
      </c>
      <c r="K175">
        <v>0.4</v>
      </c>
      <c r="L175">
        <v>50519.77</v>
      </c>
      <c r="M175">
        <v>5.19</v>
      </c>
      <c r="N175">
        <v>134.94</v>
      </c>
      <c r="O175">
        <v>296</v>
      </c>
      <c r="P175" s="2">
        <v>46151</v>
      </c>
      <c r="Q175" s="2">
        <v>46153</v>
      </c>
      <c r="R175" t="s">
        <v>25</v>
      </c>
      <c r="S175" t="s">
        <v>26</v>
      </c>
    </row>
    <row r="176" spans="1:19" x14ac:dyDescent="0.25">
      <c r="A176" t="s">
        <v>264</v>
      </c>
      <c r="B176" s="2">
        <v>46180</v>
      </c>
      <c r="C176" t="s">
        <v>43</v>
      </c>
      <c r="D176" t="s">
        <v>44</v>
      </c>
      <c r="E176" t="s">
        <v>161</v>
      </c>
      <c r="F176" t="s">
        <v>23</v>
      </c>
      <c r="G176" t="s">
        <v>57</v>
      </c>
      <c r="H176">
        <v>101</v>
      </c>
      <c r="I176">
        <v>86</v>
      </c>
      <c r="J176">
        <v>4</v>
      </c>
      <c r="K176">
        <v>1.8</v>
      </c>
      <c r="L176">
        <v>11332.61</v>
      </c>
      <c r="M176">
        <v>2.35</v>
      </c>
      <c r="N176">
        <v>42.3</v>
      </c>
      <c r="O176">
        <v>140</v>
      </c>
      <c r="P176" s="2">
        <v>46188</v>
      </c>
      <c r="Q176" s="2">
        <v>46188</v>
      </c>
      <c r="R176" t="s">
        <v>25</v>
      </c>
      <c r="S176" t="s">
        <v>72</v>
      </c>
    </row>
    <row r="177" spans="1:19" x14ac:dyDescent="0.25">
      <c r="A177" t="s">
        <v>265</v>
      </c>
      <c r="B177" s="2">
        <v>46052</v>
      </c>
      <c r="C177" t="s">
        <v>53</v>
      </c>
      <c r="D177" t="s">
        <v>54</v>
      </c>
      <c r="E177" t="s">
        <v>55</v>
      </c>
      <c r="F177" t="s">
        <v>91</v>
      </c>
      <c r="G177" t="s">
        <v>57</v>
      </c>
      <c r="H177">
        <v>159</v>
      </c>
      <c r="I177">
        <v>160</v>
      </c>
      <c r="J177">
        <v>10</v>
      </c>
      <c r="K177">
        <v>1.6</v>
      </c>
      <c r="L177">
        <v>17018.689999999999</v>
      </c>
      <c r="M177">
        <v>2.92</v>
      </c>
      <c r="N177">
        <v>70.08</v>
      </c>
      <c r="O177">
        <v>207</v>
      </c>
      <c r="P177" s="2">
        <v>46062</v>
      </c>
      <c r="Q177" s="2">
        <v>46062</v>
      </c>
      <c r="R177" t="s">
        <v>25</v>
      </c>
      <c r="S177" t="s">
        <v>86</v>
      </c>
    </row>
    <row r="178" spans="1:19" x14ac:dyDescent="0.25">
      <c r="A178" t="s">
        <v>266</v>
      </c>
      <c r="B178" s="2">
        <v>46053</v>
      </c>
      <c r="C178" t="s">
        <v>80</v>
      </c>
      <c r="D178" t="s">
        <v>21</v>
      </c>
      <c r="E178" t="s">
        <v>90</v>
      </c>
      <c r="F178" t="s">
        <v>244</v>
      </c>
      <c r="G178" t="s">
        <v>32</v>
      </c>
      <c r="H178">
        <v>286</v>
      </c>
      <c r="I178">
        <v>258</v>
      </c>
      <c r="J178">
        <v>13</v>
      </c>
      <c r="K178">
        <v>2.4</v>
      </c>
      <c r="L178">
        <v>83327.210000000006</v>
      </c>
      <c r="M178">
        <v>7.72</v>
      </c>
      <c r="N178">
        <v>200.72</v>
      </c>
      <c r="O178">
        <v>338</v>
      </c>
      <c r="P178" s="2">
        <v>46055</v>
      </c>
      <c r="Q178" s="2">
        <v>46059</v>
      </c>
      <c r="R178" t="s">
        <v>39</v>
      </c>
      <c r="S178" t="s">
        <v>51</v>
      </c>
    </row>
    <row r="179" spans="1:19" x14ac:dyDescent="0.25">
      <c r="A179" t="s">
        <v>267</v>
      </c>
      <c r="B179" s="2">
        <v>46088</v>
      </c>
      <c r="C179" t="s">
        <v>20</v>
      </c>
      <c r="D179" t="s">
        <v>21</v>
      </c>
      <c r="E179" t="s">
        <v>66</v>
      </c>
      <c r="F179" t="s">
        <v>67</v>
      </c>
      <c r="G179" t="s">
        <v>57</v>
      </c>
      <c r="H179">
        <v>252</v>
      </c>
      <c r="I179">
        <v>259</v>
      </c>
      <c r="J179">
        <v>6</v>
      </c>
      <c r="K179">
        <v>4.5999999999999996</v>
      </c>
      <c r="L179">
        <v>76920.95</v>
      </c>
      <c r="M179">
        <v>6.18</v>
      </c>
      <c r="N179">
        <v>148.32</v>
      </c>
      <c r="O179">
        <v>305</v>
      </c>
      <c r="P179" s="2">
        <v>46096</v>
      </c>
      <c r="Q179" s="2">
        <v>46096</v>
      </c>
      <c r="R179" t="s">
        <v>25</v>
      </c>
      <c r="S179" t="s">
        <v>26</v>
      </c>
    </row>
    <row r="180" spans="1:19" x14ac:dyDescent="0.25">
      <c r="A180" t="s">
        <v>268</v>
      </c>
      <c r="B180" s="2">
        <v>46190</v>
      </c>
      <c r="C180" t="s">
        <v>35</v>
      </c>
      <c r="D180" t="s">
        <v>36</v>
      </c>
      <c r="E180" t="s">
        <v>37</v>
      </c>
      <c r="F180" t="s">
        <v>88</v>
      </c>
      <c r="G180" t="s">
        <v>32</v>
      </c>
      <c r="H180">
        <v>162</v>
      </c>
      <c r="I180">
        <v>133</v>
      </c>
      <c r="J180">
        <v>11</v>
      </c>
      <c r="K180">
        <v>2.9</v>
      </c>
      <c r="L180">
        <v>13945.2</v>
      </c>
      <c r="M180">
        <v>2.78</v>
      </c>
      <c r="N180">
        <v>50.04</v>
      </c>
      <c r="O180">
        <v>167</v>
      </c>
      <c r="P180" s="2">
        <v>46195</v>
      </c>
      <c r="Q180" s="2">
        <v>46193</v>
      </c>
      <c r="R180" t="s">
        <v>100</v>
      </c>
      <c r="S180" t="s">
        <v>86</v>
      </c>
    </row>
    <row r="181" spans="1:19" x14ac:dyDescent="0.25">
      <c r="A181" t="s">
        <v>269</v>
      </c>
      <c r="B181" s="2">
        <v>46102</v>
      </c>
      <c r="C181" t="s">
        <v>48</v>
      </c>
      <c r="D181" t="s">
        <v>49</v>
      </c>
      <c r="E181" t="s">
        <v>50</v>
      </c>
      <c r="F181" t="s">
        <v>135</v>
      </c>
      <c r="G181" t="s">
        <v>32</v>
      </c>
      <c r="H181">
        <v>221</v>
      </c>
      <c r="I181">
        <v>202</v>
      </c>
      <c r="J181">
        <v>7</v>
      </c>
      <c r="K181">
        <v>2.6</v>
      </c>
      <c r="L181">
        <v>47400.39</v>
      </c>
      <c r="M181">
        <v>4.8099999999999996</v>
      </c>
      <c r="N181">
        <v>105.82</v>
      </c>
      <c r="O181">
        <v>307</v>
      </c>
      <c r="P181" s="2">
        <v>46107</v>
      </c>
      <c r="Q181" s="2">
        <v>46107</v>
      </c>
      <c r="R181" t="s">
        <v>25</v>
      </c>
      <c r="S181" t="s">
        <v>33</v>
      </c>
    </row>
    <row r="182" spans="1:19" x14ac:dyDescent="0.25">
      <c r="A182" t="s">
        <v>270</v>
      </c>
      <c r="B182" s="2">
        <v>46082</v>
      </c>
      <c r="C182" t="s">
        <v>48</v>
      </c>
      <c r="D182" t="s">
        <v>49</v>
      </c>
      <c r="E182" t="s">
        <v>60</v>
      </c>
      <c r="F182" t="s">
        <v>119</v>
      </c>
      <c r="G182" t="s">
        <v>57</v>
      </c>
      <c r="H182">
        <v>294</v>
      </c>
      <c r="I182">
        <v>299</v>
      </c>
      <c r="J182">
        <v>1</v>
      </c>
      <c r="K182">
        <v>3</v>
      </c>
      <c r="L182">
        <v>63216.72</v>
      </c>
      <c r="M182">
        <v>10.68</v>
      </c>
      <c r="N182">
        <v>234.96</v>
      </c>
      <c r="O182">
        <v>280</v>
      </c>
      <c r="P182" s="2">
        <v>46087</v>
      </c>
      <c r="Q182" s="2">
        <v>46087</v>
      </c>
      <c r="R182" t="s">
        <v>100</v>
      </c>
      <c r="S182" t="s">
        <v>51</v>
      </c>
    </row>
    <row r="183" spans="1:19" x14ac:dyDescent="0.25">
      <c r="A183" t="s">
        <v>271</v>
      </c>
      <c r="B183" s="2">
        <v>46094</v>
      </c>
      <c r="C183" t="s">
        <v>20</v>
      </c>
      <c r="D183" t="s">
        <v>21</v>
      </c>
      <c r="E183" t="s">
        <v>22</v>
      </c>
      <c r="F183" t="s">
        <v>88</v>
      </c>
      <c r="G183" t="s">
        <v>24</v>
      </c>
      <c r="H183">
        <v>315</v>
      </c>
      <c r="I183">
        <v>258</v>
      </c>
      <c r="J183">
        <v>20</v>
      </c>
      <c r="K183">
        <v>3.7</v>
      </c>
      <c r="L183">
        <v>94390.399999999994</v>
      </c>
      <c r="M183">
        <v>9.27</v>
      </c>
      <c r="N183">
        <v>241.02</v>
      </c>
      <c r="O183">
        <v>299</v>
      </c>
      <c r="P183" s="2">
        <v>46104</v>
      </c>
      <c r="Q183" s="2">
        <v>46104</v>
      </c>
      <c r="R183" t="s">
        <v>100</v>
      </c>
      <c r="S183" t="s">
        <v>26</v>
      </c>
    </row>
    <row r="184" spans="1:19" x14ac:dyDescent="0.25">
      <c r="A184" t="s">
        <v>272</v>
      </c>
      <c r="B184" s="2">
        <v>46038</v>
      </c>
      <c r="C184" t="s">
        <v>35</v>
      </c>
      <c r="D184" t="s">
        <v>36</v>
      </c>
      <c r="E184" t="s">
        <v>37</v>
      </c>
      <c r="F184" t="s">
        <v>170</v>
      </c>
      <c r="G184" t="s">
        <v>24</v>
      </c>
      <c r="H184">
        <v>140</v>
      </c>
      <c r="I184">
        <v>118</v>
      </c>
      <c r="J184">
        <v>9</v>
      </c>
      <c r="K184">
        <v>8.3000000000000007</v>
      </c>
      <c r="L184">
        <v>11374.34</v>
      </c>
      <c r="M184">
        <v>3.05</v>
      </c>
      <c r="N184">
        <v>73.2</v>
      </c>
      <c r="O184">
        <v>169</v>
      </c>
      <c r="P184" s="2">
        <v>46043</v>
      </c>
      <c r="Q184" s="2">
        <v>46042</v>
      </c>
      <c r="R184" t="s">
        <v>25</v>
      </c>
      <c r="S184" t="s">
        <v>33</v>
      </c>
    </row>
    <row r="185" spans="1:19" x14ac:dyDescent="0.25">
      <c r="A185" t="s">
        <v>273</v>
      </c>
      <c r="B185" s="2">
        <v>46062</v>
      </c>
      <c r="C185" t="s">
        <v>20</v>
      </c>
      <c r="D185" t="s">
        <v>21</v>
      </c>
      <c r="E185" t="s">
        <v>22</v>
      </c>
      <c r="F185" t="s">
        <v>61</v>
      </c>
      <c r="G185" t="s">
        <v>24</v>
      </c>
      <c r="H185">
        <v>195</v>
      </c>
      <c r="I185">
        <v>179</v>
      </c>
      <c r="J185">
        <v>7</v>
      </c>
      <c r="K185">
        <v>4.8</v>
      </c>
      <c r="L185">
        <v>62369.34</v>
      </c>
      <c r="M185">
        <v>4.55</v>
      </c>
      <c r="N185">
        <v>100.1</v>
      </c>
      <c r="O185">
        <v>185</v>
      </c>
      <c r="P185" s="2">
        <v>46065</v>
      </c>
      <c r="Q185" s="2">
        <v>46065</v>
      </c>
      <c r="R185" t="s">
        <v>25</v>
      </c>
      <c r="S185" t="s">
        <v>26</v>
      </c>
    </row>
    <row r="186" spans="1:19" x14ac:dyDescent="0.25">
      <c r="A186" t="s">
        <v>274</v>
      </c>
      <c r="B186" s="2">
        <v>46033</v>
      </c>
      <c r="C186" t="s">
        <v>28</v>
      </c>
      <c r="D186" t="s">
        <v>29</v>
      </c>
      <c r="E186" t="s">
        <v>95</v>
      </c>
      <c r="F186" t="s">
        <v>112</v>
      </c>
      <c r="G186" t="s">
        <v>24</v>
      </c>
      <c r="H186">
        <v>117</v>
      </c>
      <c r="I186">
        <v>88</v>
      </c>
      <c r="J186">
        <v>2</v>
      </c>
      <c r="K186">
        <v>3.2</v>
      </c>
      <c r="L186">
        <v>21173.14</v>
      </c>
      <c r="M186">
        <v>2.13</v>
      </c>
      <c r="N186">
        <v>42.6</v>
      </c>
      <c r="O186">
        <v>84</v>
      </c>
      <c r="P186" s="2">
        <v>46041</v>
      </c>
      <c r="Q186" s="2">
        <v>46045</v>
      </c>
      <c r="R186" t="s">
        <v>39</v>
      </c>
      <c r="S186" t="s">
        <v>51</v>
      </c>
    </row>
    <row r="187" spans="1:19" x14ac:dyDescent="0.25">
      <c r="A187" t="s">
        <v>275</v>
      </c>
      <c r="B187" s="2">
        <v>46047</v>
      </c>
      <c r="C187" t="s">
        <v>53</v>
      </c>
      <c r="D187" t="s">
        <v>54</v>
      </c>
      <c r="E187" t="s">
        <v>55</v>
      </c>
      <c r="F187" t="s">
        <v>114</v>
      </c>
      <c r="G187" t="s">
        <v>32</v>
      </c>
      <c r="H187">
        <v>285</v>
      </c>
      <c r="I187">
        <v>302</v>
      </c>
      <c r="J187">
        <v>4</v>
      </c>
      <c r="K187">
        <v>0.6</v>
      </c>
      <c r="L187">
        <v>43980.04</v>
      </c>
      <c r="M187">
        <v>6.87</v>
      </c>
      <c r="N187">
        <v>164.88</v>
      </c>
      <c r="O187">
        <v>340</v>
      </c>
      <c r="P187" s="2">
        <v>46059</v>
      </c>
      <c r="Q187" s="2">
        <v>46058</v>
      </c>
      <c r="R187" t="s">
        <v>39</v>
      </c>
      <c r="S187" t="s">
        <v>33</v>
      </c>
    </row>
    <row r="188" spans="1:19" x14ac:dyDescent="0.25">
      <c r="A188" t="s">
        <v>276</v>
      </c>
      <c r="B188" s="2">
        <v>46028</v>
      </c>
      <c r="C188" t="s">
        <v>20</v>
      </c>
      <c r="D188" t="s">
        <v>21</v>
      </c>
      <c r="E188" t="s">
        <v>22</v>
      </c>
      <c r="F188" t="s">
        <v>119</v>
      </c>
      <c r="G188" t="s">
        <v>57</v>
      </c>
      <c r="H188">
        <v>311</v>
      </c>
      <c r="I188">
        <v>310</v>
      </c>
      <c r="J188">
        <v>24</v>
      </c>
      <c r="K188">
        <v>0.8</v>
      </c>
      <c r="L188">
        <v>122284.48</v>
      </c>
      <c r="M188">
        <v>6.49</v>
      </c>
      <c r="N188">
        <v>155.76</v>
      </c>
      <c r="O188">
        <v>283</v>
      </c>
      <c r="P188" s="2">
        <v>46032</v>
      </c>
      <c r="Q188" s="2">
        <v>46034</v>
      </c>
      <c r="R188" t="s">
        <v>100</v>
      </c>
      <c r="S188" t="s">
        <v>72</v>
      </c>
    </row>
    <row r="189" spans="1:19" x14ac:dyDescent="0.25">
      <c r="A189" t="s">
        <v>277</v>
      </c>
      <c r="B189" s="2">
        <v>46197</v>
      </c>
      <c r="C189" t="s">
        <v>35</v>
      </c>
      <c r="D189" t="s">
        <v>36</v>
      </c>
      <c r="E189" t="s">
        <v>37</v>
      </c>
      <c r="F189" t="s">
        <v>119</v>
      </c>
      <c r="G189" t="s">
        <v>57</v>
      </c>
      <c r="H189">
        <v>170</v>
      </c>
      <c r="I189">
        <v>138</v>
      </c>
      <c r="J189">
        <v>3</v>
      </c>
      <c r="K189">
        <v>2.5</v>
      </c>
      <c r="L189">
        <v>12658.75</v>
      </c>
      <c r="M189">
        <v>4.53</v>
      </c>
      <c r="N189">
        <v>90.6</v>
      </c>
      <c r="O189">
        <v>205</v>
      </c>
      <c r="P189" s="2">
        <v>46206</v>
      </c>
      <c r="Q189" s="2">
        <v>46208</v>
      </c>
      <c r="R189" t="s">
        <v>39</v>
      </c>
      <c r="S189" t="s">
        <v>33</v>
      </c>
    </row>
    <row r="190" spans="1:19" x14ac:dyDescent="0.25">
      <c r="A190" t="s">
        <v>278</v>
      </c>
      <c r="B190" s="2">
        <v>46094</v>
      </c>
      <c r="C190" t="s">
        <v>35</v>
      </c>
      <c r="D190" t="s">
        <v>36</v>
      </c>
      <c r="E190" t="s">
        <v>37</v>
      </c>
      <c r="F190" t="s">
        <v>67</v>
      </c>
      <c r="G190" t="s">
        <v>24</v>
      </c>
      <c r="H190">
        <v>187</v>
      </c>
      <c r="I190">
        <v>150</v>
      </c>
      <c r="J190">
        <v>12</v>
      </c>
      <c r="K190">
        <v>4.7</v>
      </c>
      <c r="L190">
        <v>15631.23</v>
      </c>
      <c r="M190">
        <v>5.56</v>
      </c>
      <c r="N190">
        <v>133.44</v>
      </c>
      <c r="O190">
        <v>238</v>
      </c>
      <c r="P190" s="2">
        <v>46103</v>
      </c>
      <c r="Q190" s="2">
        <v>46107</v>
      </c>
      <c r="R190" t="s">
        <v>25</v>
      </c>
      <c r="S190" t="s">
        <v>26</v>
      </c>
    </row>
    <row r="191" spans="1:19" x14ac:dyDescent="0.25">
      <c r="A191" t="s">
        <v>279</v>
      </c>
      <c r="B191" s="2">
        <v>46105</v>
      </c>
      <c r="C191" t="s">
        <v>35</v>
      </c>
      <c r="D191" t="s">
        <v>36</v>
      </c>
      <c r="E191" t="s">
        <v>69</v>
      </c>
      <c r="F191" t="s">
        <v>71</v>
      </c>
      <c r="G191" t="s">
        <v>57</v>
      </c>
      <c r="H191">
        <v>126</v>
      </c>
      <c r="I191">
        <v>92</v>
      </c>
      <c r="J191">
        <v>5</v>
      </c>
      <c r="K191">
        <v>0.3</v>
      </c>
      <c r="L191">
        <v>8865.99</v>
      </c>
      <c r="M191">
        <v>3.44</v>
      </c>
      <c r="N191">
        <v>82.56</v>
      </c>
      <c r="O191">
        <v>221</v>
      </c>
      <c r="P191" s="2">
        <v>46112</v>
      </c>
      <c r="Q191" s="2">
        <v>46112</v>
      </c>
      <c r="R191" t="s">
        <v>25</v>
      </c>
      <c r="S191" t="s">
        <v>51</v>
      </c>
    </row>
    <row r="192" spans="1:19" x14ac:dyDescent="0.25">
      <c r="A192" t="s">
        <v>280</v>
      </c>
      <c r="B192" s="2">
        <v>46091</v>
      </c>
      <c r="C192" t="s">
        <v>80</v>
      </c>
      <c r="D192" t="s">
        <v>21</v>
      </c>
      <c r="E192" t="s">
        <v>22</v>
      </c>
      <c r="F192" t="s">
        <v>114</v>
      </c>
      <c r="G192" t="s">
        <v>24</v>
      </c>
      <c r="H192">
        <v>227</v>
      </c>
      <c r="I192">
        <v>246</v>
      </c>
      <c r="J192">
        <v>18</v>
      </c>
      <c r="K192">
        <v>3.2</v>
      </c>
      <c r="L192">
        <v>80424.36</v>
      </c>
      <c r="M192">
        <v>5.47</v>
      </c>
      <c r="N192">
        <v>142.22</v>
      </c>
      <c r="O192">
        <v>268</v>
      </c>
      <c r="P192" s="2">
        <v>46098</v>
      </c>
      <c r="Q192" s="2">
        <v>46096</v>
      </c>
      <c r="R192" t="s">
        <v>25</v>
      </c>
      <c r="S192" t="s">
        <v>51</v>
      </c>
    </row>
    <row r="193" spans="1:19" x14ac:dyDescent="0.25">
      <c r="A193" t="s">
        <v>281</v>
      </c>
      <c r="B193" s="2">
        <v>46167</v>
      </c>
      <c r="C193" t="s">
        <v>28</v>
      </c>
      <c r="D193" t="s">
        <v>29</v>
      </c>
      <c r="E193" t="s">
        <v>95</v>
      </c>
      <c r="F193" t="s">
        <v>96</v>
      </c>
      <c r="G193" t="s">
        <v>24</v>
      </c>
      <c r="H193">
        <v>218</v>
      </c>
      <c r="I193">
        <v>185</v>
      </c>
      <c r="J193">
        <v>9</v>
      </c>
      <c r="K193">
        <v>0.8</v>
      </c>
      <c r="L193">
        <v>35343.050000000003</v>
      </c>
      <c r="M193">
        <v>5.67</v>
      </c>
      <c r="N193">
        <v>102.06</v>
      </c>
      <c r="O193">
        <v>262</v>
      </c>
      <c r="P193" s="2">
        <v>46178</v>
      </c>
      <c r="Q193" s="2">
        <v>46178</v>
      </c>
      <c r="R193" t="s">
        <v>25</v>
      </c>
      <c r="S193" t="s">
        <v>51</v>
      </c>
    </row>
    <row r="194" spans="1:19" x14ac:dyDescent="0.25">
      <c r="A194" t="s">
        <v>282</v>
      </c>
      <c r="B194" s="2">
        <v>46105</v>
      </c>
      <c r="C194" t="s">
        <v>80</v>
      </c>
      <c r="D194" t="s">
        <v>21</v>
      </c>
      <c r="E194" t="s">
        <v>22</v>
      </c>
      <c r="F194" t="s">
        <v>125</v>
      </c>
      <c r="G194" t="s">
        <v>32</v>
      </c>
      <c r="H194">
        <v>117</v>
      </c>
      <c r="I194">
        <v>113</v>
      </c>
      <c r="J194">
        <v>9</v>
      </c>
      <c r="K194">
        <v>7</v>
      </c>
      <c r="L194">
        <v>37169.120000000003</v>
      </c>
      <c r="M194">
        <v>4.6399999999999997</v>
      </c>
      <c r="N194">
        <v>102.08</v>
      </c>
      <c r="O194">
        <v>178</v>
      </c>
      <c r="P194" s="2">
        <v>46116</v>
      </c>
      <c r="Q194" s="2">
        <v>46115</v>
      </c>
      <c r="R194" t="s">
        <v>25</v>
      </c>
      <c r="S194" t="s">
        <v>51</v>
      </c>
    </row>
    <row r="195" spans="1:19" x14ac:dyDescent="0.25">
      <c r="A195" t="s">
        <v>283</v>
      </c>
      <c r="B195" s="2">
        <v>46063</v>
      </c>
      <c r="C195" t="s">
        <v>35</v>
      </c>
      <c r="D195" t="s">
        <v>36</v>
      </c>
      <c r="E195" t="s">
        <v>69</v>
      </c>
      <c r="F195" t="s">
        <v>170</v>
      </c>
      <c r="G195" t="s">
        <v>57</v>
      </c>
      <c r="H195">
        <v>246</v>
      </c>
      <c r="I195">
        <v>210</v>
      </c>
      <c r="J195">
        <v>14</v>
      </c>
      <c r="K195">
        <v>5.0999999999999996</v>
      </c>
      <c r="L195">
        <v>22718.880000000001</v>
      </c>
      <c r="M195">
        <v>5.58</v>
      </c>
      <c r="N195">
        <v>145.08000000000001</v>
      </c>
      <c r="O195">
        <v>250</v>
      </c>
      <c r="P195" s="2">
        <v>46071</v>
      </c>
      <c r="Q195" s="2">
        <v>46071</v>
      </c>
      <c r="R195" t="s">
        <v>25</v>
      </c>
      <c r="S195" t="s">
        <v>33</v>
      </c>
    </row>
    <row r="196" spans="1:19" x14ac:dyDescent="0.25">
      <c r="A196" t="s">
        <v>284</v>
      </c>
      <c r="B196" s="2">
        <v>46202</v>
      </c>
      <c r="C196" t="s">
        <v>35</v>
      </c>
      <c r="D196" t="s">
        <v>36</v>
      </c>
      <c r="E196" t="s">
        <v>37</v>
      </c>
      <c r="F196" t="s">
        <v>96</v>
      </c>
      <c r="G196" t="s">
        <v>57</v>
      </c>
      <c r="H196">
        <v>126</v>
      </c>
      <c r="I196">
        <v>123</v>
      </c>
      <c r="J196">
        <v>10</v>
      </c>
      <c r="K196">
        <v>8.6999999999999993</v>
      </c>
      <c r="L196">
        <v>10366.07</v>
      </c>
      <c r="M196">
        <v>4.9800000000000004</v>
      </c>
      <c r="N196">
        <v>99.6</v>
      </c>
      <c r="O196">
        <v>170</v>
      </c>
      <c r="P196" s="2">
        <v>46205</v>
      </c>
      <c r="Q196" s="2">
        <v>46205</v>
      </c>
      <c r="R196" t="s">
        <v>25</v>
      </c>
      <c r="S196" t="s">
        <v>33</v>
      </c>
    </row>
    <row r="197" spans="1:19" x14ac:dyDescent="0.25">
      <c r="A197" t="s">
        <v>285</v>
      </c>
      <c r="B197" s="2">
        <v>46194</v>
      </c>
      <c r="C197" t="s">
        <v>48</v>
      </c>
      <c r="D197" t="s">
        <v>49</v>
      </c>
      <c r="E197" t="s">
        <v>76</v>
      </c>
      <c r="F197" t="s">
        <v>119</v>
      </c>
      <c r="G197" t="s">
        <v>32</v>
      </c>
      <c r="H197">
        <v>82</v>
      </c>
      <c r="I197">
        <v>68</v>
      </c>
      <c r="J197">
        <v>1</v>
      </c>
      <c r="K197">
        <v>0.6</v>
      </c>
      <c r="L197">
        <v>11107.88</v>
      </c>
      <c r="M197">
        <v>1.23</v>
      </c>
      <c r="N197">
        <v>29.52</v>
      </c>
      <c r="O197">
        <v>162</v>
      </c>
      <c r="P197" s="2">
        <v>46202</v>
      </c>
      <c r="Q197" s="2">
        <v>46202</v>
      </c>
      <c r="R197" t="s">
        <v>100</v>
      </c>
      <c r="S197" t="s">
        <v>86</v>
      </c>
    </row>
    <row r="198" spans="1:19" x14ac:dyDescent="0.25">
      <c r="A198" t="s">
        <v>286</v>
      </c>
      <c r="B198" s="2">
        <v>46162</v>
      </c>
      <c r="C198" t="s">
        <v>35</v>
      </c>
      <c r="D198" t="s">
        <v>36</v>
      </c>
      <c r="E198" t="s">
        <v>37</v>
      </c>
      <c r="F198" t="s">
        <v>71</v>
      </c>
      <c r="G198" t="s">
        <v>57</v>
      </c>
      <c r="H198">
        <v>292</v>
      </c>
      <c r="I198">
        <v>270</v>
      </c>
      <c r="J198">
        <v>22</v>
      </c>
      <c r="K198">
        <v>5.9</v>
      </c>
      <c r="L198">
        <v>24138.81</v>
      </c>
      <c r="M198">
        <v>5.34</v>
      </c>
      <c r="N198">
        <v>96.12</v>
      </c>
      <c r="O198">
        <v>327</v>
      </c>
      <c r="P198" s="2">
        <v>46164</v>
      </c>
      <c r="Q198" s="2">
        <v>46165</v>
      </c>
      <c r="R198" t="s">
        <v>25</v>
      </c>
      <c r="S198" t="s">
        <v>86</v>
      </c>
    </row>
    <row r="199" spans="1:19" x14ac:dyDescent="0.25">
      <c r="A199" t="s">
        <v>287</v>
      </c>
      <c r="B199" s="2">
        <v>46066</v>
      </c>
      <c r="C199" t="s">
        <v>35</v>
      </c>
      <c r="D199" t="s">
        <v>36</v>
      </c>
      <c r="E199" t="s">
        <v>37</v>
      </c>
      <c r="F199" t="s">
        <v>38</v>
      </c>
      <c r="G199" t="s">
        <v>32</v>
      </c>
      <c r="H199">
        <v>267</v>
      </c>
      <c r="I199">
        <v>200</v>
      </c>
      <c r="J199">
        <v>17</v>
      </c>
      <c r="K199">
        <v>8.8000000000000007</v>
      </c>
      <c r="L199">
        <v>19593.55</v>
      </c>
      <c r="M199">
        <v>7.89</v>
      </c>
      <c r="N199">
        <v>142.02000000000001</v>
      </c>
      <c r="O199">
        <v>337</v>
      </c>
      <c r="P199" s="2">
        <v>46078</v>
      </c>
      <c r="Q199" s="2">
        <v>46078</v>
      </c>
      <c r="R199" t="s">
        <v>39</v>
      </c>
      <c r="S199" t="s">
        <v>51</v>
      </c>
    </row>
    <row r="200" spans="1:19" x14ac:dyDescent="0.25">
      <c r="A200" t="s">
        <v>288</v>
      </c>
      <c r="B200" s="2">
        <v>46036</v>
      </c>
      <c r="C200" t="s">
        <v>20</v>
      </c>
      <c r="D200" t="s">
        <v>21</v>
      </c>
      <c r="E200" t="s">
        <v>90</v>
      </c>
      <c r="F200" t="s">
        <v>114</v>
      </c>
      <c r="G200" t="s">
        <v>24</v>
      </c>
      <c r="H200">
        <v>132</v>
      </c>
      <c r="I200">
        <v>150</v>
      </c>
      <c r="J200">
        <v>6</v>
      </c>
      <c r="K200">
        <v>5</v>
      </c>
      <c r="L200">
        <v>56621.67</v>
      </c>
      <c r="M200">
        <v>5.08</v>
      </c>
      <c r="N200">
        <v>111.76</v>
      </c>
      <c r="O200">
        <v>152</v>
      </c>
      <c r="P200" s="2">
        <v>46039</v>
      </c>
      <c r="Q200" s="2">
        <v>46037</v>
      </c>
      <c r="R200" t="s">
        <v>100</v>
      </c>
      <c r="S200" t="s">
        <v>72</v>
      </c>
    </row>
    <row r="201" spans="1:19" x14ac:dyDescent="0.25">
      <c r="A201" t="s">
        <v>289</v>
      </c>
      <c r="B201" s="2">
        <v>46062</v>
      </c>
      <c r="C201" t="s">
        <v>80</v>
      </c>
      <c r="D201" t="s">
        <v>21</v>
      </c>
      <c r="E201" t="s">
        <v>90</v>
      </c>
      <c r="F201" t="s">
        <v>125</v>
      </c>
      <c r="G201" t="s">
        <v>32</v>
      </c>
      <c r="H201">
        <v>80</v>
      </c>
      <c r="I201">
        <v>72</v>
      </c>
      <c r="J201">
        <v>2</v>
      </c>
      <c r="K201">
        <v>6</v>
      </c>
      <c r="L201">
        <v>18295.560000000001</v>
      </c>
      <c r="M201">
        <v>1.34</v>
      </c>
      <c r="N201">
        <v>26.8</v>
      </c>
      <c r="O201">
        <v>124</v>
      </c>
      <c r="P201" s="2">
        <v>46065</v>
      </c>
      <c r="Q201" s="2">
        <v>46069</v>
      </c>
      <c r="R201" t="s">
        <v>25</v>
      </c>
      <c r="S201" t="s">
        <v>72</v>
      </c>
    </row>
    <row r="202" spans="1:19" x14ac:dyDescent="0.25">
      <c r="A202" t="s">
        <v>290</v>
      </c>
      <c r="B202" s="2">
        <v>46148</v>
      </c>
      <c r="C202" t="s">
        <v>59</v>
      </c>
      <c r="D202" t="s">
        <v>49</v>
      </c>
      <c r="E202" t="s">
        <v>50</v>
      </c>
      <c r="F202" t="s">
        <v>64</v>
      </c>
      <c r="G202" t="s">
        <v>57</v>
      </c>
      <c r="H202">
        <v>244</v>
      </c>
      <c r="I202">
        <v>232</v>
      </c>
      <c r="J202">
        <v>5</v>
      </c>
      <c r="K202">
        <v>8</v>
      </c>
      <c r="L202">
        <v>38047.79</v>
      </c>
      <c r="M202">
        <v>5.64</v>
      </c>
      <c r="N202">
        <v>135.36000000000001</v>
      </c>
      <c r="O202">
        <v>271</v>
      </c>
      <c r="P202" s="2">
        <v>46153</v>
      </c>
      <c r="Q202" s="2">
        <v>46153</v>
      </c>
      <c r="R202" t="s">
        <v>39</v>
      </c>
      <c r="S202" t="s">
        <v>33</v>
      </c>
    </row>
    <row r="203" spans="1:19" x14ac:dyDescent="0.25">
      <c r="A203" t="s">
        <v>291</v>
      </c>
      <c r="B203" s="2">
        <v>46044</v>
      </c>
      <c r="C203" t="s">
        <v>48</v>
      </c>
      <c r="D203" t="s">
        <v>49</v>
      </c>
      <c r="E203" t="s">
        <v>60</v>
      </c>
      <c r="F203" t="s">
        <v>125</v>
      </c>
      <c r="G203" t="s">
        <v>57</v>
      </c>
      <c r="H203">
        <v>185</v>
      </c>
      <c r="I203">
        <v>210</v>
      </c>
      <c r="J203">
        <v>12</v>
      </c>
      <c r="K203">
        <v>5</v>
      </c>
      <c r="L203">
        <v>51178.67</v>
      </c>
      <c r="M203">
        <v>5.89</v>
      </c>
      <c r="N203">
        <v>153.13999999999999</v>
      </c>
      <c r="O203">
        <v>266</v>
      </c>
      <c r="P203" s="2">
        <v>46055</v>
      </c>
      <c r="Q203" s="2">
        <v>46055</v>
      </c>
      <c r="R203" t="s">
        <v>100</v>
      </c>
      <c r="S203" t="s">
        <v>72</v>
      </c>
    </row>
    <row r="204" spans="1:19" x14ac:dyDescent="0.25">
      <c r="A204" t="s">
        <v>292</v>
      </c>
      <c r="B204" s="2">
        <v>46031</v>
      </c>
      <c r="C204" t="s">
        <v>43</v>
      </c>
      <c r="D204" t="s">
        <v>44</v>
      </c>
      <c r="E204" t="s">
        <v>93</v>
      </c>
      <c r="F204" t="s">
        <v>122</v>
      </c>
      <c r="G204" t="s">
        <v>32</v>
      </c>
      <c r="H204">
        <v>273</v>
      </c>
      <c r="I204">
        <v>249</v>
      </c>
      <c r="J204">
        <v>22</v>
      </c>
      <c r="K204">
        <v>1.5</v>
      </c>
      <c r="L204">
        <v>24060.65</v>
      </c>
      <c r="M204">
        <v>4.74</v>
      </c>
      <c r="N204">
        <v>85.32</v>
      </c>
      <c r="O204">
        <v>344</v>
      </c>
      <c r="P204" s="2">
        <v>46036</v>
      </c>
      <c r="Q204" s="2">
        <v>46036</v>
      </c>
      <c r="R204" t="s">
        <v>39</v>
      </c>
      <c r="S204" t="s">
        <v>33</v>
      </c>
    </row>
    <row r="205" spans="1:19" x14ac:dyDescent="0.25">
      <c r="A205" t="s">
        <v>293</v>
      </c>
      <c r="B205" s="2">
        <v>46045</v>
      </c>
      <c r="C205" t="s">
        <v>35</v>
      </c>
      <c r="D205" t="s">
        <v>36</v>
      </c>
      <c r="E205" t="s">
        <v>69</v>
      </c>
      <c r="F205" t="s">
        <v>170</v>
      </c>
      <c r="G205" t="s">
        <v>24</v>
      </c>
      <c r="H205">
        <v>221</v>
      </c>
      <c r="I205">
        <v>190</v>
      </c>
      <c r="J205">
        <v>5</v>
      </c>
      <c r="K205">
        <v>4.0999999999999996</v>
      </c>
      <c r="L205">
        <v>21368.81</v>
      </c>
      <c r="M205">
        <v>6.26</v>
      </c>
      <c r="N205">
        <v>162.76</v>
      </c>
      <c r="O205">
        <v>288</v>
      </c>
      <c r="P205" s="2">
        <v>46048</v>
      </c>
      <c r="Q205" s="2">
        <v>46050</v>
      </c>
      <c r="R205" t="s">
        <v>25</v>
      </c>
      <c r="S205" t="s">
        <v>26</v>
      </c>
    </row>
    <row r="206" spans="1:19" x14ac:dyDescent="0.25">
      <c r="A206" t="s">
        <v>294</v>
      </c>
      <c r="B206" s="2">
        <v>46172</v>
      </c>
      <c r="C206" t="s">
        <v>20</v>
      </c>
      <c r="D206" t="s">
        <v>21</v>
      </c>
      <c r="E206" t="s">
        <v>22</v>
      </c>
      <c r="F206" t="s">
        <v>46</v>
      </c>
      <c r="G206" t="s">
        <v>57</v>
      </c>
      <c r="H206">
        <v>224</v>
      </c>
      <c r="I206">
        <v>236</v>
      </c>
      <c r="J206">
        <v>17</v>
      </c>
      <c r="K206">
        <v>7.8</v>
      </c>
      <c r="L206">
        <v>95678.06</v>
      </c>
      <c r="M206">
        <v>5.74</v>
      </c>
      <c r="N206">
        <v>137.76</v>
      </c>
      <c r="O206">
        <v>305</v>
      </c>
      <c r="P206" s="2">
        <v>46174</v>
      </c>
      <c r="Q206" s="2">
        <v>46174</v>
      </c>
      <c r="R206" t="s">
        <v>25</v>
      </c>
      <c r="S206" t="s">
        <v>26</v>
      </c>
    </row>
    <row r="207" spans="1:19" x14ac:dyDescent="0.25">
      <c r="A207" t="s">
        <v>295</v>
      </c>
      <c r="B207" s="2">
        <v>46178</v>
      </c>
      <c r="C207" t="s">
        <v>35</v>
      </c>
      <c r="D207" t="s">
        <v>36</v>
      </c>
      <c r="E207" t="s">
        <v>37</v>
      </c>
      <c r="F207" t="s">
        <v>61</v>
      </c>
      <c r="G207" t="s">
        <v>32</v>
      </c>
      <c r="H207">
        <v>181</v>
      </c>
      <c r="I207">
        <v>199</v>
      </c>
      <c r="J207">
        <v>6</v>
      </c>
      <c r="K207">
        <v>2.1</v>
      </c>
      <c r="L207">
        <v>22190.93</v>
      </c>
      <c r="M207">
        <v>7.87</v>
      </c>
      <c r="N207">
        <v>141.66</v>
      </c>
      <c r="O207">
        <v>227</v>
      </c>
      <c r="P207" s="2">
        <v>46184</v>
      </c>
      <c r="Q207" s="2">
        <v>46184</v>
      </c>
      <c r="R207" t="s">
        <v>25</v>
      </c>
      <c r="S207" t="s">
        <v>33</v>
      </c>
    </row>
    <row r="208" spans="1:19" x14ac:dyDescent="0.25">
      <c r="A208" t="s">
        <v>296</v>
      </c>
      <c r="B208" s="2">
        <v>46081</v>
      </c>
      <c r="C208" t="s">
        <v>43</v>
      </c>
      <c r="D208" t="s">
        <v>44</v>
      </c>
      <c r="E208" t="s">
        <v>161</v>
      </c>
      <c r="F208" t="s">
        <v>85</v>
      </c>
      <c r="G208" t="s">
        <v>57</v>
      </c>
      <c r="H208">
        <v>270</v>
      </c>
      <c r="I208">
        <v>245</v>
      </c>
      <c r="J208">
        <v>19</v>
      </c>
      <c r="K208">
        <v>2.4</v>
      </c>
      <c r="L208">
        <v>29006.97</v>
      </c>
      <c r="M208">
        <v>5.52</v>
      </c>
      <c r="N208">
        <v>110.4</v>
      </c>
      <c r="O208">
        <v>334</v>
      </c>
      <c r="P208" s="2">
        <v>46090</v>
      </c>
      <c r="Q208" s="2">
        <v>46091</v>
      </c>
      <c r="R208" t="s">
        <v>25</v>
      </c>
      <c r="S208" t="s">
        <v>33</v>
      </c>
    </row>
    <row r="209" spans="1:19" x14ac:dyDescent="0.25">
      <c r="A209" t="s">
        <v>297</v>
      </c>
      <c r="B209" s="2">
        <v>46102</v>
      </c>
      <c r="C209" t="s">
        <v>35</v>
      </c>
      <c r="D209" t="s">
        <v>36</v>
      </c>
      <c r="E209" t="s">
        <v>37</v>
      </c>
      <c r="F209" t="s">
        <v>106</v>
      </c>
      <c r="G209" t="s">
        <v>57</v>
      </c>
      <c r="H209">
        <v>279</v>
      </c>
      <c r="I209">
        <v>303</v>
      </c>
      <c r="J209">
        <v>25</v>
      </c>
      <c r="K209">
        <v>0.3</v>
      </c>
      <c r="L209">
        <v>27024.58</v>
      </c>
      <c r="M209">
        <v>11.54</v>
      </c>
      <c r="N209">
        <v>230.8</v>
      </c>
      <c r="O209">
        <v>247</v>
      </c>
      <c r="P209" s="2">
        <v>46111</v>
      </c>
      <c r="Q209" s="2">
        <v>46109</v>
      </c>
      <c r="R209" t="s">
        <v>25</v>
      </c>
      <c r="S209" t="s">
        <v>86</v>
      </c>
    </row>
    <row r="210" spans="1:19" x14ac:dyDescent="0.25">
      <c r="A210" t="s">
        <v>298</v>
      </c>
      <c r="B210" s="2">
        <v>46117</v>
      </c>
      <c r="C210" t="s">
        <v>53</v>
      </c>
      <c r="D210" t="s">
        <v>54</v>
      </c>
      <c r="E210" t="s">
        <v>131</v>
      </c>
      <c r="F210" t="s">
        <v>112</v>
      </c>
      <c r="G210" t="s">
        <v>24</v>
      </c>
      <c r="H210">
        <v>242</v>
      </c>
      <c r="I210">
        <v>270</v>
      </c>
      <c r="J210">
        <v>17</v>
      </c>
      <c r="K210">
        <v>2.2000000000000002</v>
      </c>
      <c r="L210">
        <v>37866.160000000003</v>
      </c>
      <c r="M210">
        <v>11.08</v>
      </c>
      <c r="N210">
        <v>265.92</v>
      </c>
      <c r="O210">
        <v>291</v>
      </c>
      <c r="P210" s="2">
        <v>46124</v>
      </c>
      <c r="Q210" s="2">
        <v>46124</v>
      </c>
      <c r="R210" t="s">
        <v>25</v>
      </c>
      <c r="S210" t="s">
        <v>33</v>
      </c>
    </row>
    <row r="211" spans="1:19" x14ac:dyDescent="0.25">
      <c r="A211" t="s">
        <v>299</v>
      </c>
      <c r="B211" s="2">
        <v>46095</v>
      </c>
      <c r="C211" t="s">
        <v>80</v>
      </c>
      <c r="D211" t="s">
        <v>21</v>
      </c>
      <c r="E211" t="s">
        <v>90</v>
      </c>
      <c r="F211" t="s">
        <v>119</v>
      </c>
      <c r="G211" t="s">
        <v>57</v>
      </c>
      <c r="H211">
        <v>92</v>
      </c>
      <c r="I211">
        <v>72</v>
      </c>
      <c r="J211">
        <v>4</v>
      </c>
      <c r="K211">
        <v>8.6999999999999993</v>
      </c>
      <c r="L211">
        <v>22526.12</v>
      </c>
      <c r="M211">
        <v>2.4700000000000002</v>
      </c>
      <c r="N211">
        <v>54.34</v>
      </c>
      <c r="O211">
        <v>156</v>
      </c>
      <c r="P211" s="2">
        <v>46105</v>
      </c>
      <c r="Q211" s="2">
        <v>46103</v>
      </c>
      <c r="R211" t="s">
        <v>25</v>
      </c>
      <c r="S211" t="s">
        <v>51</v>
      </c>
    </row>
    <row r="212" spans="1:19" x14ac:dyDescent="0.25">
      <c r="A212" t="s">
        <v>300</v>
      </c>
      <c r="B212" s="2">
        <v>46176</v>
      </c>
      <c r="C212" t="s">
        <v>80</v>
      </c>
      <c r="D212" t="s">
        <v>21</v>
      </c>
      <c r="E212" t="s">
        <v>22</v>
      </c>
      <c r="F212" t="s">
        <v>125</v>
      </c>
      <c r="G212" t="s">
        <v>24</v>
      </c>
      <c r="H212">
        <v>144</v>
      </c>
      <c r="I212">
        <v>141</v>
      </c>
      <c r="J212">
        <v>12</v>
      </c>
      <c r="K212">
        <v>6.4</v>
      </c>
      <c r="L212">
        <v>38007.26</v>
      </c>
      <c r="M212">
        <v>5.57</v>
      </c>
      <c r="N212">
        <v>122.54</v>
      </c>
      <c r="O212">
        <v>221</v>
      </c>
      <c r="P212" s="2">
        <v>46182</v>
      </c>
      <c r="Q212" s="2">
        <v>46182</v>
      </c>
      <c r="R212" t="s">
        <v>100</v>
      </c>
      <c r="S212" t="s">
        <v>26</v>
      </c>
    </row>
    <row r="213" spans="1:19" x14ac:dyDescent="0.25">
      <c r="A213" t="s">
        <v>301</v>
      </c>
      <c r="B213" s="2">
        <v>46182</v>
      </c>
      <c r="C213" t="s">
        <v>35</v>
      </c>
      <c r="D213" t="s">
        <v>36</v>
      </c>
      <c r="E213" t="s">
        <v>37</v>
      </c>
      <c r="F213" t="s">
        <v>122</v>
      </c>
      <c r="G213" t="s">
        <v>24</v>
      </c>
      <c r="H213">
        <v>81</v>
      </c>
      <c r="I213">
        <v>76</v>
      </c>
      <c r="J213">
        <v>4</v>
      </c>
      <c r="K213">
        <v>7.6</v>
      </c>
      <c r="L213">
        <v>6944.4</v>
      </c>
      <c r="M213">
        <v>2.48</v>
      </c>
      <c r="N213">
        <v>54.56</v>
      </c>
      <c r="O213">
        <v>77</v>
      </c>
      <c r="P213" s="2">
        <v>46191</v>
      </c>
      <c r="Q213" s="2">
        <v>46190</v>
      </c>
      <c r="R213" t="s">
        <v>25</v>
      </c>
      <c r="S213" t="s">
        <v>86</v>
      </c>
    </row>
    <row r="214" spans="1:19" x14ac:dyDescent="0.25">
      <c r="A214" t="s">
        <v>302</v>
      </c>
      <c r="B214" s="2">
        <v>46093</v>
      </c>
      <c r="C214" t="s">
        <v>59</v>
      </c>
      <c r="D214" t="s">
        <v>49</v>
      </c>
      <c r="E214" t="s">
        <v>60</v>
      </c>
      <c r="F214" t="s">
        <v>112</v>
      </c>
      <c r="G214" t="s">
        <v>57</v>
      </c>
      <c r="H214">
        <v>262</v>
      </c>
      <c r="I214">
        <v>295</v>
      </c>
      <c r="J214">
        <v>18</v>
      </c>
      <c r="K214">
        <v>1.7</v>
      </c>
      <c r="L214">
        <v>48231.23</v>
      </c>
      <c r="M214">
        <v>5.71</v>
      </c>
      <c r="N214">
        <v>148.46</v>
      </c>
      <c r="O214">
        <v>325</v>
      </c>
      <c r="P214" s="2">
        <v>46105</v>
      </c>
      <c r="Q214" s="2">
        <v>46106</v>
      </c>
      <c r="R214" t="s">
        <v>25</v>
      </c>
      <c r="S214" t="s">
        <v>72</v>
      </c>
    </row>
    <row r="215" spans="1:19" x14ac:dyDescent="0.25">
      <c r="A215" t="s">
        <v>303</v>
      </c>
      <c r="B215" s="2">
        <v>46098</v>
      </c>
      <c r="C215" t="s">
        <v>59</v>
      </c>
      <c r="D215" t="s">
        <v>49</v>
      </c>
      <c r="E215" t="s">
        <v>76</v>
      </c>
      <c r="F215" t="s">
        <v>85</v>
      </c>
      <c r="G215" t="s">
        <v>32</v>
      </c>
      <c r="H215">
        <v>183</v>
      </c>
      <c r="I215">
        <v>162</v>
      </c>
      <c r="J215">
        <v>1</v>
      </c>
      <c r="K215">
        <v>6.4</v>
      </c>
      <c r="L215">
        <v>26613.599999999999</v>
      </c>
      <c r="M215">
        <v>5.74</v>
      </c>
      <c r="N215">
        <v>114.8</v>
      </c>
      <c r="O215">
        <v>279</v>
      </c>
      <c r="P215" s="2">
        <v>46110</v>
      </c>
      <c r="Q215" s="2">
        <v>46114</v>
      </c>
      <c r="R215" t="s">
        <v>25</v>
      </c>
      <c r="S215" t="s">
        <v>51</v>
      </c>
    </row>
    <row r="216" spans="1:19" x14ac:dyDescent="0.25">
      <c r="A216" t="s">
        <v>304</v>
      </c>
      <c r="B216" s="2">
        <v>46191</v>
      </c>
      <c r="C216" t="s">
        <v>43</v>
      </c>
      <c r="D216" t="s">
        <v>44</v>
      </c>
      <c r="E216" t="s">
        <v>161</v>
      </c>
      <c r="F216" t="s">
        <v>112</v>
      </c>
      <c r="G216" t="s">
        <v>32</v>
      </c>
      <c r="H216">
        <v>104</v>
      </c>
      <c r="I216">
        <v>95</v>
      </c>
      <c r="J216">
        <v>6</v>
      </c>
      <c r="K216">
        <v>6.5</v>
      </c>
      <c r="L216">
        <v>12656.31</v>
      </c>
      <c r="M216">
        <v>3.87</v>
      </c>
      <c r="N216">
        <v>85.14</v>
      </c>
      <c r="O216">
        <v>86</v>
      </c>
      <c r="P216" s="2">
        <v>46196</v>
      </c>
      <c r="Q216" s="2">
        <v>46197</v>
      </c>
      <c r="R216" t="s">
        <v>25</v>
      </c>
      <c r="S216" t="s">
        <v>72</v>
      </c>
    </row>
    <row r="217" spans="1:19" x14ac:dyDescent="0.25">
      <c r="A217" t="s">
        <v>305</v>
      </c>
      <c r="B217" s="2">
        <v>46107</v>
      </c>
      <c r="C217" t="s">
        <v>48</v>
      </c>
      <c r="D217" t="s">
        <v>49</v>
      </c>
      <c r="E217" t="s">
        <v>76</v>
      </c>
      <c r="F217" t="s">
        <v>85</v>
      </c>
      <c r="G217" t="s">
        <v>32</v>
      </c>
      <c r="H217">
        <v>229</v>
      </c>
      <c r="I217">
        <v>193</v>
      </c>
      <c r="J217">
        <v>15</v>
      </c>
      <c r="K217">
        <v>4.2</v>
      </c>
      <c r="L217">
        <v>44674.55</v>
      </c>
      <c r="M217">
        <v>7.85</v>
      </c>
      <c r="N217">
        <v>141.30000000000001</v>
      </c>
      <c r="O217">
        <v>309</v>
      </c>
      <c r="P217" s="2">
        <v>46112</v>
      </c>
      <c r="Q217" s="2">
        <v>46111</v>
      </c>
      <c r="R217" t="s">
        <v>100</v>
      </c>
      <c r="S217" t="s">
        <v>72</v>
      </c>
    </row>
    <row r="218" spans="1:19" x14ac:dyDescent="0.25">
      <c r="A218" t="s">
        <v>306</v>
      </c>
      <c r="B218" s="2">
        <v>46036</v>
      </c>
      <c r="C218" t="s">
        <v>43</v>
      </c>
      <c r="D218" t="s">
        <v>44</v>
      </c>
      <c r="E218" t="s">
        <v>93</v>
      </c>
      <c r="F218" t="s">
        <v>96</v>
      </c>
      <c r="G218" t="s">
        <v>24</v>
      </c>
      <c r="H218">
        <v>131</v>
      </c>
      <c r="I218">
        <v>113</v>
      </c>
      <c r="J218">
        <v>10</v>
      </c>
      <c r="K218">
        <v>8</v>
      </c>
      <c r="L218">
        <v>14110.25</v>
      </c>
      <c r="M218">
        <v>4.37</v>
      </c>
      <c r="N218">
        <v>87.4</v>
      </c>
      <c r="O218">
        <v>111</v>
      </c>
      <c r="P218" s="2">
        <v>46045</v>
      </c>
      <c r="Q218" s="2">
        <v>46046</v>
      </c>
      <c r="R218" t="s">
        <v>25</v>
      </c>
      <c r="S218" t="s">
        <v>33</v>
      </c>
    </row>
    <row r="219" spans="1:19" x14ac:dyDescent="0.25">
      <c r="A219" t="s">
        <v>307</v>
      </c>
      <c r="B219" s="2">
        <v>46024</v>
      </c>
      <c r="C219" t="s">
        <v>53</v>
      </c>
      <c r="D219" t="s">
        <v>54</v>
      </c>
      <c r="E219" t="s">
        <v>131</v>
      </c>
      <c r="F219" t="s">
        <v>77</v>
      </c>
      <c r="G219" t="s">
        <v>32</v>
      </c>
      <c r="H219">
        <v>133</v>
      </c>
      <c r="I219">
        <v>139</v>
      </c>
      <c r="J219">
        <v>2</v>
      </c>
      <c r="K219">
        <v>6.9</v>
      </c>
      <c r="L219">
        <v>21181.18</v>
      </c>
      <c r="M219">
        <v>2.8</v>
      </c>
      <c r="N219">
        <v>72.8</v>
      </c>
      <c r="O219">
        <v>204</v>
      </c>
      <c r="P219" s="2">
        <v>46036</v>
      </c>
      <c r="Q219" s="2">
        <v>46038</v>
      </c>
      <c r="R219" t="s">
        <v>100</v>
      </c>
      <c r="S219" t="s">
        <v>72</v>
      </c>
    </row>
    <row r="220" spans="1:19" x14ac:dyDescent="0.25">
      <c r="A220" t="s">
        <v>308</v>
      </c>
      <c r="B220" s="2">
        <v>46024</v>
      </c>
      <c r="C220" t="s">
        <v>80</v>
      </c>
      <c r="D220" t="s">
        <v>21</v>
      </c>
      <c r="E220" t="s">
        <v>66</v>
      </c>
      <c r="F220" t="s">
        <v>170</v>
      </c>
      <c r="G220" t="s">
        <v>57</v>
      </c>
      <c r="H220">
        <v>131</v>
      </c>
      <c r="I220">
        <v>135</v>
      </c>
      <c r="J220">
        <v>12</v>
      </c>
      <c r="K220">
        <v>8</v>
      </c>
      <c r="L220">
        <v>39660.46</v>
      </c>
      <c r="M220">
        <v>2.4900000000000002</v>
      </c>
      <c r="N220">
        <v>44.82</v>
      </c>
      <c r="O220">
        <v>154</v>
      </c>
      <c r="P220" s="2">
        <v>46029</v>
      </c>
      <c r="Q220" s="2">
        <v>46030</v>
      </c>
      <c r="R220" t="s">
        <v>25</v>
      </c>
      <c r="S220" t="s">
        <v>72</v>
      </c>
    </row>
    <row r="221" spans="1:19" x14ac:dyDescent="0.25">
      <c r="A221" t="s">
        <v>309</v>
      </c>
      <c r="B221" s="2">
        <v>46151</v>
      </c>
      <c r="C221" t="s">
        <v>59</v>
      </c>
      <c r="D221" t="s">
        <v>49</v>
      </c>
      <c r="E221" t="s">
        <v>50</v>
      </c>
      <c r="F221" t="s">
        <v>244</v>
      </c>
      <c r="G221" t="s">
        <v>32</v>
      </c>
      <c r="H221">
        <v>96</v>
      </c>
      <c r="I221">
        <v>103</v>
      </c>
      <c r="J221">
        <v>3</v>
      </c>
      <c r="K221">
        <v>2.6</v>
      </c>
      <c r="L221">
        <v>19963.71</v>
      </c>
      <c r="M221">
        <v>2.69</v>
      </c>
      <c r="N221">
        <v>53.8</v>
      </c>
      <c r="O221">
        <v>143</v>
      </c>
      <c r="P221" s="2">
        <v>46160</v>
      </c>
      <c r="Q221" s="2">
        <v>46161</v>
      </c>
      <c r="R221" t="s">
        <v>25</v>
      </c>
      <c r="S221" t="s">
        <v>33</v>
      </c>
    </row>
    <row r="222" spans="1:19" x14ac:dyDescent="0.25">
      <c r="A222" t="s">
        <v>310</v>
      </c>
      <c r="B222" s="2">
        <v>46081</v>
      </c>
      <c r="C222" t="s">
        <v>28</v>
      </c>
      <c r="D222" t="s">
        <v>29</v>
      </c>
      <c r="E222" t="s">
        <v>30</v>
      </c>
      <c r="F222" t="s">
        <v>64</v>
      </c>
      <c r="G222" t="s">
        <v>24</v>
      </c>
      <c r="H222">
        <v>113</v>
      </c>
      <c r="I222">
        <v>91</v>
      </c>
      <c r="J222">
        <v>0</v>
      </c>
      <c r="K222">
        <v>4.5</v>
      </c>
      <c r="L222">
        <v>18996.7</v>
      </c>
      <c r="M222">
        <v>3.37</v>
      </c>
      <c r="N222">
        <v>80.88</v>
      </c>
      <c r="O222">
        <v>138</v>
      </c>
      <c r="P222" s="2">
        <v>46091</v>
      </c>
      <c r="Q222" s="2">
        <v>46089</v>
      </c>
      <c r="R222" t="s">
        <v>39</v>
      </c>
      <c r="S222" t="s">
        <v>33</v>
      </c>
    </row>
    <row r="223" spans="1:19" x14ac:dyDescent="0.25">
      <c r="A223" t="s">
        <v>311</v>
      </c>
      <c r="B223" s="2">
        <v>46190</v>
      </c>
      <c r="C223" t="s">
        <v>80</v>
      </c>
      <c r="D223" t="s">
        <v>21</v>
      </c>
      <c r="E223" t="s">
        <v>22</v>
      </c>
      <c r="F223" t="s">
        <v>122</v>
      </c>
      <c r="G223" t="s">
        <v>24</v>
      </c>
      <c r="H223">
        <v>256</v>
      </c>
      <c r="I223">
        <v>197</v>
      </c>
      <c r="J223">
        <v>8</v>
      </c>
      <c r="K223">
        <v>1.1000000000000001</v>
      </c>
      <c r="L223">
        <v>50449.79</v>
      </c>
      <c r="M223">
        <v>4.5199999999999996</v>
      </c>
      <c r="N223">
        <v>81.36</v>
      </c>
      <c r="O223">
        <v>293</v>
      </c>
      <c r="P223" s="2">
        <v>46198</v>
      </c>
      <c r="Q223" s="2">
        <v>46197</v>
      </c>
      <c r="R223" t="s">
        <v>39</v>
      </c>
      <c r="S223" t="s">
        <v>26</v>
      </c>
    </row>
    <row r="224" spans="1:19" x14ac:dyDescent="0.25">
      <c r="A224" t="s">
        <v>312</v>
      </c>
      <c r="B224" s="2">
        <v>46202</v>
      </c>
      <c r="C224" t="s">
        <v>43</v>
      </c>
      <c r="D224" t="s">
        <v>44</v>
      </c>
      <c r="E224" t="s">
        <v>161</v>
      </c>
      <c r="F224" t="s">
        <v>106</v>
      </c>
      <c r="G224" t="s">
        <v>32</v>
      </c>
      <c r="H224">
        <v>292</v>
      </c>
      <c r="I224">
        <v>323</v>
      </c>
      <c r="J224">
        <v>16</v>
      </c>
      <c r="K224">
        <v>5.6</v>
      </c>
      <c r="L224">
        <v>37642.61</v>
      </c>
      <c r="M224">
        <v>9.67</v>
      </c>
      <c r="N224">
        <v>251.42</v>
      </c>
      <c r="O224">
        <v>303</v>
      </c>
      <c r="P224" s="2">
        <v>46208</v>
      </c>
      <c r="Q224" s="2">
        <v>46208</v>
      </c>
      <c r="R224" t="s">
        <v>25</v>
      </c>
      <c r="S224" t="s">
        <v>86</v>
      </c>
    </row>
    <row r="225" spans="1:19" x14ac:dyDescent="0.25">
      <c r="A225" t="s">
        <v>313</v>
      </c>
      <c r="B225" s="2">
        <v>46064</v>
      </c>
      <c r="C225" t="s">
        <v>80</v>
      </c>
      <c r="D225" t="s">
        <v>21</v>
      </c>
      <c r="E225" t="s">
        <v>66</v>
      </c>
      <c r="F225" t="s">
        <v>88</v>
      </c>
      <c r="G225" t="s">
        <v>24</v>
      </c>
      <c r="H225">
        <v>207</v>
      </c>
      <c r="I225">
        <v>230</v>
      </c>
      <c r="J225">
        <v>15</v>
      </c>
      <c r="K225">
        <v>4.3</v>
      </c>
      <c r="L225">
        <v>48241.29</v>
      </c>
      <c r="M225">
        <v>4.63</v>
      </c>
      <c r="N225">
        <v>83.34</v>
      </c>
      <c r="O225">
        <v>293</v>
      </c>
      <c r="P225" s="2">
        <v>46068</v>
      </c>
      <c r="Q225" s="2">
        <v>46067</v>
      </c>
      <c r="R225" t="s">
        <v>39</v>
      </c>
      <c r="S225" t="s">
        <v>33</v>
      </c>
    </row>
    <row r="226" spans="1:19" x14ac:dyDescent="0.25">
      <c r="A226" t="s">
        <v>314</v>
      </c>
      <c r="B226" s="2">
        <v>46088</v>
      </c>
      <c r="C226" t="s">
        <v>28</v>
      </c>
      <c r="D226" t="s">
        <v>29</v>
      </c>
      <c r="E226" t="s">
        <v>95</v>
      </c>
      <c r="F226" t="s">
        <v>135</v>
      </c>
      <c r="G226" t="s">
        <v>57</v>
      </c>
      <c r="H226">
        <v>155</v>
      </c>
      <c r="I226">
        <v>129</v>
      </c>
      <c r="J226">
        <v>1</v>
      </c>
      <c r="K226">
        <v>7.3</v>
      </c>
      <c r="L226">
        <v>36616.839999999997</v>
      </c>
      <c r="M226">
        <v>3.44</v>
      </c>
      <c r="N226">
        <v>75.680000000000007</v>
      </c>
      <c r="O226">
        <v>224</v>
      </c>
      <c r="P226" s="2">
        <v>46091</v>
      </c>
      <c r="Q226" s="2">
        <v>46090</v>
      </c>
      <c r="R226" t="s">
        <v>25</v>
      </c>
      <c r="S226" t="s">
        <v>51</v>
      </c>
    </row>
    <row r="227" spans="1:19" x14ac:dyDescent="0.25">
      <c r="A227" t="s">
        <v>315</v>
      </c>
      <c r="B227" s="2">
        <v>46107</v>
      </c>
      <c r="C227" t="s">
        <v>48</v>
      </c>
      <c r="D227" t="s">
        <v>49</v>
      </c>
      <c r="E227" t="s">
        <v>76</v>
      </c>
      <c r="F227" t="s">
        <v>110</v>
      </c>
      <c r="G227" t="s">
        <v>57</v>
      </c>
      <c r="H227">
        <v>239</v>
      </c>
      <c r="I227">
        <v>199</v>
      </c>
      <c r="J227">
        <v>14</v>
      </c>
      <c r="K227">
        <v>3.4</v>
      </c>
      <c r="L227">
        <v>33669.050000000003</v>
      </c>
      <c r="M227">
        <v>5.49</v>
      </c>
      <c r="N227">
        <v>131.76</v>
      </c>
      <c r="O227">
        <v>268</v>
      </c>
      <c r="P227" s="2">
        <v>46115</v>
      </c>
      <c r="Q227" s="2">
        <v>46119</v>
      </c>
      <c r="R227" t="s">
        <v>100</v>
      </c>
      <c r="S227" t="s">
        <v>33</v>
      </c>
    </row>
    <row r="228" spans="1:19" x14ac:dyDescent="0.25">
      <c r="A228" t="s">
        <v>316</v>
      </c>
      <c r="B228" s="2">
        <v>46056</v>
      </c>
      <c r="C228" t="s">
        <v>80</v>
      </c>
      <c r="D228" t="s">
        <v>21</v>
      </c>
      <c r="E228" t="s">
        <v>22</v>
      </c>
      <c r="F228" t="s">
        <v>67</v>
      </c>
      <c r="G228" t="s">
        <v>32</v>
      </c>
      <c r="H228">
        <v>106</v>
      </c>
      <c r="I228">
        <v>95</v>
      </c>
      <c r="J228">
        <v>5</v>
      </c>
      <c r="K228">
        <v>7.2</v>
      </c>
      <c r="L228">
        <v>24662.79</v>
      </c>
      <c r="M228">
        <v>2.58</v>
      </c>
      <c r="N228">
        <v>56.76</v>
      </c>
      <c r="O228">
        <v>73</v>
      </c>
      <c r="P228" s="2">
        <v>46068</v>
      </c>
      <c r="Q228" s="2">
        <v>46068</v>
      </c>
      <c r="R228" t="s">
        <v>100</v>
      </c>
      <c r="S228" t="s">
        <v>33</v>
      </c>
    </row>
    <row r="229" spans="1:19" x14ac:dyDescent="0.25">
      <c r="A229" t="s">
        <v>317</v>
      </c>
      <c r="B229" s="2">
        <v>46128</v>
      </c>
      <c r="C229" t="s">
        <v>53</v>
      </c>
      <c r="D229" t="s">
        <v>54</v>
      </c>
      <c r="E229" t="s">
        <v>55</v>
      </c>
      <c r="F229" t="s">
        <v>85</v>
      </c>
      <c r="G229" t="s">
        <v>24</v>
      </c>
      <c r="H229">
        <v>96</v>
      </c>
      <c r="I229">
        <v>79</v>
      </c>
      <c r="J229">
        <v>2</v>
      </c>
      <c r="K229">
        <v>6.3</v>
      </c>
      <c r="L229">
        <v>12870.3</v>
      </c>
      <c r="M229">
        <v>2.52</v>
      </c>
      <c r="N229">
        <v>65.52</v>
      </c>
      <c r="O229">
        <v>113</v>
      </c>
      <c r="P229" s="2">
        <v>46140</v>
      </c>
      <c r="Q229" s="2">
        <v>46141</v>
      </c>
      <c r="R229" t="s">
        <v>39</v>
      </c>
      <c r="S229" t="s">
        <v>26</v>
      </c>
    </row>
    <row r="230" spans="1:19" x14ac:dyDescent="0.25">
      <c r="A230" t="s">
        <v>318</v>
      </c>
      <c r="B230" s="2">
        <v>46047</v>
      </c>
      <c r="C230" t="s">
        <v>35</v>
      </c>
      <c r="D230" t="s">
        <v>36</v>
      </c>
      <c r="E230" t="s">
        <v>37</v>
      </c>
      <c r="G230" t="s">
        <v>32</v>
      </c>
      <c r="H230">
        <v>203</v>
      </c>
      <c r="I230">
        <v>176</v>
      </c>
      <c r="J230">
        <v>11</v>
      </c>
      <c r="K230">
        <v>3.5</v>
      </c>
      <c r="L230">
        <v>18467.09</v>
      </c>
      <c r="M230">
        <v>7.34</v>
      </c>
      <c r="N230">
        <v>132.12</v>
      </c>
      <c r="O230">
        <v>165</v>
      </c>
      <c r="P230" s="2">
        <v>46059</v>
      </c>
      <c r="Q230" s="2">
        <v>46059</v>
      </c>
      <c r="R230" t="s">
        <v>39</v>
      </c>
      <c r="S230" t="s">
        <v>72</v>
      </c>
    </row>
    <row r="231" spans="1:19" x14ac:dyDescent="0.25">
      <c r="A231" t="s">
        <v>319</v>
      </c>
      <c r="B231" s="2">
        <v>46065</v>
      </c>
      <c r="C231" t="s">
        <v>20</v>
      </c>
      <c r="D231" t="s">
        <v>320</v>
      </c>
      <c r="E231" t="s">
        <v>90</v>
      </c>
      <c r="F231" t="s">
        <v>74</v>
      </c>
      <c r="G231" t="s">
        <v>57</v>
      </c>
      <c r="H231">
        <v>162</v>
      </c>
      <c r="I231">
        <v>133</v>
      </c>
      <c r="J231">
        <v>12</v>
      </c>
      <c r="K231">
        <v>0.5</v>
      </c>
      <c r="L231">
        <v>40259.99</v>
      </c>
      <c r="M231">
        <v>3.68</v>
      </c>
      <c r="N231">
        <v>73.599999999999994</v>
      </c>
      <c r="O231">
        <v>142</v>
      </c>
      <c r="P231" s="2">
        <v>46074</v>
      </c>
      <c r="Q231" s="2">
        <v>46078</v>
      </c>
      <c r="R231" t="s">
        <v>39</v>
      </c>
      <c r="S231" t="s">
        <v>72</v>
      </c>
    </row>
    <row r="232" spans="1:19" x14ac:dyDescent="0.25">
      <c r="A232" t="s">
        <v>321</v>
      </c>
      <c r="B232" s="2">
        <v>46137</v>
      </c>
      <c r="C232" t="s">
        <v>48</v>
      </c>
      <c r="D232" t="s">
        <v>49</v>
      </c>
      <c r="E232" t="s">
        <v>50</v>
      </c>
      <c r="F232" t="s">
        <v>96</v>
      </c>
      <c r="G232" t="s">
        <v>32</v>
      </c>
      <c r="H232">
        <v>207</v>
      </c>
      <c r="I232">
        <v>215</v>
      </c>
      <c r="J232">
        <v>1</v>
      </c>
      <c r="K232">
        <v>3.6</v>
      </c>
      <c r="L232">
        <v>36289.980000000003</v>
      </c>
      <c r="M232">
        <v>8.1300000000000008</v>
      </c>
      <c r="N232">
        <v>211.38</v>
      </c>
      <c r="O232">
        <v>244</v>
      </c>
      <c r="P232" s="2">
        <v>46147</v>
      </c>
      <c r="Q232" s="2">
        <v>46147</v>
      </c>
      <c r="S232" t="s">
        <v>33</v>
      </c>
    </row>
    <row r="233" spans="1:19" x14ac:dyDescent="0.25">
      <c r="A233" t="s">
        <v>322</v>
      </c>
      <c r="B233" s="2">
        <v>46080</v>
      </c>
      <c r="C233" t="s">
        <v>53</v>
      </c>
      <c r="D233" t="s">
        <v>54</v>
      </c>
      <c r="E233" t="s">
        <v>131</v>
      </c>
      <c r="F233" t="s">
        <v>137</v>
      </c>
      <c r="G233" t="s">
        <v>24</v>
      </c>
      <c r="H233">
        <v>223</v>
      </c>
      <c r="I233">
        <v>234</v>
      </c>
      <c r="J233">
        <v>13</v>
      </c>
      <c r="K233">
        <v>6.4</v>
      </c>
      <c r="L233">
        <v>31383.439999999999</v>
      </c>
      <c r="M233">
        <v>4.76</v>
      </c>
      <c r="N233">
        <v>95.2</v>
      </c>
      <c r="O233">
        <v>183</v>
      </c>
      <c r="P233" s="2">
        <v>46087</v>
      </c>
      <c r="Q233" s="2">
        <v>46088</v>
      </c>
      <c r="R233" t="s">
        <v>25</v>
      </c>
      <c r="S233" t="s">
        <v>86</v>
      </c>
    </row>
    <row r="234" spans="1:19" x14ac:dyDescent="0.25">
      <c r="A234" t="s">
        <v>323</v>
      </c>
      <c r="B234" s="2">
        <v>46202</v>
      </c>
      <c r="C234" t="s">
        <v>20</v>
      </c>
      <c r="D234" t="s">
        <v>21</v>
      </c>
      <c r="E234" t="s">
        <v>22</v>
      </c>
      <c r="F234" t="s">
        <v>61</v>
      </c>
      <c r="G234" t="s">
        <v>57</v>
      </c>
      <c r="H234">
        <v>309</v>
      </c>
      <c r="I234">
        <v>244</v>
      </c>
      <c r="J234">
        <v>4</v>
      </c>
      <c r="K234">
        <v>6.5</v>
      </c>
      <c r="L234">
        <v>76344.25</v>
      </c>
      <c r="M234">
        <v>7.97</v>
      </c>
      <c r="N234">
        <v>159.4</v>
      </c>
      <c r="O234">
        <v>299</v>
      </c>
      <c r="P234" s="2">
        <v>46210</v>
      </c>
      <c r="Q234" s="2">
        <v>46210</v>
      </c>
      <c r="R234" t="s">
        <v>100</v>
      </c>
      <c r="S234" t="s">
        <v>86</v>
      </c>
    </row>
    <row r="235" spans="1:19" x14ac:dyDescent="0.25">
      <c r="A235" t="s">
        <v>324</v>
      </c>
      <c r="B235" s="2">
        <v>46050</v>
      </c>
      <c r="C235" t="s">
        <v>35</v>
      </c>
      <c r="D235" t="s">
        <v>36</v>
      </c>
      <c r="E235" t="s">
        <v>37</v>
      </c>
      <c r="F235" t="s">
        <v>112</v>
      </c>
      <c r="G235" t="s">
        <v>57</v>
      </c>
      <c r="H235">
        <v>317</v>
      </c>
      <c r="I235">
        <v>314</v>
      </c>
      <c r="J235">
        <v>20</v>
      </c>
      <c r="K235">
        <v>1.1000000000000001</v>
      </c>
      <c r="L235">
        <v>32612.65</v>
      </c>
      <c r="M235">
        <v>10.09</v>
      </c>
      <c r="N235">
        <v>262.33999999999997</v>
      </c>
      <c r="O235">
        <v>311</v>
      </c>
      <c r="P235" s="2">
        <v>46059</v>
      </c>
      <c r="Q235" s="2">
        <v>46057</v>
      </c>
      <c r="R235" t="s">
        <v>39</v>
      </c>
      <c r="S235" t="s">
        <v>26</v>
      </c>
    </row>
    <row r="236" spans="1:19" x14ac:dyDescent="0.25">
      <c r="A236" t="s">
        <v>325</v>
      </c>
      <c r="B236" s="2">
        <v>46133</v>
      </c>
      <c r="C236" t="s">
        <v>53</v>
      </c>
      <c r="D236" t="s">
        <v>54</v>
      </c>
      <c r="E236" t="s">
        <v>55</v>
      </c>
      <c r="F236" t="s">
        <v>46</v>
      </c>
      <c r="G236" t="s">
        <v>32</v>
      </c>
      <c r="H236">
        <v>257</v>
      </c>
      <c r="I236">
        <v>248</v>
      </c>
      <c r="J236">
        <v>17</v>
      </c>
      <c r="K236">
        <v>1.2</v>
      </c>
      <c r="L236">
        <v>34911.879999999997</v>
      </c>
      <c r="M236">
        <v>9.7200000000000006</v>
      </c>
      <c r="N236">
        <v>252.72</v>
      </c>
      <c r="O236">
        <v>315</v>
      </c>
      <c r="P236" s="2">
        <v>46141</v>
      </c>
      <c r="Q236" s="2">
        <v>46141</v>
      </c>
      <c r="R236" t="s">
        <v>25</v>
      </c>
      <c r="S236" t="s">
        <v>86</v>
      </c>
    </row>
    <row r="237" spans="1:19" x14ac:dyDescent="0.25">
      <c r="A237" t="s">
        <v>326</v>
      </c>
      <c r="B237" s="2">
        <v>46138</v>
      </c>
      <c r="C237" t="s">
        <v>43</v>
      </c>
      <c r="D237" t="s">
        <v>44</v>
      </c>
      <c r="E237" t="s">
        <v>93</v>
      </c>
      <c r="F237" t="s">
        <v>106</v>
      </c>
      <c r="G237" t="s">
        <v>32</v>
      </c>
      <c r="H237">
        <v>185</v>
      </c>
      <c r="I237">
        <v>181</v>
      </c>
      <c r="J237">
        <v>15</v>
      </c>
      <c r="K237">
        <v>4.5999999999999996</v>
      </c>
      <c r="L237">
        <v>24194.84</v>
      </c>
      <c r="M237">
        <v>4.62</v>
      </c>
      <c r="N237">
        <v>120.12</v>
      </c>
      <c r="O237">
        <v>200</v>
      </c>
      <c r="P237" s="2">
        <v>46143</v>
      </c>
      <c r="Q237" s="2">
        <v>46143</v>
      </c>
      <c r="R237" t="s">
        <v>39</v>
      </c>
      <c r="S237" t="s">
        <v>86</v>
      </c>
    </row>
    <row r="238" spans="1:19" x14ac:dyDescent="0.25">
      <c r="A238" t="s">
        <v>327</v>
      </c>
      <c r="B238" s="2">
        <v>46195</v>
      </c>
      <c r="C238" t="s">
        <v>43</v>
      </c>
      <c r="D238" t="s">
        <v>44</v>
      </c>
      <c r="E238" t="s">
        <v>45</v>
      </c>
      <c r="F238" t="s">
        <v>125</v>
      </c>
      <c r="G238" t="s">
        <v>32</v>
      </c>
      <c r="H238">
        <v>246</v>
      </c>
      <c r="I238">
        <v>280</v>
      </c>
      <c r="J238">
        <v>5</v>
      </c>
      <c r="K238">
        <v>4.9000000000000004</v>
      </c>
      <c r="L238">
        <v>36457.47</v>
      </c>
      <c r="M238">
        <v>10.15</v>
      </c>
      <c r="N238">
        <v>263.89999999999998</v>
      </c>
      <c r="O238">
        <v>328</v>
      </c>
      <c r="P238" s="2">
        <v>46206</v>
      </c>
      <c r="Q238" s="2">
        <v>46208</v>
      </c>
      <c r="R238" t="s">
        <v>39</v>
      </c>
      <c r="S238" t="s">
        <v>33</v>
      </c>
    </row>
    <row r="239" spans="1:19" x14ac:dyDescent="0.25">
      <c r="A239" t="s">
        <v>328</v>
      </c>
      <c r="B239" s="2">
        <v>46156</v>
      </c>
      <c r="C239" t="s">
        <v>20</v>
      </c>
      <c r="D239" t="s">
        <v>21</v>
      </c>
      <c r="E239" t="s">
        <v>22</v>
      </c>
      <c r="F239" t="s">
        <v>197</v>
      </c>
      <c r="G239" t="s">
        <v>24</v>
      </c>
      <c r="H239">
        <v>177</v>
      </c>
      <c r="I239">
        <v>138</v>
      </c>
      <c r="J239">
        <v>9</v>
      </c>
      <c r="K239">
        <v>1.8</v>
      </c>
      <c r="L239">
        <v>44294.34</v>
      </c>
      <c r="M239">
        <v>3.43</v>
      </c>
      <c r="N239">
        <v>75.459999999999994</v>
      </c>
      <c r="O239">
        <v>174</v>
      </c>
      <c r="P239" s="2">
        <v>46158</v>
      </c>
      <c r="Q239" s="2">
        <v>46158</v>
      </c>
      <c r="R239" t="s">
        <v>25</v>
      </c>
      <c r="S239" t="s">
        <v>33</v>
      </c>
    </row>
    <row r="240" spans="1:19" x14ac:dyDescent="0.25">
      <c r="A240" t="s">
        <v>329</v>
      </c>
      <c r="B240" s="2">
        <v>46114</v>
      </c>
      <c r="C240" t="s">
        <v>53</v>
      </c>
      <c r="D240" t="s">
        <v>54</v>
      </c>
      <c r="E240" t="s">
        <v>55</v>
      </c>
      <c r="F240" t="s">
        <v>83</v>
      </c>
      <c r="G240" t="s">
        <v>24</v>
      </c>
      <c r="H240">
        <v>237</v>
      </c>
      <c r="I240">
        <v>259</v>
      </c>
      <c r="J240">
        <v>18</v>
      </c>
      <c r="K240">
        <v>7.8</v>
      </c>
      <c r="L240">
        <v>40893.93</v>
      </c>
      <c r="M240">
        <v>6.14</v>
      </c>
      <c r="N240">
        <v>135.08000000000001</v>
      </c>
      <c r="O240">
        <v>209</v>
      </c>
      <c r="P240" s="2">
        <v>46122</v>
      </c>
      <c r="Q240" s="2">
        <v>46124</v>
      </c>
      <c r="R240" t="s">
        <v>100</v>
      </c>
      <c r="S240" t="s">
        <v>86</v>
      </c>
    </row>
    <row r="241" spans="1:19" x14ac:dyDescent="0.25">
      <c r="A241" t="s">
        <v>330</v>
      </c>
      <c r="B241" s="2">
        <v>46164</v>
      </c>
      <c r="C241" t="s">
        <v>80</v>
      </c>
      <c r="D241" t="s">
        <v>21</v>
      </c>
      <c r="E241" t="s">
        <v>22</v>
      </c>
      <c r="F241" t="s">
        <v>125</v>
      </c>
      <c r="G241" t="s">
        <v>32</v>
      </c>
      <c r="H241">
        <v>270</v>
      </c>
      <c r="I241">
        <v>223</v>
      </c>
      <c r="J241">
        <v>13</v>
      </c>
      <c r="K241">
        <v>7</v>
      </c>
      <c r="L241">
        <v>73352.710000000006</v>
      </c>
      <c r="M241">
        <v>8.89</v>
      </c>
      <c r="N241">
        <v>195.58</v>
      </c>
      <c r="O241">
        <v>369</v>
      </c>
      <c r="P241" s="2">
        <v>46175</v>
      </c>
      <c r="Q241" s="2">
        <v>46175</v>
      </c>
      <c r="R241" t="s">
        <v>25</v>
      </c>
      <c r="S241" t="s">
        <v>51</v>
      </c>
    </row>
    <row r="242" spans="1:19" x14ac:dyDescent="0.25">
      <c r="A242" t="s">
        <v>331</v>
      </c>
      <c r="B242" s="2">
        <v>46197</v>
      </c>
      <c r="C242" t="s">
        <v>20</v>
      </c>
      <c r="D242" t="s">
        <v>21</v>
      </c>
      <c r="E242" t="s">
        <v>22</v>
      </c>
      <c r="F242" t="s">
        <v>64</v>
      </c>
      <c r="G242" t="s">
        <v>57</v>
      </c>
      <c r="H242">
        <v>124</v>
      </c>
      <c r="I242">
        <v>128</v>
      </c>
      <c r="J242">
        <v>2</v>
      </c>
      <c r="K242">
        <v>0.4</v>
      </c>
      <c r="L242">
        <v>35748.17</v>
      </c>
      <c r="M242">
        <v>2.8</v>
      </c>
      <c r="N242">
        <v>61.6</v>
      </c>
      <c r="O242">
        <v>85</v>
      </c>
      <c r="P242" s="2">
        <v>46204</v>
      </c>
      <c r="Q242" s="2">
        <v>46208</v>
      </c>
      <c r="R242" t="s">
        <v>25</v>
      </c>
      <c r="S242" t="s">
        <v>86</v>
      </c>
    </row>
    <row r="243" spans="1:19" x14ac:dyDescent="0.25">
      <c r="A243" t="s">
        <v>332</v>
      </c>
      <c r="B243" s="2">
        <v>46175</v>
      </c>
      <c r="C243" t="s">
        <v>80</v>
      </c>
      <c r="D243" t="s">
        <v>21</v>
      </c>
      <c r="E243" t="s">
        <v>66</v>
      </c>
      <c r="F243" t="s">
        <v>244</v>
      </c>
      <c r="G243" t="s">
        <v>32</v>
      </c>
      <c r="H243">
        <v>237</v>
      </c>
      <c r="I243">
        <v>256</v>
      </c>
      <c r="J243">
        <v>8</v>
      </c>
      <c r="K243">
        <v>7.1</v>
      </c>
      <c r="L243">
        <v>61560.06</v>
      </c>
      <c r="M243">
        <v>8.9600000000000009</v>
      </c>
      <c r="N243">
        <v>232.96</v>
      </c>
      <c r="O243">
        <v>253</v>
      </c>
      <c r="P243" s="2">
        <v>46179</v>
      </c>
      <c r="Q243" s="2">
        <v>46178</v>
      </c>
      <c r="R243" t="s">
        <v>39</v>
      </c>
      <c r="S243" t="s">
        <v>26</v>
      </c>
    </row>
    <row r="244" spans="1:19" x14ac:dyDescent="0.25">
      <c r="A244" t="s">
        <v>333</v>
      </c>
      <c r="B244" s="2">
        <v>46160</v>
      </c>
      <c r="C244" t="s">
        <v>35</v>
      </c>
      <c r="D244" t="s">
        <v>36</v>
      </c>
      <c r="E244" t="s">
        <v>37</v>
      </c>
      <c r="F244" t="s">
        <v>41</v>
      </c>
      <c r="G244" t="s">
        <v>32</v>
      </c>
      <c r="H244">
        <v>169</v>
      </c>
      <c r="I244">
        <v>137</v>
      </c>
      <c r="J244">
        <v>3</v>
      </c>
      <c r="K244">
        <v>3</v>
      </c>
      <c r="L244">
        <v>11078.96</v>
      </c>
      <c r="M244">
        <v>4.9400000000000004</v>
      </c>
      <c r="N244">
        <v>128.44</v>
      </c>
      <c r="O244">
        <v>250</v>
      </c>
      <c r="P244" s="2">
        <v>46170</v>
      </c>
      <c r="Q244" s="2">
        <v>46168</v>
      </c>
      <c r="R244" t="s">
        <v>25</v>
      </c>
      <c r="S244" t="s">
        <v>72</v>
      </c>
    </row>
    <row r="245" spans="1:19" x14ac:dyDescent="0.25">
      <c r="A245" t="s">
        <v>334</v>
      </c>
      <c r="B245" s="2">
        <v>46084</v>
      </c>
      <c r="C245" t="s">
        <v>28</v>
      </c>
      <c r="D245" t="s">
        <v>29</v>
      </c>
      <c r="E245" t="s">
        <v>63</v>
      </c>
      <c r="F245" t="s">
        <v>64</v>
      </c>
      <c r="G245" t="s">
        <v>32</v>
      </c>
      <c r="H245">
        <v>254</v>
      </c>
      <c r="I245">
        <v>279</v>
      </c>
      <c r="J245">
        <v>10</v>
      </c>
      <c r="K245">
        <v>7.2</v>
      </c>
      <c r="L245">
        <v>51324.55</v>
      </c>
      <c r="M245">
        <v>9.8699999999999992</v>
      </c>
      <c r="N245">
        <v>177.66</v>
      </c>
      <c r="O245">
        <v>346</v>
      </c>
      <c r="P245" s="2">
        <v>46091</v>
      </c>
      <c r="Q245" s="2">
        <v>46095</v>
      </c>
      <c r="R245" t="s">
        <v>100</v>
      </c>
      <c r="S245" t="s">
        <v>51</v>
      </c>
    </row>
    <row r="246" spans="1:19" x14ac:dyDescent="0.25">
      <c r="A246" t="s">
        <v>335</v>
      </c>
      <c r="B246" s="2">
        <v>46105</v>
      </c>
      <c r="C246" t="s">
        <v>20</v>
      </c>
      <c r="D246" t="s">
        <v>21</v>
      </c>
      <c r="E246" t="s">
        <v>22</v>
      </c>
      <c r="F246" t="s">
        <v>61</v>
      </c>
      <c r="G246" t="s">
        <v>24</v>
      </c>
      <c r="H246">
        <v>122</v>
      </c>
      <c r="I246">
        <v>138</v>
      </c>
      <c r="J246">
        <v>10</v>
      </c>
      <c r="K246">
        <v>4.8</v>
      </c>
      <c r="L246">
        <v>43115</v>
      </c>
      <c r="M246">
        <v>4.57</v>
      </c>
      <c r="N246">
        <v>91.4</v>
      </c>
      <c r="O246">
        <v>190</v>
      </c>
      <c r="P246" s="2">
        <v>46108</v>
      </c>
      <c r="Q246" s="2">
        <v>46108</v>
      </c>
      <c r="R246" t="s">
        <v>39</v>
      </c>
      <c r="S246" t="s">
        <v>72</v>
      </c>
    </row>
    <row r="247" spans="1:19" x14ac:dyDescent="0.25">
      <c r="A247" t="s">
        <v>336</v>
      </c>
      <c r="B247" s="2">
        <v>46188</v>
      </c>
      <c r="C247" t="s">
        <v>20</v>
      </c>
      <c r="D247" t="s">
        <v>21</v>
      </c>
      <c r="E247" t="s">
        <v>66</v>
      </c>
      <c r="F247" t="s">
        <v>77</v>
      </c>
      <c r="G247" t="s">
        <v>32</v>
      </c>
      <c r="H247">
        <v>255</v>
      </c>
      <c r="I247">
        <v>200</v>
      </c>
      <c r="J247">
        <v>9</v>
      </c>
      <c r="K247">
        <v>3</v>
      </c>
      <c r="L247">
        <v>48570.85</v>
      </c>
      <c r="M247">
        <v>7.41</v>
      </c>
      <c r="N247">
        <v>192.66</v>
      </c>
      <c r="O247">
        <v>233</v>
      </c>
      <c r="P247" s="2">
        <v>46199</v>
      </c>
      <c r="Q247" s="2">
        <v>46199</v>
      </c>
      <c r="R247" t="s">
        <v>25</v>
      </c>
      <c r="S247" t="s">
        <v>72</v>
      </c>
    </row>
    <row r="248" spans="1:19" x14ac:dyDescent="0.25">
      <c r="A248" t="s">
        <v>337</v>
      </c>
      <c r="B248" s="2">
        <v>46184</v>
      </c>
      <c r="C248" t="s">
        <v>35</v>
      </c>
      <c r="D248" t="s">
        <v>36</v>
      </c>
      <c r="E248" t="s">
        <v>69</v>
      </c>
      <c r="F248" t="s">
        <v>71</v>
      </c>
      <c r="G248" t="s">
        <v>32</v>
      </c>
      <c r="H248">
        <v>160</v>
      </c>
      <c r="I248">
        <v>116</v>
      </c>
      <c r="J248">
        <v>7</v>
      </c>
      <c r="K248">
        <v>4.8</v>
      </c>
      <c r="L248">
        <v>11580.12</v>
      </c>
      <c r="M248">
        <v>4.1900000000000004</v>
      </c>
      <c r="N248">
        <v>108.94</v>
      </c>
      <c r="O248">
        <v>131</v>
      </c>
      <c r="P248" s="2">
        <v>46187</v>
      </c>
      <c r="Q248" s="2">
        <v>46188</v>
      </c>
      <c r="R248" t="s">
        <v>39</v>
      </c>
      <c r="S248" t="s">
        <v>86</v>
      </c>
    </row>
    <row r="249" spans="1:19" x14ac:dyDescent="0.25">
      <c r="A249" t="s">
        <v>338</v>
      </c>
      <c r="B249" s="2">
        <v>46178</v>
      </c>
      <c r="C249" t="s">
        <v>20</v>
      </c>
      <c r="D249" t="s">
        <v>21</v>
      </c>
      <c r="E249" t="s">
        <v>90</v>
      </c>
      <c r="F249" t="s">
        <v>41</v>
      </c>
      <c r="G249" t="s">
        <v>24</v>
      </c>
      <c r="H249">
        <v>275</v>
      </c>
      <c r="I249">
        <v>307</v>
      </c>
      <c r="J249">
        <v>12</v>
      </c>
      <c r="K249">
        <v>7.4</v>
      </c>
      <c r="L249">
        <v>75026.55</v>
      </c>
      <c r="M249">
        <v>7.15</v>
      </c>
      <c r="N249">
        <v>171.6</v>
      </c>
      <c r="O249">
        <v>374</v>
      </c>
      <c r="P249" s="2">
        <v>46184</v>
      </c>
      <c r="Q249" s="2">
        <v>46184</v>
      </c>
      <c r="R249" t="s">
        <v>25</v>
      </c>
      <c r="S249" t="s">
        <v>86</v>
      </c>
    </row>
    <row r="250" spans="1:19" x14ac:dyDescent="0.25">
      <c r="A250" t="s">
        <v>339</v>
      </c>
      <c r="B250" s="2">
        <v>46025</v>
      </c>
      <c r="C250" t="s">
        <v>43</v>
      </c>
      <c r="D250" t="s">
        <v>44</v>
      </c>
      <c r="E250" t="s">
        <v>93</v>
      </c>
      <c r="F250" t="s">
        <v>244</v>
      </c>
      <c r="G250" t="s">
        <v>57</v>
      </c>
      <c r="H250">
        <v>90</v>
      </c>
      <c r="I250">
        <v>64</v>
      </c>
      <c r="J250">
        <v>3</v>
      </c>
      <c r="K250">
        <v>4.8</v>
      </c>
      <c r="L250">
        <v>8271.83</v>
      </c>
      <c r="M250">
        <v>2.2999999999999998</v>
      </c>
      <c r="N250">
        <v>50.6</v>
      </c>
      <c r="O250">
        <v>104</v>
      </c>
      <c r="P250" s="2">
        <v>46033</v>
      </c>
      <c r="Q250" s="2">
        <v>46033</v>
      </c>
      <c r="R250" t="s">
        <v>25</v>
      </c>
      <c r="S250" t="s">
        <v>26</v>
      </c>
    </row>
    <row r="251" spans="1:19" x14ac:dyDescent="0.25">
      <c r="A251" t="s">
        <v>340</v>
      </c>
      <c r="B251" s="2">
        <v>46087</v>
      </c>
      <c r="C251" t="s">
        <v>28</v>
      </c>
      <c r="D251" t="s">
        <v>29</v>
      </c>
      <c r="E251" t="s">
        <v>63</v>
      </c>
      <c r="F251" t="s">
        <v>71</v>
      </c>
      <c r="G251" t="s">
        <v>57</v>
      </c>
      <c r="H251">
        <v>126</v>
      </c>
      <c r="I251">
        <v>127</v>
      </c>
      <c r="J251">
        <v>7</v>
      </c>
      <c r="K251">
        <v>0.5</v>
      </c>
      <c r="L251">
        <v>35809.300000000003</v>
      </c>
      <c r="M251">
        <v>3.96</v>
      </c>
      <c r="N251">
        <v>102.96</v>
      </c>
      <c r="O251">
        <v>104</v>
      </c>
      <c r="P251" s="2">
        <v>46093</v>
      </c>
      <c r="Q251" s="2">
        <v>46092</v>
      </c>
      <c r="R251" t="s">
        <v>25</v>
      </c>
      <c r="S251" t="s">
        <v>26</v>
      </c>
    </row>
    <row r="252" spans="1:19" x14ac:dyDescent="0.25">
      <c r="A252" t="s">
        <v>341</v>
      </c>
      <c r="B252" s="2">
        <v>46147</v>
      </c>
      <c r="C252" t="s">
        <v>48</v>
      </c>
      <c r="D252" t="s">
        <v>49</v>
      </c>
      <c r="E252" t="s">
        <v>76</v>
      </c>
      <c r="F252" t="s">
        <v>114</v>
      </c>
      <c r="G252" t="s">
        <v>32</v>
      </c>
      <c r="H252">
        <v>112</v>
      </c>
      <c r="I252">
        <v>112</v>
      </c>
      <c r="J252">
        <v>2</v>
      </c>
      <c r="K252">
        <v>2.6</v>
      </c>
      <c r="L252">
        <v>17379.72</v>
      </c>
      <c r="M252">
        <v>3.32</v>
      </c>
      <c r="N252">
        <v>73.040000000000006</v>
      </c>
      <c r="O252">
        <v>150</v>
      </c>
      <c r="P252" s="2">
        <v>46158</v>
      </c>
      <c r="Q252" s="2">
        <v>46158</v>
      </c>
      <c r="R252" t="s">
        <v>39</v>
      </c>
      <c r="S252" t="s">
        <v>86</v>
      </c>
    </row>
    <row r="253" spans="1:19" x14ac:dyDescent="0.25">
      <c r="A253" t="s">
        <v>342</v>
      </c>
      <c r="B253" s="2">
        <v>46132</v>
      </c>
      <c r="C253" t="s">
        <v>43</v>
      </c>
      <c r="D253" t="s">
        <v>44</v>
      </c>
      <c r="E253" t="s">
        <v>93</v>
      </c>
      <c r="F253" t="s">
        <v>197</v>
      </c>
      <c r="G253" t="s">
        <v>32</v>
      </c>
      <c r="H253">
        <v>160</v>
      </c>
      <c r="I253">
        <v>132</v>
      </c>
      <c r="J253">
        <v>3</v>
      </c>
      <c r="K253">
        <v>6.7</v>
      </c>
      <c r="L253">
        <v>16529.580000000002</v>
      </c>
      <c r="M253">
        <v>2.8</v>
      </c>
      <c r="N253">
        <v>61.6</v>
      </c>
      <c r="O253">
        <v>242</v>
      </c>
      <c r="P253" s="2">
        <v>46141</v>
      </c>
      <c r="Q253" s="2">
        <v>46145</v>
      </c>
      <c r="R253" t="s">
        <v>25</v>
      </c>
      <c r="S253" t="s">
        <v>72</v>
      </c>
    </row>
    <row r="254" spans="1:19" x14ac:dyDescent="0.25">
      <c r="A254" t="s">
        <v>343</v>
      </c>
      <c r="B254" s="2">
        <v>46164</v>
      </c>
      <c r="C254" t="s">
        <v>20</v>
      </c>
      <c r="D254" t="s">
        <v>21</v>
      </c>
      <c r="E254" t="s">
        <v>22</v>
      </c>
      <c r="F254" t="s">
        <v>114</v>
      </c>
      <c r="G254" t="s">
        <v>32</v>
      </c>
      <c r="H254">
        <v>245</v>
      </c>
      <c r="I254">
        <v>240</v>
      </c>
      <c r="J254">
        <v>19</v>
      </c>
      <c r="K254">
        <v>7.7</v>
      </c>
      <c r="L254">
        <v>68350.44</v>
      </c>
      <c r="M254">
        <v>5.84</v>
      </c>
      <c r="N254">
        <v>105.12</v>
      </c>
      <c r="O254">
        <v>224</v>
      </c>
      <c r="P254" s="2">
        <v>46166</v>
      </c>
      <c r="Q254" s="2">
        <v>46164</v>
      </c>
      <c r="R254" t="s">
        <v>39</v>
      </c>
      <c r="S254" t="s">
        <v>26</v>
      </c>
    </row>
    <row r="255" spans="1:19" x14ac:dyDescent="0.25">
      <c r="A255" t="s">
        <v>344</v>
      </c>
      <c r="B255" s="2">
        <v>46077</v>
      </c>
      <c r="C255" t="s">
        <v>80</v>
      </c>
      <c r="D255" t="s">
        <v>21</v>
      </c>
      <c r="E255" t="s">
        <v>66</v>
      </c>
      <c r="F255" t="s">
        <v>85</v>
      </c>
      <c r="G255" t="s">
        <v>57</v>
      </c>
      <c r="H255">
        <v>146</v>
      </c>
      <c r="I255">
        <v>139</v>
      </c>
      <c r="J255">
        <v>13</v>
      </c>
      <c r="K255">
        <v>4.2</v>
      </c>
      <c r="L255">
        <v>39280.36</v>
      </c>
      <c r="M255">
        <v>3.25</v>
      </c>
      <c r="N255">
        <v>84.5</v>
      </c>
      <c r="O255">
        <v>180</v>
      </c>
      <c r="P255" s="2">
        <v>46081</v>
      </c>
      <c r="Q255" s="2">
        <v>46085</v>
      </c>
      <c r="R255" t="s">
        <v>39</v>
      </c>
      <c r="S255" t="s">
        <v>72</v>
      </c>
    </row>
    <row r="256" spans="1:19" x14ac:dyDescent="0.25">
      <c r="A256" t="s">
        <v>345</v>
      </c>
      <c r="B256" s="2">
        <v>46116</v>
      </c>
      <c r="C256" t="s">
        <v>80</v>
      </c>
      <c r="D256" t="s">
        <v>21</v>
      </c>
      <c r="E256" t="s">
        <v>66</v>
      </c>
      <c r="F256" t="s">
        <v>23</v>
      </c>
      <c r="G256" t="s">
        <v>32</v>
      </c>
      <c r="H256">
        <v>141</v>
      </c>
      <c r="I256">
        <v>152</v>
      </c>
      <c r="J256">
        <v>11</v>
      </c>
      <c r="K256">
        <v>5.5</v>
      </c>
      <c r="L256">
        <v>35796.75</v>
      </c>
      <c r="M256">
        <v>4.3600000000000003</v>
      </c>
      <c r="N256">
        <v>87.2</v>
      </c>
      <c r="O256">
        <v>138</v>
      </c>
      <c r="P256" s="2">
        <v>46125</v>
      </c>
      <c r="Q256" s="2">
        <v>46126</v>
      </c>
      <c r="R256" t="s">
        <v>25</v>
      </c>
      <c r="S256" t="s">
        <v>51</v>
      </c>
    </row>
    <row r="257" spans="1:19" x14ac:dyDescent="0.25">
      <c r="A257" t="s">
        <v>346</v>
      </c>
      <c r="B257" s="2">
        <v>46039</v>
      </c>
      <c r="C257" t="s">
        <v>59</v>
      </c>
      <c r="D257" t="s">
        <v>49</v>
      </c>
      <c r="E257" t="s">
        <v>76</v>
      </c>
      <c r="F257" t="s">
        <v>106</v>
      </c>
      <c r="G257" t="s">
        <v>24</v>
      </c>
      <c r="H257">
        <v>139</v>
      </c>
      <c r="I257">
        <v>102</v>
      </c>
      <c r="J257">
        <v>2</v>
      </c>
      <c r="K257">
        <v>8.1999999999999993</v>
      </c>
      <c r="L257">
        <v>16784.68</v>
      </c>
      <c r="M257">
        <v>2.95</v>
      </c>
      <c r="N257">
        <v>53.1</v>
      </c>
      <c r="O257">
        <v>109</v>
      </c>
      <c r="P257" s="2">
        <v>46051</v>
      </c>
      <c r="Q257" s="2">
        <v>46052</v>
      </c>
      <c r="R257" t="s">
        <v>25</v>
      </c>
      <c r="S257" t="s">
        <v>86</v>
      </c>
    </row>
    <row r="258" spans="1:19" x14ac:dyDescent="0.25">
      <c r="A258" t="s">
        <v>347</v>
      </c>
      <c r="B258" s="2">
        <v>46090</v>
      </c>
      <c r="C258" t="s">
        <v>43</v>
      </c>
      <c r="D258" t="s">
        <v>44</v>
      </c>
      <c r="E258" t="s">
        <v>161</v>
      </c>
      <c r="F258" t="s">
        <v>119</v>
      </c>
      <c r="G258" t="s">
        <v>32</v>
      </c>
      <c r="H258">
        <v>247</v>
      </c>
      <c r="I258">
        <v>218</v>
      </c>
      <c r="J258">
        <v>12</v>
      </c>
      <c r="K258">
        <v>8.1</v>
      </c>
      <c r="L258">
        <v>20273.14</v>
      </c>
      <c r="M258">
        <v>9.01</v>
      </c>
      <c r="N258">
        <v>180.2</v>
      </c>
      <c r="O258">
        <v>339</v>
      </c>
      <c r="P258" s="2">
        <v>46098</v>
      </c>
      <c r="Q258" s="2">
        <v>46099</v>
      </c>
      <c r="R258" t="s">
        <v>25</v>
      </c>
      <c r="S258" t="s">
        <v>26</v>
      </c>
    </row>
    <row r="259" spans="1:19" x14ac:dyDescent="0.25">
      <c r="A259" t="s">
        <v>348</v>
      </c>
      <c r="B259" s="2">
        <v>46024</v>
      </c>
      <c r="C259" t="s">
        <v>43</v>
      </c>
      <c r="D259" t="s">
        <v>44</v>
      </c>
      <c r="E259" t="s">
        <v>161</v>
      </c>
      <c r="F259" t="s">
        <v>119</v>
      </c>
      <c r="G259" t="s">
        <v>24</v>
      </c>
      <c r="H259">
        <v>122</v>
      </c>
      <c r="I259">
        <v>99</v>
      </c>
      <c r="J259">
        <v>5</v>
      </c>
      <c r="K259">
        <v>2.5</v>
      </c>
      <c r="L259">
        <v>9233.14</v>
      </c>
      <c r="M259">
        <v>3.21</v>
      </c>
      <c r="N259">
        <v>57.78</v>
      </c>
      <c r="O259">
        <v>140</v>
      </c>
      <c r="P259" s="2">
        <v>46032</v>
      </c>
      <c r="Q259" s="2">
        <v>46033</v>
      </c>
      <c r="R259" t="s">
        <v>25</v>
      </c>
      <c r="S259" t="s">
        <v>72</v>
      </c>
    </row>
    <row r="260" spans="1:19" x14ac:dyDescent="0.25">
      <c r="A260" t="s">
        <v>349</v>
      </c>
      <c r="B260" s="2">
        <v>46145</v>
      </c>
      <c r="C260" t="s">
        <v>28</v>
      </c>
      <c r="D260" t="s">
        <v>29</v>
      </c>
      <c r="E260" t="s">
        <v>30</v>
      </c>
      <c r="F260" t="s">
        <v>244</v>
      </c>
      <c r="G260" t="s">
        <v>32</v>
      </c>
      <c r="H260">
        <v>121</v>
      </c>
      <c r="I260">
        <v>120</v>
      </c>
      <c r="J260">
        <v>5</v>
      </c>
      <c r="K260">
        <v>2.2000000000000002</v>
      </c>
      <c r="L260">
        <v>24344.52</v>
      </c>
      <c r="M260">
        <v>2.5499999999999998</v>
      </c>
      <c r="N260">
        <v>66.3</v>
      </c>
      <c r="O260">
        <v>91</v>
      </c>
      <c r="P260" s="2">
        <v>46156</v>
      </c>
      <c r="Q260" s="2">
        <v>46156</v>
      </c>
      <c r="R260" t="s">
        <v>25</v>
      </c>
      <c r="S260" t="s">
        <v>51</v>
      </c>
    </row>
    <row r="261" spans="1:19" x14ac:dyDescent="0.25">
      <c r="A261" t="s">
        <v>350</v>
      </c>
      <c r="B261" s="2">
        <v>46155</v>
      </c>
      <c r="C261" t="s">
        <v>35</v>
      </c>
      <c r="D261" t="s">
        <v>36</v>
      </c>
      <c r="E261" t="s">
        <v>37</v>
      </c>
      <c r="F261" t="s">
        <v>170</v>
      </c>
      <c r="G261" t="s">
        <v>24</v>
      </c>
      <c r="H261">
        <v>304</v>
      </c>
      <c r="I261">
        <v>312</v>
      </c>
      <c r="J261">
        <v>20</v>
      </c>
      <c r="K261">
        <v>2.6</v>
      </c>
      <c r="L261">
        <v>24110.86</v>
      </c>
      <c r="M261">
        <v>13.05</v>
      </c>
      <c r="N261">
        <v>313.2</v>
      </c>
      <c r="O261">
        <v>307</v>
      </c>
      <c r="P261" s="2">
        <v>46160</v>
      </c>
      <c r="Q261" s="2">
        <v>46162</v>
      </c>
      <c r="R261" t="s">
        <v>39</v>
      </c>
      <c r="S261" t="s">
        <v>51</v>
      </c>
    </row>
    <row r="262" spans="1:19" x14ac:dyDescent="0.25">
      <c r="A262" t="s">
        <v>351</v>
      </c>
      <c r="B262" s="2">
        <v>46182</v>
      </c>
      <c r="C262" t="s">
        <v>59</v>
      </c>
      <c r="D262" t="s">
        <v>49</v>
      </c>
      <c r="E262" t="s">
        <v>50</v>
      </c>
      <c r="F262" t="s">
        <v>104</v>
      </c>
      <c r="G262" t="s">
        <v>57</v>
      </c>
      <c r="H262">
        <v>265</v>
      </c>
      <c r="I262">
        <v>268</v>
      </c>
      <c r="J262">
        <v>23</v>
      </c>
      <c r="K262">
        <v>5.4</v>
      </c>
      <c r="L262">
        <v>38246.400000000001</v>
      </c>
      <c r="M262">
        <v>5.67</v>
      </c>
      <c r="N262">
        <v>102.06</v>
      </c>
      <c r="O262">
        <v>276</v>
      </c>
      <c r="P262" s="2">
        <v>46192</v>
      </c>
      <c r="Q262" s="2">
        <v>46194</v>
      </c>
      <c r="R262" t="s">
        <v>25</v>
      </c>
      <c r="S262" t="s">
        <v>51</v>
      </c>
    </row>
    <row r="263" spans="1:19" x14ac:dyDescent="0.25">
      <c r="A263" t="s">
        <v>352</v>
      </c>
      <c r="B263" s="2">
        <v>46144</v>
      </c>
      <c r="C263" t="s">
        <v>80</v>
      </c>
      <c r="D263" t="s">
        <v>21</v>
      </c>
      <c r="E263" t="s">
        <v>66</v>
      </c>
      <c r="F263" t="s">
        <v>106</v>
      </c>
      <c r="G263" t="s">
        <v>24</v>
      </c>
      <c r="H263">
        <v>208</v>
      </c>
      <c r="I263">
        <v>217</v>
      </c>
      <c r="J263">
        <v>2</v>
      </c>
      <c r="K263">
        <v>5.9</v>
      </c>
      <c r="L263">
        <v>66945.87</v>
      </c>
      <c r="M263">
        <v>3.91</v>
      </c>
      <c r="N263">
        <v>93.84</v>
      </c>
      <c r="O263">
        <v>301</v>
      </c>
      <c r="P263" s="2">
        <v>46152</v>
      </c>
      <c r="Q263" s="2">
        <v>46153</v>
      </c>
      <c r="R263" t="s">
        <v>25</v>
      </c>
      <c r="S263" t="s">
        <v>72</v>
      </c>
    </row>
    <row r="264" spans="1:19" x14ac:dyDescent="0.25">
      <c r="A264" t="s">
        <v>353</v>
      </c>
      <c r="B264" s="2">
        <v>46081</v>
      </c>
      <c r="C264" t="s">
        <v>53</v>
      </c>
      <c r="D264" t="s">
        <v>54</v>
      </c>
      <c r="E264" t="s">
        <v>131</v>
      </c>
      <c r="F264" t="s">
        <v>38</v>
      </c>
      <c r="G264" t="s">
        <v>24</v>
      </c>
      <c r="H264">
        <v>169</v>
      </c>
      <c r="I264">
        <v>164</v>
      </c>
      <c r="J264">
        <v>11</v>
      </c>
      <c r="K264">
        <v>6.9</v>
      </c>
      <c r="L264">
        <v>22388.57</v>
      </c>
      <c r="M264">
        <v>3.48</v>
      </c>
      <c r="N264">
        <v>83.52</v>
      </c>
      <c r="O264">
        <v>188</v>
      </c>
      <c r="P264" s="2">
        <v>46084</v>
      </c>
      <c r="Q264" s="2">
        <v>46084</v>
      </c>
      <c r="R264" t="s">
        <v>39</v>
      </c>
      <c r="S264" t="s">
        <v>72</v>
      </c>
    </row>
    <row r="265" spans="1:19" x14ac:dyDescent="0.25">
      <c r="A265" t="s">
        <v>354</v>
      </c>
      <c r="B265" s="2">
        <v>46088</v>
      </c>
      <c r="C265" t="s">
        <v>28</v>
      </c>
      <c r="D265" t="s">
        <v>29</v>
      </c>
      <c r="E265" t="s">
        <v>63</v>
      </c>
      <c r="F265" t="s">
        <v>77</v>
      </c>
      <c r="G265" t="s">
        <v>24</v>
      </c>
      <c r="H265">
        <v>261</v>
      </c>
      <c r="I265">
        <v>271</v>
      </c>
      <c r="J265">
        <v>1</v>
      </c>
      <c r="K265">
        <v>4.7</v>
      </c>
      <c r="L265">
        <v>60303.93</v>
      </c>
      <c r="M265">
        <v>6.21</v>
      </c>
      <c r="N265">
        <v>136.62</v>
      </c>
      <c r="O265">
        <v>325</v>
      </c>
      <c r="P265" s="2">
        <v>46095</v>
      </c>
      <c r="Q265" s="2">
        <v>46094</v>
      </c>
      <c r="R265" t="s">
        <v>25</v>
      </c>
      <c r="S265" t="s">
        <v>26</v>
      </c>
    </row>
    <row r="266" spans="1:19" x14ac:dyDescent="0.25">
      <c r="A266" t="s">
        <v>355</v>
      </c>
      <c r="B266" s="2">
        <v>46087</v>
      </c>
      <c r="C266" t="s">
        <v>59</v>
      </c>
      <c r="D266" t="s">
        <v>49</v>
      </c>
      <c r="E266" t="s">
        <v>60</v>
      </c>
      <c r="F266" t="s">
        <v>137</v>
      </c>
      <c r="G266" t="s">
        <v>32</v>
      </c>
      <c r="H266">
        <v>188</v>
      </c>
      <c r="I266">
        <v>181</v>
      </c>
      <c r="J266">
        <v>10</v>
      </c>
      <c r="K266">
        <v>8.9</v>
      </c>
      <c r="L266">
        <v>28025.59</v>
      </c>
      <c r="M266">
        <v>5.66</v>
      </c>
      <c r="N266">
        <v>147.16</v>
      </c>
      <c r="O266">
        <v>271</v>
      </c>
      <c r="P266" s="2">
        <v>46091</v>
      </c>
      <c r="Q266" s="2">
        <v>46092</v>
      </c>
      <c r="R266" t="s">
        <v>39</v>
      </c>
      <c r="S266" t="s">
        <v>86</v>
      </c>
    </row>
    <row r="267" spans="1:19" x14ac:dyDescent="0.25">
      <c r="A267" t="s">
        <v>356</v>
      </c>
      <c r="B267" s="2">
        <v>46101</v>
      </c>
      <c r="C267" t="s">
        <v>48</v>
      </c>
      <c r="D267" t="s">
        <v>49</v>
      </c>
      <c r="E267" t="s">
        <v>60</v>
      </c>
      <c r="F267" t="s">
        <v>83</v>
      </c>
      <c r="G267" t="s">
        <v>24</v>
      </c>
      <c r="H267">
        <v>181</v>
      </c>
      <c r="I267">
        <v>187</v>
      </c>
      <c r="J267">
        <v>15</v>
      </c>
      <c r="K267">
        <v>5.9</v>
      </c>
      <c r="L267">
        <v>40159.160000000003</v>
      </c>
      <c r="M267">
        <v>6.5</v>
      </c>
      <c r="N267">
        <v>130</v>
      </c>
      <c r="O267">
        <v>166</v>
      </c>
      <c r="P267" s="2">
        <v>46106</v>
      </c>
      <c r="Q267" s="2">
        <v>46108</v>
      </c>
      <c r="R267" t="s">
        <v>25</v>
      </c>
      <c r="S267" t="s">
        <v>26</v>
      </c>
    </row>
    <row r="268" spans="1:19" x14ac:dyDescent="0.25">
      <c r="A268" t="s">
        <v>357</v>
      </c>
      <c r="B268" s="2">
        <v>46201</v>
      </c>
      <c r="C268" t="s">
        <v>80</v>
      </c>
      <c r="D268" t="s">
        <v>21</v>
      </c>
      <c r="E268" t="s">
        <v>22</v>
      </c>
      <c r="F268" t="s">
        <v>104</v>
      </c>
      <c r="G268" t="s">
        <v>57</v>
      </c>
      <c r="H268">
        <v>179</v>
      </c>
      <c r="I268">
        <v>203</v>
      </c>
      <c r="J268">
        <v>1</v>
      </c>
      <c r="K268">
        <v>0.8</v>
      </c>
      <c r="L268">
        <v>52611.8</v>
      </c>
      <c r="M268">
        <v>5.78</v>
      </c>
      <c r="N268">
        <v>104.04</v>
      </c>
      <c r="O268">
        <v>206</v>
      </c>
      <c r="P268" s="2">
        <v>46206</v>
      </c>
      <c r="Q268" s="2">
        <v>46207</v>
      </c>
      <c r="R268" t="s">
        <v>25</v>
      </c>
      <c r="S268" t="s">
        <v>72</v>
      </c>
    </row>
    <row r="269" spans="1:19" x14ac:dyDescent="0.25">
      <c r="A269" t="s">
        <v>358</v>
      </c>
      <c r="B269" s="2">
        <v>46125</v>
      </c>
      <c r="C269" t="s">
        <v>59</v>
      </c>
      <c r="D269" t="s">
        <v>49</v>
      </c>
      <c r="E269" t="s">
        <v>60</v>
      </c>
      <c r="F269" t="s">
        <v>85</v>
      </c>
      <c r="G269" t="s">
        <v>24</v>
      </c>
      <c r="H269">
        <v>232</v>
      </c>
      <c r="I269">
        <v>172</v>
      </c>
      <c r="J269">
        <v>12</v>
      </c>
      <c r="K269">
        <v>1.6</v>
      </c>
      <c r="L269">
        <v>26048.21</v>
      </c>
      <c r="M269">
        <v>6.61</v>
      </c>
      <c r="N269">
        <v>171.86</v>
      </c>
      <c r="O269">
        <v>265</v>
      </c>
      <c r="P269" s="2">
        <v>46130</v>
      </c>
      <c r="Q269" s="2">
        <v>46128</v>
      </c>
      <c r="R269" t="s">
        <v>39</v>
      </c>
      <c r="S269" t="s">
        <v>51</v>
      </c>
    </row>
    <row r="270" spans="1:19" x14ac:dyDescent="0.25">
      <c r="A270" t="s">
        <v>359</v>
      </c>
      <c r="B270" s="2">
        <v>46180</v>
      </c>
      <c r="C270" t="s">
        <v>43</v>
      </c>
      <c r="D270" t="s">
        <v>44</v>
      </c>
      <c r="E270" t="s">
        <v>45</v>
      </c>
      <c r="F270" t="s">
        <v>135</v>
      </c>
      <c r="G270" t="s">
        <v>24</v>
      </c>
      <c r="H270">
        <v>89</v>
      </c>
      <c r="I270">
        <v>77</v>
      </c>
      <c r="J270">
        <v>4</v>
      </c>
      <c r="K270">
        <v>8.8000000000000007</v>
      </c>
      <c r="L270">
        <v>7238.27</v>
      </c>
      <c r="M270">
        <v>2.12</v>
      </c>
      <c r="N270">
        <v>50.88</v>
      </c>
      <c r="O270">
        <v>153</v>
      </c>
      <c r="P270" s="2">
        <v>46191</v>
      </c>
      <c r="Q270" s="2">
        <v>46191</v>
      </c>
      <c r="R270" t="s">
        <v>39</v>
      </c>
      <c r="S270" t="s">
        <v>33</v>
      </c>
    </row>
    <row r="271" spans="1:19" x14ac:dyDescent="0.25">
      <c r="A271" t="s">
        <v>360</v>
      </c>
      <c r="B271" s="2">
        <v>46046</v>
      </c>
      <c r="C271" t="s">
        <v>59</v>
      </c>
      <c r="D271" t="s">
        <v>49</v>
      </c>
      <c r="E271" t="s">
        <v>60</v>
      </c>
      <c r="F271" t="s">
        <v>244</v>
      </c>
      <c r="G271" t="s">
        <v>32</v>
      </c>
      <c r="H271">
        <v>292</v>
      </c>
      <c r="I271">
        <v>280</v>
      </c>
      <c r="J271">
        <v>16</v>
      </c>
      <c r="K271">
        <v>3.1</v>
      </c>
      <c r="L271">
        <v>50459.01</v>
      </c>
      <c r="M271">
        <v>11.51</v>
      </c>
      <c r="N271">
        <v>276.24</v>
      </c>
      <c r="O271">
        <v>355</v>
      </c>
      <c r="P271" s="2">
        <v>46057</v>
      </c>
      <c r="Q271" s="2">
        <v>46055</v>
      </c>
      <c r="R271" t="s">
        <v>25</v>
      </c>
      <c r="S271" t="s">
        <v>26</v>
      </c>
    </row>
    <row r="272" spans="1:19" x14ac:dyDescent="0.25">
      <c r="A272" t="s">
        <v>361</v>
      </c>
      <c r="B272" s="2">
        <v>46050</v>
      </c>
      <c r="C272" t="s">
        <v>20</v>
      </c>
      <c r="D272" t="s">
        <v>21</v>
      </c>
      <c r="E272" t="s">
        <v>66</v>
      </c>
      <c r="F272" t="s">
        <v>197</v>
      </c>
      <c r="G272" t="s">
        <v>32</v>
      </c>
      <c r="H272">
        <v>155</v>
      </c>
      <c r="I272">
        <v>134</v>
      </c>
      <c r="J272">
        <v>2</v>
      </c>
      <c r="K272">
        <v>4.5999999999999996</v>
      </c>
      <c r="L272">
        <v>40012.400000000001</v>
      </c>
      <c r="M272">
        <v>4.96</v>
      </c>
      <c r="N272">
        <v>109.12</v>
      </c>
      <c r="O272">
        <v>228</v>
      </c>
      <c r="P272" s="2">
        <v>46058</v>
      </c>
      <c r="Q272" s="2">
        <v>46062</v>
      </c>
      <c r="R272" t="s">
        <v>25</v>
      </c>
      <c r="S272" t="s">
        <v>72</v>
      </c>
    </row>
    <row r="273" spans="1:19" x14ac:dyDescent="0.25">
      <c r="A273" t="s">
        <v>362</v>
      </c>
      <c r="B273" s="2">
        <v>46197</v>
      </c>
      <c r="C273" t="s">
        <v>53</v>
      </c>
      <c r="D273" t="s">
        <v>54</v>
      </c>
      <c r="E273" t="s">
        <v>55</v>
      </c>
      <c r="F273" t="s">
        <v>23</v>
      </c>
      <c r="G273" t="s">
        <v>32</v>
      </c>
      <c r="H273">
        <v>203</v>
      </c>
      <c r="I273">
        <v>156</v>
      </c>
      <c r="J273">
        <v>1</v>
      </c>
      <c r="K273">
        <v>5.7</v>
      </c>
      <c r="L273">
        <v>27497.33</v>
      </c>
      <c r="M273">
        <v>3.67</v>
      </c>
      <c r="N273">
        <v>80.739999999999995</v>
      </c>
      <c r="O273">
        <v>268</v>
      </c>
      <c r="P273" s="2">
        <v>46204</v>
      </c>
      <c r="Q273" s="2">
        <v>46202</v>
      </c>
      <c r="R273" t="s">
        <v>25</v>
      </c>
      <c r="S273" t="s">
        <v>33</v>
      </c>
    </row>
    <row r="274" spans="1:19" x14ac:dyDescent="0.25">
      <c r="A274" t="s">
        <v>363</v>
      </c>
      <c r="B274" s="2">
        <v>46125</v>
      </c>
      <c r="C274" t="s">
        <v>48</v>
      </c>
      <c r="D274" t="s">
        <v>49</v>
      </c>
      <c r="E274" t="s">
        <v>50</v>
      </c>
      <c r="F274" t="s">
        <v>56</v>
      </c>
      <c r="G274" t="s">
        <v>32</v>
      </c>
      <c r="H274">
        <v>221</v>
      </c>
      <c r="I274">
        <v>247</v>
      </c>
      <c r="J274">
        <v>11</v>
      </c>
      <c r="K274">
        <v>3.2</v>
      </c>
      <c r="L274">
        <v>52931.59</v>
      </c>
      <c r="M274">
        <v>10.06</v>
      </c>
      <c r="N274">
        <v>201.2</v>
      </c>
      <c r="O274">
        <v>308</v>
      </c>
      <c r="P274" s="2">
        <v>46130</v>
      </c>
      <c r="Q274" s="2">
        <v>46130</v>
      </c>
      <c r="R274" t="s">
        <v>25</v>
      </c>
      <c r="S274" t="s">
        <v>51</v>
      </c>
    </row>
    <row r="275" spans="1:19" x14ac:dyDescent="0.25">
      <c r="A275" t="s">
        <v>364</v>
      </c>
      <c r="B275" s="2">
        <v>46081</v>
      </c>
      <c r="C275" t="s">
        <v>28</v>
      </c>
      <c r="D275" t="s">
        <v>29</v>
      </c>
      <c r="E275" t="s">
        <v>63</v>
      </c>
      <c r="F275" t="s">
        <v>91</v>
      </c>
      <c r="G275" t="s">
        <v>24</v>
      </c>
      <c r="H275">
        <v>294</v>
      </c>
      <c r="I275">
        <v>289</v>
      </c>
      <c r="J275">
        <v>5</v>
      </c>
      <c r="K275">
        <v>1</v>
      </c>
      <c r="L275">
        <v>79638.89</v>
      </c>
      <c r="M275">
        <v>9.8000000000000007</v>
      </c>
      <c r="N275">
        <v>254.8</v>
      </c>
      <c r="O275">
        <v>255</v>
      </c>
      <c r="P275" s="2">
        <v>46091</v>
      </c>
      <c r="Q275" s="2">
        <v>46089</v>
      </c>
      <c r="R275" t="s">
        <v>100</v>
      </c>
      <c r="S275" t="s">
        <v>86</v>
      </c>
    </row>
    <row r="276" spans="1:19" x14ac:dyDescent="0.25">
      <c r="A276" t="s">
        <v>365</v>
      </c>
      <c r="B276" s="2">
        <v>46149</v>
      </c>
      <c r="C276" t="s">
        <v>59</v>
      </c>
      <c r="D276" t="s">
        <v>49</v>
      </c>
      <c r="E276" t="s">
        <v>76</v>
      </c>
      <c r="F276" t="s">
        <v>91</v>
      </c>
      <c r="G276" t="s">
        <v>32</v>
      </c>
      <c r="H276">
        <v>126</v>
      </c>
      <c r="I276">
        <v>144</v>
      </c>
      <c r="J276">
        <v>12</v>
      </c>
      <c r="K276">
        <v>2.5</v>
      </c>
      <c r="L276">
        <v>23094.7</v>
      </c>
      <c r="M276">
        <v>2.78</v>
      </c>
      <c r="N276">
        <v>66.72</v>
      </c>
      <c r="O276">
        <v>208</v>
      </c>
      <c r="P276" s="2">
        <v>46159</v>
      </c>
      <c r="Q276" s="2">
        <v>46157</v>
      </c>
      <c r="R276" t="s">
        <v>39</v>
      </c>
      <c r="S276" t="s">
        <v>51</v>
      </c>
    </row>
    <row r="277" spans="1:19" x14ac:dyDescent="0.25">
      <c r="A277" t="s">
        <v>366</v>
      </c>
      <c r="B277" s="2">
        <v>46140</v>
      </c>
      <c r="C277" t="s">
        <v>20</v>
      </c>
      <c r="D277" t="s">
        <v>21</v>
      </c>
      <c r="E277" t="s">
        <v>66</v>
      </c>
      <c r="F277" t="s">
        <v>122</v>
      </c>
      <c r="G277" t="s">
        <v>32</v>
      </c>
      <c r="H277">
        <v>212</v>
      </c>
      <c r="I277">
        <v>194</v>
      </c>
      <c r="J277">
        <v>13</v>
      </c>
      <c r="K277">
        <v>0.1</v>
      </c>
      <c r="L277">
        <v>57505.45</v>
      </c>
      <c r="M277">
        <v>5.01</v>
      </c>
      <c r="N277">
        <v>130.26</v>
      </c>
      <c r="O277">
        <v>238</v>
      </c>
      <c r="P277" s="2">
        <v>46144</v>
      </c>
      <c r="Q277" s="2">
        <v>46144</v>
      </c>
      <c r="R277" t="s">
        <v>25</v>
      </c>
      <c r="S277" t="s">
        <v>26</v>
      </c>
    </row>
    <row r="278" spans="1:19" x14ac:dyDescent="0.25">
      <c r="A278" t="s">
        <v>367</v>
      </c>
      <c r="B278" s="2">
        <v>46110</v>
      </c>
      <c r="C278" t="s">
        <v>48</v>
      </c>
      <c r="D278" t="s">
        <v>49</v>
      </c>
      <c r="E278" t="s">
        <v>50</v>
      </c>
      <c r="F278" t="s">
        <v>112</v>
      </c>
      <c r="G278" t="s">
        <v>32</v>
      </c>
      <c r="H278">
        <v>207</v>
      </c>
      <c r="I278">
        <v>186</v>
      </c>
      <c r="J278">
        <v>7</v>
      </c>
      <c r="K278">
        <v>6.8</v>
      </c>
      <c r="L278">
        <v>34455.51</v>
      </c>
      <c r="M278">
        <v>5.36</v>
      </c>
      <c r="N278">
        <v>139.36000000000001</v>
      </c>
      <c r="O278">
        <v>200</v>
      </c>
      <c r="P278" s="2">
        <v>46121</v>
      </c>
      <c r="Q278" s="2">
        <v>46121</v>
      </c>
      <c r="R278" t="s">
        <v>25</v>
      </c>
      <c r="S278" t="s">
        <v>51</v>
      </c>
    </row>
    <row r="279" spans="1:19" x14ac:dyDescent="0.25">
      <c r="A279" t="s">
        <v>368</v>
      </c>
      <c r="B279" s="2">
        <v>46165</v>
      </c>
      <c r="C279" t="s">
        <v>35</v>
      </c>
      <c r="D279" t="s">
        <v>36</v>
      </c>
      <c r="E279" t="s">
        <v>69</v>
      </c>
      <c r="F279" t="s">
        <v>122</v>
      </c>
      <c r="G279" t="s">
        <v>24</v>
      </c>
      <c r="H279">
        <v>130</v>
      </c>
      <c r="I279">
        <v>101</v>
      </c>
      <c r="J279">
        <v>9</v>
      </c>
      <c r="K279">
        <v>1.3</v>
      </c>
      <c r="L279">
        <v>9429.17</v>
      </c>
      <c r="M279">
        <v>3.03</v>
      </c>
      <c r="N279">
        <v>78.78</v>
      </c>
      <c r="O279">
        <v>226</v>
      </c>
      <c r="P279" s="2">
        <v>46172</v>
      </c>
      <c r="Q279" s="2">
        <v>46176</v>
      </c>
      <c r="R279" t="s">
        <v>25</v>
      </c>
      <c r="S279" t="s">
        <v>26</v>
      </c>
    </row>
    <row r="280" spans="1:19" x14ac:dyDescent="0.25">
      <c r="A280" t="s">
        <v>369</v>
      </c>
      <c r="B280" s="2">
        <v>46035</v>
      </c>
      <c r="C280" t="s">
        <v>35</v>
      </c>
      <c r="D280" t="s">
        <v>36</v>
      </c>
      <c r="E280" t="s">
        <v>37</v>
      </c>
      <c r="F280" t="s">
        <v>135</v>
      </c>
      <c r="G280" t="s">
        <v>32</v>
      </c>
      <c r="H280">
        <v>256</v>
      </c>
      <c r="I280">
        <v>202</v>
      </c>
      <c r="J280">
        <v>4</v>
      </c>
      <c r="K280">
        <v>2.2999999999999998</v>
      </c>
      <c r="L280">
        <v>18613.37</v>
      </c>
      <c r="M280">
        <v>7.25</v>
      </c>
      <c r="N280">
        <v>159.5</v>
      </c>
      <c r="O280">
        <v>308</v>
      </c>
      <c r="P280" s="2">
        <v>46042</v>
      </c>
      <c r="Q280" s="2">
        <v>46042</v>
      </c>
      <c r="R280" t="s">
        <v>25</v>
      </c>
      <c r="S280" t="s">
        <v>33</v>
      </c>
    </row>
    <row r="281" spans="1:19" x14ac:dyDescent="0.25">
      <c r="A281" t="s">
        <v>370</v>
      </c>
      <c r="B281" s="2">
        <v>46112</v>
      </c>
      <c r="C281" t="s">
        <v>28</v>
      </c>
      <c r="D281" t="s">
        <v>29</v>
      </c>
      <c r="E281" t="s">
        <v>30</v>
      </c>
      <c r="F281" t="s">
        <v>110</v>
      </c>
      <c r="G281" t="s">
        <v>57</v>
      </c>
      <c r="H281">
        <v>227</v>
      </c>
      <c r="I281">
        <v>226</v>
      </c>
      <c r="J281">
        <v>12</v>
      </c>
      <c r="K281">
        <v>8.8000000000000007</v>
      </c>
      <c r="L281">
        <v>45425.94</v>
      </c>
      <c r="M281">
        <v>6.84</v>
      </c>
      <c r="N281">
        <v>164.16</v>
      </c>
      <c r="O281">
        <v>207</v>
      </c>
      <c r="P281" s="2">
        <v>46120</v>
      </c>
      <c r="Q281" s="2">
        <v>46120</v>
      </c>
      <c r="R281" t="s">
        <v>100</v>
      </c>
      <c r="S281" t="s">
        <v>51</v>
      </c>
    </row>
    <row r="282" spans="1:19" x14ac:dyDescent="0.25">
      <c r="A282" t="s">
        <v>371</v>
      </c>
      <c r="B282" s="2">
        <v>46186</v>
      </c>
      <c r="C282" t="s">
        <v>48</v>
      </c>
      <c r="D282" t="s">
        <v>49</v>
      </c>
      <c r="E282" t="s">
        <v>76</v>
      </c>
      <c r="F282" t="s">
        <v>38</v>
      </c>
      <c r="G282" t="s">
        <v>32</v>
      </c>
      <c r="H282">
        <v>241</v>
      </c>
      <c r="I282">
        <v>236</v>
      </c>
      <c r="J282">
        <v>9</v>
      </c>
      <c r="K282">
        <v>8.1999999999999993</v>
      </c>
      <c r="L282">
        <v>38376.480000000003</v>
      </c>
      <c r="M282">
        <v>6.02</v>
      </c>
      <c r="N282">
        <v>132.44</v>
      </c>
      <c r="O282">
        <v>269</v>
      </c>
      <c r="P282" s="2">
        <v>46197</v>
      </c>
      <c r="Q282" s="2">
        <v>46199</v>
      </c>
      <c r="R282" t="s">
        <v>25</v>
      </c>
      <c r="S282" t="s">
        <v>86</v>
      </c>
    </row>
    <row r="283" spans="1:19" x14ac:dyDescent="0.25">
      <c r="A283" t="s">
        <v>372</v>
      </c>
      <c r="B283" s="2">
        <v>46173</v>
      </c>
      <c r="C283" t="s">
        <v>53</v>
      </c>
      <c r="D283" t="s">
        <v>54</v>
      </c>
      <c r="E283" t="s">
        <v>131</v>
      </c>
      <c r="F283" t="s">
        <v>71</v>
      </c>
      <c r="G283" t="s">
        <v>57</v>
      </c>
      <c r="H283">
        <v>122</v>
      </c>
      <c r="I283">
        <v>97</v>
      </c>
      <c r="J283">
        <v>0</v>
      </c>
      <c r="K283">
        <v>6.5</v>
      </c>
      <c r="L283">
        <v>16396.689999999999</v>
      </c>
      <c r="M283">
        <v>3.38</v>
      </c>
      <c r="N283">
        <v>60.84</v>
      </c>
      <c r="O283">
        <v>135</v>
      </c>
      <c r="P283" s="2">
        <v>46177</v>
      </c>
      <c r="Q283" s="2">
        <v>46179</v>
      </c>
      <c r="R283" t="s">
        <v>25</v>
      </c>
      <c r="S283" t="s">
        <v>72</v>
      </c>
    </row>
    <row r="284" spans="1:19" x14ac:dyDescent="0.25">
      <c r="A284" t="s">
        <v>373</v>
      </c>
      <c r="B284" s="2">
        <v>46163</v>
      </c>
      <c r="C284" t="s">
        <v>80</v>
      </c>
      <c r="D284" t="s">
        <v>21</v>
      </c>
      <c r="E284" t="s">
        <v>22</v>
      </c>
      <c r="F284" t="s">
        <v>74</v>
      </c>
      <c r="G284" t="s">
        <v>24</v>
      </c>
      <c r="H284">
        <v>277</v>
      </c>
      <c r="I284">
        <v>246</v>
      </c>
      <c r="J284">
        <v>18</v>
      </c>
      <c r="K284">
        <v>0.7</v>
      </c>
      <c r="L284">
        <v>54460.47</v>
      </c>
      <c r="M284">
        <v>8.2899999999999991</v>
      </c>
      <c r="N284">
        <v>198.96</v>
      </c>
      <c r="O284">
        <v>316</v>
      </c>
      <c r="P284" s="2">
        <v>46168</v>
      </c>
      <c r="Q284" s="2">
        <v>46168</v>
      </c>
      <c r="R284" t="s">
        <v>25</v>
      </c>
      <c r="S284" t="s">
        <v>51</v>
      </c>
    </row>
    <row r="285" spans="1:19" x14ac:dyDescent="0.25">
      <c r="A285" t="s">
        <v>374</v>
      </c>
      <c r="B285" s="2">
        <v>46056</v>
      </c>
      <c r="C285" t="s">
        <v>43</v>
      </c>
      <c r="D285" t="s">
        <v>44</v>
      </c>
      <c r="E285" t="s">
        <v>93</v>
      </c>
      <c r="F285" t="s">
        <v>104</v>
      </c>
      <c r="G285" t="s">
        <v>32</v>
      </c>
      <c r="H285">
        <v>88</v>
      </c>
      <c r="I285">
        <v>88</v>
      </c>
      <c r="J285">
        <v>7</v>
      </c>
      <c r="K285">
        <v>2.9</v>
      </c>
      <c r="L285">
        <v>11552.33</v>
      </c>
      <c r="M285">
        <v>2.73</v>
      </c>
      <c r="N285">
        <v>60.06</v>
      </c>
      <c r="O285">
        <v>163</v>
      </c>
      <c r="P285" s="2">
        <v>46060</v>
      </c>
      <c r="Q285" s="2">
        <v>46060</v>
      </c>
      <c r="R285" t="s">
        <v>39</v>
      </c>
      <c r="S285" t="s">
        <v>26</v>
      </c>
    </row>
    <row r="286" spans="1:19" x14ac:dyDescent="0.25">
      <c r="A286" t="s">
        <v>375</v>
      </c>
      <c r="B286" s="2">
        <v>46134</v>
      </c>
      <c r="C286" t="s">
        <v>59</v>
      </c>
      <c r="D286" t="s">
        <v>49</v>
      </c>
      <c r="E286" t="s">
        <v>76</v>
      </c>
      <c r="F286" t="s">
        <v>119</v>
      </c>
      <c r="G286" t="s">
        <v>24</v>
      </c>
      <c r="H286">
        <v>203</v>
      </c>
      <c r="I286">
        <v>193</v>
      </c>
      <c r="J286">
        <v>14</v>
      </c>
      <c r="K286">
        <v>4</v>
      </c>
      <c r="L286">
        <v>30011.7</v>
      </c>
      <c r="M286">
        <v>4.88</v>
      </c>
      <c r="N286">
        <v>87.84</v>
      </c>
      <c r="O286">
        <v>296</v>
      </c>
      <c r="P286" s="2">
        <v>46138</v>
      </c>
      <c r="Q286" s="2">
        <v>46139</v>
      </c>
      <c r="R286" t="s">
        <v>25</v>
      </c>
      <c r="S286" t="s">
        <v>33</v>
      </c>
    </row>
    <row r="287" spans="1:19" x14ac:dyDescent="0.25">
      <c r="A287" t="s">
        <v>376</v>
      </c>
      <c r="B287" s="2">
        <v>46199</v>
      </c>
      <c r="C287" t="s">
        <v>53</v>
      </c>
      <c r="D287" t="s">
        <v>54</v>
      </c>
      <c r="E287" t="s">
        <v>131</v>
      </c>
      <c r="F287" t="s">
        <v>106</v>
      </c>
      <c r="G287" t="s">
        <v>24</v>
      </c>
      <c r="H287">
        <v>156</v>
      </c>
      <c r="I287">
        <v>112</v>
      </c>
      <c r="J287">
        <v>4</v>
      </c>
      <c r="K287">
        <v>2.6</v>
      </c>
      <c r="L287">
        <v>12546.8</v>
      </c>
      <c r="M287">
        <v>3.02</v>
      </c>
      <c r="N287">
        <v>72.48</v>
      </c>
      <c r="O287">
        <v>227</v>
      </c>
      <c r="P287" s="2">
        <v>46207</v>
      </c>
      <c r="Q287" s="2">
        <v>46207</v>
      </c>
      <c r="R287" t="s">
        <v>25</v>
      </c>
      <c r="S287" t="s">
        <v>72</v>
      </c>
    </row>
    <row r="288" spans="1:19" x14ac:dyDescent="0.25">
      <c r="A288" t="s">
        <v>377</v>
      </c>
      <c r="B288" s="2">
        <v>46119</v>
      </c>
      <c r="C288" t="s">
        <v>28</v>
      </c>
      <c r="D288" t="s">
        <v>29</v>
      </c>
      <c r="E288" t="s">
        <v>95</v>
      </c>
      <c r="F288" t="s">
        <v>56</v>
      </c>
      <c r="G288" t="s">
        <v>57</v>
      </c>
      <c r="H288">
        <v>100</v>
      </c>
      <c r="I288">
        <v>90</v>
      </c>
      <c r="J288">
        <v>2</v>
      </c>
      <c r="K288">
        <v>6.9</v>
      </c>
      <c r="L288">
        <v>25554.53</v>
      </c>
      <c r="M288">
        <v>3.1</v>
      </c>
      <c r="N288">
        <v>68.2</v>
      </c>
      <c r="O288">
        <v>196</v>
      </c>
      <c r="P288" s="2">
        <v>46125</v>
      </c>
      <c r="Q288" s="2">
        <v>46127</v>
      </c>
      <c r="R288" t="s">
        <v>25</v>
      </c>
      <c r="S288" t="s">
        <v>51</v>
      </c>
    </row>
    <row r="289" spans="1:19" x14ac:dyDescent="0.25">
      <c r="A289" t="s">
        <v>378</v>
      </c>
      <c r="B289" s="2">
        <v>46057</v>
      </c>
      <c r="C289" t="s">
        <v>59</v>
      </c>
      <c r="D289" t="s">
        <v>49</v>
      </c>
      <c r="E289" t="s">
        <v>50</v>
      </c>
      <c r="F289" t="s">
        <v>122</v>
      </c>
      <c r="G289" t="s">
        <v>57</v>
      </c>
      <c r="H289">
        <v>243</v>
      </c>
      <c r="I289">
        <v>222</v>
      </c>
      <c r="J289">
        <v>10</v>
      </c>
      <c r="K289">
        <v>6.3</v>
      </c>
      <c r="L289">
        <v>36798.959999999999</v>
      </c>
      <c r="M289">
        <v>4.8099999999999996</v>
      </c>
      <c r="N289">
        <v>125.06</v>
      </c>
      <c r="O289">
        <v>208</v>
      </c>
      <c r="P289" s="2">
        <v>46061</v>
      </c>
      <c r="Q289" s="2">
        <v>46060</v>
      </c>
      <c r="R289" t="s">
        <v>25</v>
      </c>
      <c r="S289" t="s">
        <v>72</v>
      </c>
    </row>
    <row r="290" spans="1:19" x14ac:dyDescent="0.25">
      <c r="A290" t="s">
        <v>379</v>
      </c>
      <c r="B290" s="2">
        <v>46025</v>
      </c>
      <c r="C290" t="s">
        <v>28</v>
      </c>
      <c r="D290" t="s">
        <v>29</v>
      </c>
      <c r="E290" t="s">
        <v>63</v>
      </c>
      <c r="G290" t="s">
        <v>32</v>
      </c>
      <c r="H290">
        <v>118</v>
      </c>
      <c r="I290">
        <v>85</v>
      </c>
      <c r="J290">
        <v>2</v>
      </c>
      <c r="K290">
        <v>3.8</v>
      </c>
      <c r="L290">
        <v>21420.49</v>
      </c>
      <c r="M290">
        <v>2.29</v>
      </c>
      <c r="N290">
        <v>41.22</v>
      </c>
      <c r="O290">
        <v>162</v>
      </c>
      <c r="P290" s="2">
        <v>46028</v>
      </c>
      <c r="Q290" s="2">
        <v>46028</v>
      </c>
      <c r="R290" t="s">
        <v>25</v>
      </c>
      <c r="S290" t="s">
        <v>33</v>
      </c>
    </row>
    <row r="291" spans="1:19" x14ac:dyDescent="0.25">
      <c r="A291" t="s">
        <v>380</v>
      </c>
      <c r="B291" s="2">
        <v>46162</v>
      </c>
      <c r="C291" t="s">
        <v>53</v>
      </c>
      <c r="D291" t="s">
        <v>54</v>
      </c>
      <c r="E291" t="s">
        <v>55</v>
      </c>
      <c r="F291" t="s">
        <v>74</v>
      </c>
      <c r="G291" t="s">
        <v>24</v>
      </c>
      <c r="H291">
        <v>129</v>
      </c>
      <c r="I291">
        <v>142</v>
      </c>
      <c r="J291">
        <v>3</v>
      </c>
      <c r="K291">
        <v>3.4</v>
      </c>
      <c r="L291">
        <v>18853.990000000002</v>
      </c>
      <c r="M291">
        <v>4.99</v>
      </c>
      <c r="N291">
        <v>119.76</v>
      </c>
      <c r="O291">
        <v>202</v>
      </c>
      <c r="P291" s="2">
        <v>46167</v>
      </c>
      <c r="Q291" s="2">
        <v>46165</v>
      </c>
      <c r="R291" t="s">
        <v>25</v>
      </c>
      <c r="S291" t="s">
        <v>33</v>
      </c>
    </row>
    <row r="292" spans="1:19" x14ac:dyDescent="0.25">
      <c r="A292" t="s">
        <v>381</v>
      </c>
      <c r="B292" s="2">
        <v>46156</v>
      </c>
      <c r="C292" t="s">
        <v>28</v>
      </c>
      <c r="D292" t="s">
        <v>29</v>
      </c>
      <c r="E292" t="s">
        <v>95</v>
      </c>
      <c r="F292" t="s">
        <v>31</v>
      </c>
      <c r="G292" t="s">
        <v>32</v>
      </c>
      <c r="H292">
        <v>179</v>
      </c>
      <c r="I292">
        <v>181</v>
      </c>
      <c r="J292">
        <v>5</v>
      </c>
      <c r="K292">
        <v>2.9</v>
      </c>
      <c r="L292">
        <v>37993.47</v>
      </c>
      <c r="M292">
        <v>7.33</v>
      </c>
      <c r="N292">
        <v>190.58</v>
      </c>
      <c r="O292">
        <v>170</v>
      </c>
      <c r="P292" s="2">
        <v>46162</v>
      </c>
      <c r="Q292" s="2">
        <v>46166</v>
      </c>
      <c r="R292" t="s">
        <v>25</v>
      </c>
      <c r="S292" t="s">
        <v>33</v>
      </c>
    </row>
    <row r="293" spans="1:19" x14ac:dyDescent="0.25">
      <c r="A293" t="s">
        <v>382</v>
      </c>
      <c r="B293" s="2">
        <v>46193</v>
      </c>
      <c r="C293" t="s">
        <v>28</v>
      </c>
      <c r="D293" t="s">
        <v>29</v>
      </c>
      <c r="E293" t="s">
        <v>63</v>
      </c>
      <c r="F293" t="s">
        <v>170</v>
      </c>
      <c r="G293" t="s">
        <v>32</v>
      </c>
      <c r="H293">
        <v>140</v>
      </c>
      <c r="I293">
        <v>138</v>
      </c>
      <c r="J293">
        <v>4</v>
      </c>
      <c r="K293">
        <v>1.5</v>
      </c>
      <c r="L293">
        <v>26050.639999999999</v>
      </c>
      <c r="M293">
        <v>5.0999999999999996</v>
      </c>
      <c r="N293">
        <v>91.8</v>
      </c>
      <c r="O293">
        <v>110</v>
      </c>
      <c r="P293" s="2">
        <v>46204</v>
      </c>
      <c r="Q293" s="2">
        <v>46208</v>
      </c>
      <c r="R293" t="s">
        <v>39</v>
      </c>
      <c r="S293" t="s">
        <v>33</v>
      </c>
    </row>
    <row r="294" spans="1:19" x14ac:dyDescent="0.25">
      <c r="A294" t="s">
        <v>383</v>
      </c>
      <c r="B294" s="2">
        <v>46086</v>
      </c>
      <c r="C294" t="s">
        <v>43</v>
      </c>
      <c r="D294" t="s">
        <v>44</v>
      </c>
      <c r="E294" t="s">
        <v>161</v>
      </c>
      <c r="F294" t="s">
        <v>23</v>
      </c>
      <c r="G294" t="s">
        <v>32</v>
      </c>
      <c r="H294">
        <v>103</v>
      </c>
      <c r="I294">
        <v>104</v>
      </c>
      <c r="J294">
        <v>3</v>
      </c>
      <c r="K294">
        <v>8.6999999999999993</v>
      </c>
      <c r="L294">
        <v>11785.57</v>
      </c>
      <c r="M294">
        <v>2.76</v>
      </c>
      <c r="N294">
        <v>55.2</v>
      </c>
      <c r="O294">
        <v>200</v>
      </c>
      <c r="P294" s="2">
        <v>46089</v>
      </c>
      <c r="Q294" s="2">
        <v>46089</v>
      </c>
      <c r="R294" t="s">
        <v>100</v>
      </c>
      <c r="S294" t="s">
        <v>26</v>
      </c>
    </row>
    <row r="295" spans="1:19" x14ac:dyDescent="0.25">
      <c r="A295" t="s">
        <v>384</v>
      </c>
      <c r="B295" s="2">
        <v>46188</v>
      </c>
      <c r="C295" t="s">
        <v>48</v>
      </c>
      <c r="D295" t="s">
        <v>49</v>
      </c>
      <c r="E295" t="s">
        <v>76</v>
      </c>
      <c r="F295" t="s">
        <v>114</v>
      </c>
      <c r="G295" t="s">
        <v>57</v>
      </c>
      <c r="H295">
        <v>267</v>
      </c>
      <c r="I295">
        <v>214</v>
      </c>
      <c r="J295">
        <v>14</v>
      </c>
      <c r="K295">
        <v>3.2</v>
      </c>
      <c r="L295">
        <v>41144.410000000003</v>
      </c>
      <c r="M295">
        <v>6.34</v>
      </c>
      <c r="N295">
        <v>152.16</v>
      </c>
      <c r="O295">
        <v>302</v>
      </c>
      <c r="P295" s="2">
        <v>46198</v>
      </c>
      <c r="Q295" s="2">
        <v>46202</v>
      </c>
      <c r="R295" t="s">
        <v>25</v>
      </c>
      <c r="S295" t="s">
        <v>26</v>
      </c>
    </row>
    <row r="296" spans="1:19" x14ac:dyDescent="0.25">
      <c r="A296" t="s">
        <v>385</v>
      </c>
      <c r="B296" s="2">
        <v>46112</v>
      </c>
      <c r="C296" t="s">
        <v>48</v>
      </c>
      <c r="D296" t="s">
        <v>49</v>
      </c>
      <c r="E296" t="s">
        <v>60</v>
      </c>
      <c r="F296" t="s">
        <v>135</v>
      </c>
      <c r="G296" t="s">
        <v>24</v>
      </c>
      <c r="H296">
        <v>199</v>
      </c>
      <c r="I296">
        <v>166</v>
      </c>
      <c r="J296">
        <v>13</v>
      </c>
      <c r="K296">
        <v>8.1999999999999993</v>
      </c>
      <c r="L296">
        <v>29948.25</v>
      </c>
      <c r="M296">
        <v>3.61</v>
      </c>
      <c r="N296">
        <v>79.42</v>
      </c>
      <c r="O296">
        <v>226</v>
      </c>
      <c r="P296" s="2">
        <v>46122</v>
      </c>
      <c r="Q296" s="2">
        <v>46123</v>
      </c>
      <c r="R296" t="s">
        <v>100</v>
      </c>
      <c r="S296" t="s">
        <v>26</v>
      </c>
    </row>
    <row r="297" spans="1:19" x14ac:dyDescent="0.25">
      <c r="A297" t="s">
        <v>386</v>
      </c>
      <c r="B297" s="2">
        <v>46120</v>
      </c>
      <c r="C297" t="s">
        <v>43</v>
      </c>
      <c r="D297" t="s">
        <v>44</v>
      </c>
      <c r="E297" t="s">
        <v>93</v>
      </c>
      <c r="F297" t="s">
        <v>170</v>
      </c>
      <c r="G297" t="s">
        <v>24</v>
      </c>
      <c r="H297">
        <v>238</v>
      </c>
      <c r="I297">
        <v>259</v>
      </c>
      <c r="J297">
        <v>19</v>
      </c>
      <c r="K297">
        <v>2.1</v>
      </c>
      <c r="L297">
        <v>34238.699999999997</v>
      </c>
      <c r="M297">
        <v>8.01</v>
      </c>
      <c r="N297">
        <v>192.24</v>
      </c>
      <c r="O297">
        <v>246</v>
      </c>
      <c r="P297" s="2">
        <v>46130</v>
      </c>
      <c r="Q297" s="2">
        <v>46134</v>
      </c>
      <c r="R297" t="s">
        <v>39</v>
      </c>
      <c r="S297" t="s">
        <v>86</v>
      </c>
    </row>
    <row r="298" spans="1:19" x14ac:dyDescent="0.25">
      <c r="A298" t="s">
        <v>387</v>
      </c>
      <c r="B298" s="2">
        <v>46105</v>
      </c>
      <c r="C298" t="s">
        <v>35</v>
      </c>
      <c r="D298" t="s">
        <v>36</v>
      </c>
      <c r="E298" t="s">
        <v>69</v>
      </c>
      <c r="G298" t="s">
        <v>24</v>
      </c>
      <c r="H298">
        <v>108</v>
      </c>
      <c r="I298">
        <v>82</v>
      </c>
      <c r="J298">
        <v>5</v>
      </c>
      <c r="K298">
        <v>0.4</v>
      </c>
      <c r="L298">
        <v>7988.17</v>
      </c>
      <c r="M298">
        <v>1.54</v>
      </c>
      <c r="N298">
        <v>27.72</v>
      </c>
      <c r="O298">
        <v>192</v>
      </c>
      <c r="P298" s="2">
        <v>46110</v>
      </c>
      <c r="Q298" s="2">
        <v>46109</v>
      </c>
      <c r="R298" t="s">
        <v>25</v>
      </c>
      <c r="S298" t="s">
        <v>72</v>
      </c>
    </row>
    <row r="299" spans="1:19" x14ac:dyDescent="0.25">
      <c r="A299" t="s">
        <v>388</v>
      </c>
      <c r="B299" s="2">
        <v>46191</v>
      </c>
      <c r="C299" t="s">
        <v>53</v>
      </c>
      <c r="D299" t="s">
        <v>54</v>
      </c>
      <c r="E299" t="s">
        <v>131</v>
      </c>
      <c r="F299" t="s">
        <v>137</v>
      </c>
      <c r="G299" t="s">
        <v>24</v>
      </c>
      <c r="H299">
        <v>92</v>
      </c>
      <c r="I299">
        <v>80</v>
      </c>
      <c r="J299">
        <v>4</v>
      </c>
      <c r="K299">
        <v>0.6</v>
      </c>
      <c r="L299">
        <v>12170.94</v>
      </c>
      <c r="M299">
        <v>2.38</v>
      </c>
      <c r="N299">
        <v>42.84</v>
      </c>
      <c r="O299">
        <v>171</v>
      </c>
      <c r="P299" s="2">
        <v>46203</v>
      </c>
      <c r="Q299" s="2">
        <v>46201</v>
      </c>
      <c r="R299" t="s">
        <v>25</v>
      </c>
      <c r="S299" t="s">
        <v>72</v>
      </c>
    </row>
    <row r="300" spans="1:19" x14ac:dyDescent="0.25">
      <c r="A300" t="s">
        <v>389</v>
      </c>
      <c r="B300" s="2">
        <v>46117</v>
      </c>
      <c r="C300" t="s">
        <v>80</v>
      </c>
      <c r="D300" t="s">
        <v>21</v>
      </c>
      <c r="E300" t="s">
        <v>66</v>
      </c>
      <c r="F300" t="s">
        <v>31</v>
      </c>
      <c r="G300" t="s">
        <v>24</v>
      </c>
      <c r="H300">
        <v>148</v>
      </c>
      <c r="I300">
        <v>140</v>
      </c>
      <c r="J300">
        <v>9</v>
      </c>
      <c r="K300">
        <v>7.5</v>
      </c>
      <c r="L300">
        <v>29256.38</v>
      </c>
      <c r="M300">
        <v>4.2699999999999996</v>
      </c>
      <c r="N300">
        <v>76.86</v>
      </c>
      <c r="O300">
        <v>167</v>
      </c>
      <c r="P300" s="2">
        <v>46127</v>
      </c>
      <c r="Q300" s="2">
        <v>46129</v>
      </c>
      <c r="R300" t="s">
        <v>25</v>
      </c>
      <c r="S300" t="s">
        <v>51</v>
      </c>
    </row>
    <row r="301" spans="1:19" x14ac:dyDescent="0.25">
      <c r="A301" t="s">
        <v>390</v>
      </c>
      <c r="B301" s="2">
        <v>46168</v>
      </c>
      <c r="C301" t="s">
        <v>43</v>
      </c>
      <c r="D301" t="s">
        <v>44</v>
      </c>
      <c r="E301" t="s">
        <v>45</v>
      </c>
      <c r="F301" t="s">
        <v>46</v>
      </c>
      <c r="G301" t="s">
        <v>24</v>
      </c>
      <c r="H301">
        <v>271</v>
      </c>
      <c r="I301">
        <v>260</v>
      </c>
      <c r="J301">
        <v>18</v>
      </c>
      <c r="K301">
        <v>6.9</v>
      </c>
      <c r="L301">
        <v>32851.519999999997</v>
      </c>
      <c r="M301">
        <v>9.06</v>
      </c>
      <c r="N301">
        <v>217.44</v>
      </c>
      <c r="O301">
        <v>257</v>
      </c>
      <c r="P301" s="2">
        <v>46172</v>
      </c>
      <c r="Q301" s="2">
        <v>46172</v>
      </c>
      <c r="R301" t="s">
        <v>39</v>
      </c>
      <c r="S301" t="s">
        <v>86</v>
      </c>
    </row>
    <row r="302" spans="1:19" x14ac:dyDescent="0.25">
      <c r="A302" t="s">
        <v>391</v>
      </c>
      <c r="B302" s="2">
        <v>46191</v>
      </c>
      <c r="C302" t="s">
        <v>43</v>
      </c>
      <c r="D302" t="s">
        <v>44</v>
      </c>
      <c r="E302" t="s">
        <v>45</v>
      </c>
      <c r="F302" t="s">
        <v>137</v>
      </c>
      <c r="G302" t="s">
        <v>57</v>
      </c>
      <c r="H302">
        <v>233</v>
      </c>
      <c r="I302">
        <v>212</v>
      </c>
      <c r="J302">
        <v>7</v>
      </c>
      <c r="K302">
        <v>2.8</v>
      </c>
      <c r="L302">
        <v>27935.06</v>
      </c>
      <c r="M302">
        <v>5.71</v>
      </c>
      <c r="N302">
        <v>137.04</v>
      </c>
      <c r="O302">
        <v>275</v>
      </c>
      <c r="P302" s="2">
        <v>46202</v>
      </c>
      <c r="Q302" s="2">
        <v>46202</v>
      </c>
      <c r="R302" t="s">
        <v>39</v>
      </c>
      <c r="S302" t="s">
        <v>72</v>
      </c>
    </row>
    <row r="303" spans="1:19" x14ac:dyDescent="0.25">
      <c r="A303" t="s">
        <v>392</v>
      </c>
      <c r="B303" s="2">
        <v>46163</v>
      </c>
      <c r="C303" t="s">
        <v>59</v>
      </c>
      <c r="D303" t="s">
        <v>49</v>
      </c>
      <c r="E303" t="s">
        <v>76</v>
      </c>
      <c r="F303" t="s">
        <v>56</v>
      </c>
      <c r="G303" t="s">
        <v>32</v>
      </c>
      <c r="H303">
        <v>195</v>
      </c>
      <c r="I303">
        <v>177</v>
      </c>
      <c r="J303">
        <v>7</v>
      </c>
      <c r="K303">
        <v>6.5</v>
      </c>
      <c r="L303">
        <v>37212.720000000001</v>
      </c>
      <c r="M303">
        <v>5.38</v>
      </c>
      <c r="N303">
        <v>118.36</v>
      </c>
      <c r="O303">
        <v>156</v>
      </c>
      <c r="P303" s="2">
        <v>46169</v>
      </c>
      <c r="Q303" s="2">
        <v>46169</v>
      </c>
      <c r="R303" t="s">
        <v>25</v>
      </c>
      <c r="S303" t="s">
        <v>33</v>
      </c>
    </row>
    <row r="304" spans="1:19" x14ac:dyDescent="0.25">
      <c r="A304" t="s">
        <v>393</v>
      </c>
      <c r="B304" s="2">
        <v>46199</v>
      </c>
      <c r="C304" t="s">
        <v>59</v>
      </c>
      <c r="D304" t="s">
        <v>49</v>
      </c>
      <c r="E304" t="s">
        <v>60</v>
      </c>
      <c r="F304" t="s">
        <v>88</v>
      </c>
      <c r="G304" t="s">
        <v>24</v>
      </c>
      <c r="H304">
        <v>210</v>
      </c>
      <c r="I304">
        <v>201</v>
      </c>
      <c r="J304">
        <v>17</v>
      </c>
      <c r="K304">
        <v>1.4</v>
      </c>
      <c r="L304">
        <v>28127.88</v>
      </c>
      <c r="M304">
        <v>4.29</v>
      </c>
      <c r="N304">
        <v>94.38</v>
      </c>
      <c r="O304">
        <v>233</v>
      </c>
      <c r="P304" s="2">
        <v>46204</v>
      </c>
      <c r="Q304" s="2">
        <v>46204</v>
      </c>
      <c r="R304" t="s">
        <v>25</v>
      </c>
      <c r="S304" t="s">
        <v>72</v>
      </c>
    </row>
    <row r="305" spans="1:19" x14ac:dyDescent="0.25">
      <c r="A305" t="s">
        <v>394</v>
      </c>
      <c r="B305" s="2">
        <v>46168</v>
      </c>
      <c r="C305" t="s">
        <v>28</v>
      </c>
      <c r="D305" t="s">
        <v>29</v>
      </c>
      <c r="E305" t="s">
        <v>30</v>
      </c>
      <c r="F305" t="s">
        <v>197</v>
      </c>
      <c r="G305" t="s">
        <v>57</v>
      </c>
      <c r="H305">
        <v>99</v>
      </c>
      <c r="I305">
        <v>102</v>
      </c>
      <c r="J305">
        <v>7</v>
      </c>
      <c r="K305">
        <v>1.6</v>
      </c>
      <c r="L305">
        <v>27373.53</v>
      </c>
      <c r="M305">
        <v>3.25</v>
      </c>
      <c r="N305">
        <v>58.5</v>
      </c>
      <c r="O305">
        <v>135</v>
      </c>
      <c r="P305" s="2">
        <v>46170</v>
      </c>
      <c r="Q305" s="2">
        <v>46172</v>
      </c>
      <c r="R305" t="s">
        <v>25</v>
      </c>
      <c r="S305" t="s">
        <v>86</v>
      </c>
    </row>
    <row r="306" spans="1:19" x14ac:dyDescent="0.25">
      <c r="A306" t="s">
        <v>395</v>
      </c>
      <c r="B306" s="2">
        <v>46112</v>
      </c>
      <c r="C306" t="s">
        <v>35</v>
      </c>
      <c r="D306" t="s">
        <v>36</v>
      </c>
      <c r="E306" t="s">
        <v>69</v>
      </c>
      <c r="F306" t="s">
        <v>137</v>
      </c>
      <c r="G306" t="s">
        <v>24</v>
      </c>
      <c r="H306">
        <v>318</v>
      </c>
      <c r="I306">
        <v>347</v>
      </c>
      <c r="J306">
        <v>28</v>
      </c>
      <c r="K306">
        <v>2</v>
      </c>
      <c r="L306">
        <v>34630.46</v>
      </c>
      <c r="M306">
        <v>6.34</v>
      </c>
      <c r="N306">
        <v>152.16</v>
      </c>
      <c r="O306">
        <v>291</v>
      </c>
      <c r="P306" s="2">
        <v>46118</v>
      </c>
      <c r="Q306" s="2">
        <v>46116</v>
      </c>
      <c r="R306" t="s">
        <v>25</v>
      </c>
      <c r="S306" t="s">
        <v>51</v>
      </c>
    </row>
    <row r="307" spans="1:19" x14ac:dyDescent="0.25">
      <c r="A307" t="s">
        <v>396</v>
      </c>
      <c r="B307" s="2">
        <v>46106</v>
      </c>
      <c r="C307" t="s">
        <v>28</v>
      </c>
      <c r="D307" t="s">
        <v>29</v>
      </c>
      <c r="E307" t="s">
        <v>63</v>
      </c>
      <c r="F307" t="s">
        <v>96</v>
      </c>
      <c r="G307" t="s">
        <v>57</v>
      </c>
      <c r="H307">
        <v>92</v>
      </c>
      <c r="I307">
        <v>92</v>
      </c>
      <c r="J307">
        <v>8</v>
      </c>
      <c r="K307">
        <v>8.6999999999999993</v>
      </c>
      <c r="L307">
        <v>23407.79</v>
      </c>
      <c r="M307">
        <v>1.85</v>
      </c>
      <c r="N307">
        <v>44.4</v>
      </c>
      <c r="O307">
        <v>126</v>
      </c>
      <c r="P307" s="2">
        <v>46114</v>
      </c>
      <c r="Q307" s="2">
        <v>46114</v>
      </c>
      <c r="R307" t="s">
        <v>25</v>
      </c>
      <c r="S307" t="s">
        <v>72</v>
      </c>
    </row>
    <row r="308" spans="1:19" x14ac:dyDescent="0.25">
      <c r="A308" t="s">
        <v>397</v>
      </c>
      <c r="B308" s="2">
        <v>46169</v>
      </c>
      <c r="C308" t="s">
        <v>80</v>
      </c>
      <c r="D308" t="s">
        <v>21</v>
      </c>
      <c r="E308" t="s">
        <v>66</v>
      </c>
      <c r="F308" t="s">
        <v>104</v>
      </c>
      <c r="G308" t="s">
        <v>24</v>
      </c>
      <c r="H308">
        <v>182</v>
      </c>
      <c r="I308">
        <v>151</v>
      </c>
      <c r="J308">
        <v>6</v>
      </c>
      <c r="K308">
        <v>3.9</v>
      </c>
      <c r="L308">
        <v>46166.71</v>
      </c>
      <c r="M308">
        <v>4.46</v>
      </c>
      <c r="N308">
        <v>89.2</v>
      </c>
      <c r="O308">
        <v>266</v>
      </c>
      <c r="P308" s="2">
        <v>46177</v>
      </c>
      <c r="Q308" s="2">
        <v>46177</v>
      </c>
      <c r="R308" t="s">
        <v>39</v>
      </c>
      <c r="S308" t="s">
        <v>26</v>
      </c>
    </row>
    <row r="309" spans="1:19" x14ac:dyDescent="0.25">
      <c r="A309" t="s">
        <v>398</v>
      </c>
      <c r="B309" s="2">
        <v>46086</v>
      </c>
      <c r="C309" t="s">
        <v>28</v>
      </c>
      <c r="D309" t="s">
        <v>29</v>
      </c>
      <c r="E309" t="s">
        <v>63</v>
      </c>
      <c r="F309" t="s">
        <v>110</v>
      </c>
      <c r="G309" t="s">
        <v>57</v>
      </c>
      <c r="H309">
        <v>148</v>
      </c>
      <c r="I309">
        <v>155</v>
      </c>
      <c r="J309">
        <v>5</v>
      </c>
      <c r="K309">
        <v>8.3000000000000007</v>
      </c>
      <c r="L309">
        <v>31586.41</v>
      </c>
      <c r="M309">
        <v>4.37</v>
      </c>
      <c r="N309">
        <v>96.14</v>
      </c>
      <c r="O309">
        <v>156</v>
      </c>
      <c r="P309" s="2">
        <v>46093</v>
      </c>
      <c r="Q309" s="2">
        <v>46094</v>
      </c>
      <c r="R309" t="s">
        <v>39</v>
      </c>
      <c r="S309" t="s">
        <v>86</v>
      </c>
    </row>
    <row r="310" spans="1:19" x14ac:dyDescent="0.25">
      <c r="A310" t="s">
        <v>399</v>
      </c>
      <c r="B310" s="2">
        <v>46066</v>
      </c>
      <c r="C310" t="s">
        <v>48</v>
      </c>
      <c r="D310" t="s">
        <v>49</v>
      </c>
      <c r="E310" t="s">
        <v>60</v>
      </c>
      <c r="F310" t="s">
        <v>23</v>
      </c>
      <c r="G310" t="s">
        <v>24</v>
      </c>
      <c r="H310">
        <v>290</v>
      </c>
      <c r="I310">
        <v>332</v>
      </c>
      <c r="J310">
        <v>14</v>
      </c>
      <c r="K310">
        <v>1.3</v>
      </c>
      <c r="L310">
        <v>60257.54</v>
      </c>
      <c r="M310">
        <v>7.57</v>
      </c>
      <c r="N310">
        <v>166.54</v>
      </c>
      <c r="O310">
        <v>289</v>
      </c>
      <c r="P310" s="2">
        <v>46069</v>
      </c>
      <c r="Q310" s="2">
        <v>46068</v>
      </c>
      <c r="R310" t="s">
        <v>25</v>
      </c>
      <c r="S310" t="s">
        <v>51</v>
      </c>
    </row>
    <row r="311" spans="1:19" x14ac:dyDescent="0.25">
      <c r="A311" t="s">
        <v>400</v>
      </c>
      <c r="B311" s="2">
        <v>46096</v>
      </c>
      <c r="C311" t="s">
        <v>80</v>
      </c>
      <c r="D311" t="s">
        <v>21</v>
      </c>
      <c r="E311" t="s">
        <v>90</v>
      </c>
      <c r="F311" t="s">
        <v>112</v>
      </c>
      <c r="G311" t="s">
        <v>57</v>
      </c>
      <c r="H311">
        <v>257</v>
      </c>
      <c r="I311">
        <v>273</v>
      </c>
      <c r="J311">
        <v>8</v>
      </c>
      <c r="K311">
        <v>4.2</v>
      </c>
      <c r="L311">
        <v>72797.600000000006</v>
      </c>
      <c r="M311">
        <v>6.3</v>
      </c>
      <c r="N311">
        <v>163.80000000000001</v>
      </c>
      <c r="O311">
        <v>350</v>
      </c>
      <c r="P311" s="2">
        <v>46102</v>
      </c>
      <c r="Q311" s="2">
        <v>46106</v>
      </c>
      <c r="R311" t="s">
        <v>39</v>
      </c>
      <c r="S311" t="s">
        <v>33</v>
      </c>
    </row>
    <row r="312" spans="1:19" x14ac:dyDescent="0.25">
      <c r="A312" t="s">
        <v>401</v>
      </c>
      <c r="B312" s="2">
        <v>46119</v>
      </c>
      <c r="C312" t="s">
        <v>80</v>
      </c>
      <c r="D312" t="s">
        <v>21</v>
      </c>
      <c r="E312" t="s">
        <v>90</v>
      </c>
      <c r="F312" t="s">
        <v>56</v>
      </c>
      <c r="G312" t="s">
        <v>57</v>
      </c>
      <c r="H312">
        <v>123</v>
      </c>
      <c r="I312">
        <v>91</v>
      </c>
      <c r="J312">
        <v>2</v>
      </c>
      <c r="K312">
        <v>6.3</v>
      </c>
      <c r="L312">
        <v>22062.45</v>
      </c>
      <c r="M312">
        <v>3.7</v>
      </c>
      <c r="N312">
        <v>66.599999999999994</v>
      </c>
      <c r="O312">
        <v>182</v>
      </c>
      <c r="P312" s="2">
        <v>46131</v>
      </c>
      <c r="Q312" s="2">
        <v>46131</v>
      </c>
      <c r="R312" t="s">
        <v>25</v>
      </c>
      <c r="S312" t="s">
        <v>33</v>
      </c>
    </row>
    <row r="313" spans="1:19" x14ac:dyDescent="0.25">
      <c r="A313" t="s">
        <v>402</v>
      </c>
      <c r="B313" s="2">
        <v>46097</v>
      </c>
      <c r="C313" t="s">
        <v>35</v>
      </c>
      <c r="D313" t="s">
        <v>36</v>
      </c>
      <c r="E313" t="s">
        <v>37</v>
      </c>
      <c r="F313" t="s">
        <v>23</v>
      </c>
      <c r="G313" t="s">
        <v>24</v>
      </c>
      <c r="H313">
        <v>177</v>
      </c>
      <c r="I313">
        <v>166</v>
      </c>
      <c r="J313">
        <v>11</v>
      </c>
      <c r="K313">
        <v>8.1</v>
      </c>
      <c r="L313">
        <v>15595.21</v>
      </c>
      <c r="M313">
        <v>3.34</v>
      </c>
      <c r="N313">
        <v>66.8</v>
      </c>
      <c r="O313">
        <v>265</v>
      </c>
      <c r="P313" s="2">
        <v>46106</v>
      </c>
      <c r="Q313" s="2">
        <v>46104</v>
      </c>
      <c r="R313" t="s">
        <v>25</v>
      </c>
      <c r="S313" t="s">
        <v>86</v>
      </c>
    </row>
    <row r="314" spans="1:19" x14ac:dyDescent="0.25">
      <c r="A314" t="s">
        <v>403</v>
      </c>
      <c r="B314" s="2">
        <v>46108</v>
      </c>
      <c r="C314" t="s">
        <v>53</v>
      </c>
      <c r="D314" t="s">
        <v>54</v>
      </c>
      <c r="E314" t="s">
        <v>131</v>
      </c>
      <c r="F314" t="s">
        <v>38</v>
      </c>
      <c r="G314" t="s">
        <v>57</v>
      </c>
      <c r="H314">
        <v>270</v>
      </c>
      <c r="I314">
        <v>212</v>
      </c>
      <c r="J314">
        <v>7</v>
      </c>
      <c r="K314">
        <v>3.2</v>
      </c>
      <c r="L314">
        <v>29419.49</v>
      </c>
      <c r="M314">
        <v>8.7899999999999991</v>
      </c>
      <c r="N314">
        <v>228.54</v>
      </c>
      <c r="O314">
        <v>300</v>
      </c>
      <c r="P314" s="2">
        <v>46110</v>
      </c>
      <c r="Q314" s="2">
        <v>46110</v>
      </c>
      <c r="R314" t="s">
        <v>100</v>
      </c>
      <c r="S314" t="s">
        <v>26</v>
      </c>
    </row>
    <row r="315" spans="1:19" x14ac:dyDescent="0.25">
      <c r="A315" t="s">
        <v>404</v>
      </c>
      <c r="B315" s="2">
        <v>46094</v>
      </c>
      <c r="C315" t="s">
        <v>28</v>
      </c>
      <c r="D315" t="s">
        <v>29</v>
      </c>
      <c r="E315" t="s">
        <v>63</v>
      </c>
      <c r="F315" t="s">
        <v>125</v>
      </c>
      <c r="G315" t="s">
        <v>24</v>
      </c>
      <c r="H315">
        <v>167</v>
      </c>
      <c r="I315">
        <v>184</v>
      </c>
      <c r="J315">
        <v>11</v>
      </c>
      <c r="K315">
        <v>0.8</v>
      </c>
      <c r="L315">
        <v>45245.57</v>
      </c>
      <c r="M315">
        <v>6.02</v>
      </c>
      <c r="N315">
        <v>120.4</v>
      </c>
      <c r="O315">
        <v>233</v>
      </c>
      <c r="P315" s="2">
        <v>46099</v>
      </c>
      <c r="Q315" s="2">
        <v>46099</v>
      </c>
      <c r="R315" t="s">
        <v>100</v>
      </c>
      <c r="S315" t="s">
        <v>86</v>
      </c>
    </row>
    <row r="316" spans="1:19" x14ac:dyDescent="0.25">
      <c r="A316" t="s">
        <v>405</v>
      </c>
      <c r="B316" s="2">
        <v>46137</v>
      </c>
      <c r="C316" t="s">
        <v>43</v>
      </c>
      <c r="D316" t="s">
        <v>44</v>
      </c>
      <c r="E316" t="s">
        <v>93</v>
      </c>
      <c r="F316" t="s">
        <v>67</v>
      </c>
      <c r="G316" t="s">
        <v>406</v>
      </c>
      <c r="H316">
        <v>247</v>
      </c>
      <c r="I316">
        <v>192</v>
      </c>
      <c r="J316">
        <v>10</v>
      </c>
      <c r="K316">
        <v>7.2</v>
      </c>
      <c r="L316">
        <v>24195.47</v>
      </c>
      <c r="M316">
        <v>6.71</v>
      </c>
      <c r="N316">
        <v>174.46</v>
      </c>
      <c r="O316">
        <v>241</v>
      </c>
      <c r="P316" s="2">
        <v>46145</v>
      </c>
      <c r="Q316" s="2">
        <v>46145</v>
      </c>
      <c r="R316" t="s">
        <v>39</v>
      </c>
      <c r="S316" t="s">
        <v>86</v>
      </c>
    </row>
    <row r="317" spans="1:19" x14ac:dyDescent="0.25">
      <c r="A317" t="s">
        <v>407</v>
      </c>
      <c r="B317" s="2">
        <v>46040</v>
      </c>
      <c r="C317" t="s">
        <v>20</v>
      </c>
      <c r="D317" t="s">
        <v>21</v>
      </c>
      <c r="E317" t="s">
        <v>22</v>
      </c>
      <c r="F317" t="s">
        <v>197</v>
      </c>
      <c r="G317" t="s">
        <v>57</v>
      </c>
      <c r="H317">
        <v>161</v>
      </c>
      <c r="I317">
        <v>174</v>
      </c>
      <c r="J317">
        <v>3</v>
      </c>
      <c r="K317">
        <v>0.3</v>
      </c>
      <c r="L317">
        <v>59340.160000000003</v>
      </c>
      <c r="M317">
        <v>7.15</v>
      </c>
      <c r="N317">
        <v>157.30000000000001</v>
      </c>
      <c r="O317">
        <v>234</v>
      </c>
      <c r="P317" s="2">
        <v>46052</v>
      </c>
      <c r="Q317" s="2">
        <v>46052</v>
      </c>
      <c r="R317" t="s">
        <v>25</v>
      </c>
      <c r="S317" t="s">
        <v>33</v>
      </c>
    </row>
    <row r="318" spans="1:19" x14ac:dyDescent="0.25">
      <c r="A318" t="s">
        <v>408</v>
      </c>
      <c r="B318" s="2">
        <v>46056</v>
      </c>
      <c r="C318" t="s">
        <v>43</v>
      </c>
      <c r="D318" t="s">
        <v>44</v>
      </c>
      <c r="E318" t="s">
        <v>93</v>
      </c>
      <c r="F318" t="s">
        <v>85</v>
      </c>
      <c r="G318" t="s">
        <v>24</v>
      </c>
      <c r="H318">
        <v>275</v>
      </c>
      <c r="I318">
        <v>314</v>
      </c>
      <c r="J318">
        <v>19</v>
      </c>
      <c r="K318">
        <v>5.5</v>
      </c>
      <c r="L318">
        <v>39369.33</v>
      </c>
      <c r="M318">
        <v>7.39</v>
      </c>
      <c r="N318">
        <v>133.02000000000001</v>
      </c>
      <c r="O318">
        <v>326</v>
      </c>
      <c r="P318" s="2">
        <v>46059</v>
      </c>
      <c r="Q318" s="2">
        <v>46063</v>
      </c>
      <c r="R318" t="s">
        <v>25</v>
      </c>
      <c r="S318" t="s">
        <v>72</v>
      </c>
    </row>
    <row r="319" spans="1:19" x14ac:dyDescent="0.25">
      <c r="A319" t="s">
        <v>409</v>
      </c>
      <c r="B319" s="2">
        <v>46189</v>
      </c>
      <c r="C319" t="s">
        <v>48</v>
      </c>
      <c r="D319" t="s">
        <v>49</v>
      </c>
      <c r="E319" t="s">
        <v>50</v>
      </c>
      <c r="F319" t="s">
        <v>88</v>
      </c>
      <c r="G319" t="s">
        <v>57</v>
      </c>
      <c r="H319">
        <v>298</v>
      </c>
      <c r="I319">
        <v>264</v>
      </c>
      <c r="J319">
        <v>12</v>
      </c>
      <c r="K319">
        <v>1.5</v>
      </c>
      <c r="L319">
        <v>46438</v>
      </c>
      <c r="M319">
        <v>10.89</v>
      </c>
      <c r="N319">
        <v>239.58</v>
      </c>
      <c r="O319">
        <v>363</v>
      </c>
      <c r="P319" s="2">
        <v>46194</v>
      </c>
      <c r="Q319" s="2">
        <v>46194</v>
      </c>
      <c r="R319" t="s">
        <v>25</v>
      </c>
      <c r="S319" t="s">
        <v>72</v>
      </c>
    </row>
    <row r="320" spans="1:19" x14ac:dyDescent="0.25">
      <c r="A320" t="s">
        <v>410</v>
      </c>
      <c r="B320" s="2">
        <v>46180</v>
      </c>
      <c r="C320" t="s">
        <v>53</v>
      </c>
      <c r="D320" t="s">
        <v>54</v>
      </c>
      <c r="E320" t="s">
        <v>131</v>
      </c>
      <c r="F320" t="s">
        <v>71</v>
      </c>
      <c r="G320" t="s">
        <v>32</v>
      </c>
      <c r="H320">
        <v>301</v>
      </c>
      <c r="I320">
        <v>275</v>
      </c>
      <c r="J320">
        <v>7</v>
      </c>
      <c r="K320">
        <v>3.6</v>
      </c>
      <c r="L320">
        <v>34877.03</v>
      </c>
      <c r="M320">
        <v>7.46</v>
      </c>
      <c r="N320">
        <v>164.12</v>
      </c>
      <c r="O320">
        <v>361</v>
      </c>
      <c r="P320" s="2">
        <v>46191</v>
      </c>
      <c r="Q320" s="2">
        <v>46189</v>
      </c>
      <c r="R320" t="s">
        <v>39</v>
      </c>
      <c r="S320" t="s">
        <v>72</v>
      </c>
    </row>
    <row r="321" spans="1:19" x14ac:dyDescent="0.25">
      <c r="A321" t="s">
        <v>411</v>
      </c>
      <c r="B321" s="2">
        <v>46033</v>
      </c>
      <c r="C321" t="s">
        <v>28</v>
      </c>
      <c r="D321" t="s">
        <v>29</v>
      </c>
      <c r="E321" t="s">
        <v>30</v>
      </c>
      <c r="F321" t="s">
        <v>74</v>
      </c>
      <c r="G321" t="s">
        <v>57</v>
      </c>
      <c r="H321">
        <v>217</v>
      </c>
      <c r="I321">
        <v>193</v>
      </c>
      <c r="J321">
        <v>13</v>
      </c>
      <c r="K321">
        <v>5</v>
      </c>
      <c r="L321">
        <v>45928.07</v>
      </c>
      <c r="M321">
        <v>3.7</v>
      </c>
      <c r="N321">
        <v>81.400000000000006</v>
      </c>
      <c r="O321">
        <v>289</v>
      </c>
      <c r="P321" s="2">
        <v>46041</v>
      </c>
      <c r="Q321" s="2">
        <v>46041</v>
      </c>
      <c r="R321" t="s">
        <v>25</v>
      </c>
      <c r="S321" t="s">
        <v>72</v>
      </c>
    </row>
    <row r="322" spans="1:19" x14ac:dyDescent="0.25">
      <c r="A322" t="s">
        <v>412</v>
      </c>
      <c r="B322" s="2">
        <v>46098</v>
      </c>
      <c r="C322" t="s">
        <v>80</v>
      </c>
      <c r="D322" t="s">
        <v>21</v>
      </c>
      <c r="E322" t="s">
        <v>66</v>
      </c>
      <c r="F322" t="s">
        <v>96</v>
      </c>
      <c r="G322" t="s">
        <v>32</v>
      </c>
      <c r="H322">
        <v>212</v>
      </c>
      <c r="I322">
        <v>235</v>
      </c>
      <c r="J322">
        <v>10</v>
      </c>
      <c r="K322">
        <v>5.8</v>
      </c>
      <c r="L322">
        <v>53443.1</v>
      </c>
      <c r="M322">
        <v>5.24</v>
      </c>
      <c r="N322">
        <v>136.24</v>
      </c>
      <c r="O322">
        <v>311</v>
      </c>
      <c r="P322" s="2">
        <v>46102</v>
      </c>
      <c r="Q322" s="2">
        <v>46104</v>
      </c>
      <c r="R322" t="s">
        <v>100</v>
      </c>
      <c r="S322" t="s">
        <v>33</v>
      </c>
    </row>
    <row r="323" spans="1:19" x14ac:dyDescent="0.25">
      <c r="A323" t="s">
        <v>413</v>
      </c>
      <c r="B323" s="2">
        <v>46068</v>
      </c>
      <c r="C323" t="s">
        <v>53</v>
      </c>
      <c r="D323" t="s">
        <v>54</v>
      </c>
      <c r="E323" t="s">
        <v>55</v>
      </c>
      <c r="F323" t="s">
        <v>88</v>
      </c>
      <c r="G323" t="s">
        <v>24</v>
      </c>
      <c r="H323">
        <v>305</v>
      </c>
      <c r="I323">
        <v>279</v>
      </c>
      <c r="J323">
        <v>7</v>
      </c>
      <c r="K323">
        <v>6.2</v>
      </c>
      <c r="L323">
        <v>49332.86</v>
      </c>
      <c r="M323">
        <v>9.83</v>
      </c>
      <c r="N323">
        <v>176.94</v>
      </c>
      <c r="O323">
        <v>288</v>
      </c>
      <c r="P323" s="2">
        <v>46071</v>
      </c>
      <c r="Q323" s="2">
        <v>46075</v>
      </c>
      <c r="R323" t="s">
        <v>25</v>
      </c>
      <c r="S323" t="s">
        <v>72</v>
      </c>
    </row>
    <row r="324" spans="1:19" x14ac:dyDescent="0.25">
      <c r="A324" t="s">
        <v>414</v>
      </c>
      <c r="B324" s="2">
        <v>46153</v>
      </c>
      <c r="C324" t="s">
        <v>43</v>
      </c>
      <c r="D324" t="s">
        <v>44</v>
      </c>
      <c r="E324" t="s">
        <v>161</v>
      </c>
      <c r="F324" t="s">
        <v>125</v>
      </c>
      <c r="G324" t="s">
        <v>24</v>
      </c>
      <c r="H324">
        <v>220</v>
      </c>
      <c r="I324">
        <v>194</v>
      </c>
      <c r="J324">
        <v>14</v>
      </c>
      <c r="K324">
        <v>8.1999999999999993</v>
      </c>
      <c r="L324">
        <v>24323.759999999998</v>
      </c>
      <c r="M324">
        <v>4.1900000000000004</v>
      </c>
      <c r="N324">
        <v>83.8</v>
      </c>
      <c r="O324">
        <v>225</v>
      </c>
      <c r="P324" s="2">
        <v>46155</v>
      </c>
      <c r="Q324" s="2">
        <v>46157</v>
      </c>
      <c r="R324" t="s">
        <v>25</v>
      </c>
      <c r="S324" t="s">
        <v>72</v>
      </c>
    </row>
    <row r="325" spans="1:19" x14ac:dyDescent="0.25">
      <c r="A325" t="s">
        <v>415</v>
      </c>
      <c r="B325" s="2">
        <v>46096</v>
      </c>
      <c r="C325" t="s">
        <v>43</v>
      </c>
      <c r="D325" t="s">
        <v>44</v>
      </c>
      <c r="E325" t="s">
        <v>93</v>
      </c>
      <c r="F325" t="s">
        <v>31</v>
      </c>
      <c r="G325" t="s">
        <v>24</v>
      </c>
      <c r="H325">
        <v>310</v>
      </c>
      <c r="I325">
        <v>240</v>
      </c>
      <c r="J325">
        <v>5</v>
      </c>
      <c r="K325">
        <v>5.6</v>
      </c>
      <c r="L325">
        <v>25403.7</v>
      </c>
      <c r="M325">
        <v>9.25</v>
      </c>
      <c r="N325">
        <v>240.5</v>
      </c>
      <c r="O325">
        <v>271</v>
      </c>
      <c r="P325" s="2">
        <v>46107</v>
      </c>
      <c r="Q325" s="2">
        <v>46111</v>
      </c>
      <c r="R325" t="s">
        <v>25</v>
      </c>
      <c r="S325" t="s">
        <v>72</v>
      </c>
    </row>
    <row r="326" spans="1:19" x14ac:dyDescent="0.25">
      <c r="A326" t="s">
        <v>416</v>
      </c>
      <c r="B326" s="2">
        <v>46139</v>
      </c>
      <c r="C326" t="s">
        <v>35</v>
      </c>
      <c r="D326" t="s">
        <v>36</v>
      </c>
      <c r="E326" t="s">
        <v>69</v>
      </c>
      <c r="F326" t="s">
        <v>110</v>
      </c>
      <c r="G326" t="s">
        <v>32</v>
      </c>
      <c r="H326">
        <v>100</v>
      </c>
      <c r="I326">
        <v>97</v>
      </c>
      <c r="J326">
        <v>0</v>
      </c>
      <c r="K326">
        <v>7.9</v>
      </c>
      <c r="L326">
        <v>8500.86</v>
      </c>
      <c r="M326">
        <v>3.66</v>
      </c>
      <c r="N326">
        <v>73.2</v>
      </c>
      <c r="O326">
        <v>72</v>
      </c>
      <c r="P326" s="2">
        <v>46143</v>
      </c>
      <c r="Q326" s="2">
        <v>46143</v>
      </c>
      <c r="R326" t="s">
        <v>25</v>
      </c>
      <c r="S326" t="s">
        <v>33</v>
      </c>
    </row>
    <row r="327" spans="1:19" x14ac:dyDescent="0.25">
      <c r="A327" t="s">
        <v>417</v>
      </c>
      <c r="B327" s="2">
        <v>46060</v>
      </c>
      <c r="C327" t="s">
        <v>80</v>
      </c>
      <c r="D327" t="s">
        <v>21</v>
      </c>
      <c r="E327" t="s">
        <v>66</v>
      </c>
      <c r="F327" t="s">
        <v>88</v>
      </c>
      <c r="G327" t="s">
        <v>32</v>
      </c>
      <c r="H327">
        <v>227</v>
      </c>
      <c r="I327">
        <v>245</v>
      </c>
      <c r="J327">
        <v>7</v>
      </c>
      <c r="K327">
        <v>8.3000000000000007</v>
      </c>
      <c r="L327">
        <v>53516.56</v>
      </c>
      <c r="M327">
        <v>5.46</v>
      </c>
      <c r="N327">
        <v>120.12</v>
      </c>
      <c r="O327">
        <v>232</v>
      </c>
      <c r="P327" s="2">
        <v>46069</v>
      </c>
      <c r="Q327" s="2">
        <v>46070</v>
      </c>
      <c r="R327" t="s">
        <v>25</v>
      </c>
      <c r="S327" t="s">
        <v>86</v>
      </c>
    </row>
    <row r="328" spans="1:19" x14ac:dyDescent="0.25">
      <c r="A328" t="s">
        <v>418</v>
      </c>
      <c r="B328" s="2">
        <v>46117</v>
      </c>
      <c r="C328" t="s">
        <v>35</v>
      </c>
      <c r="D328" t="s">
        <v>36</v>
      </c>
      <c r="E328" t="s">
        <v>37</v>
      </c>
      <c r="F328" t="s">
        <v>104</v>
      </c>
      <c r="G328" t="s">
        <v>57</v>
      </c>
      <c r="H328">
        <v>274</v>
      </c>
      <c r="I328">
        <v>247</v>
      </c>
      <c r="J328">
        <v>13</v>
      </c>
      <c r="K328">
        <v>2.6</v>
      </c>
      <c r="L328">
        <v>20779.490000000002</v>
      </c>
      <c r="M328">
        <v>6.07</v>
      </c>
      <c r="N328">
        <v>157.82</v>
      </c>
      <c r="O328">
        <v>339</v>
      </c>
      <c r="P328" s="2">
        <v>46127</v>
      </c>
      <c r="Q328" s="2">
        <v>46127</v>
      </c>
      <c r="R328" t="s">
        <v>25</v>
      </c>
      <c r="S328" t="s">
        <v>33</v>
      </c>
    </row>
    <row r="329" spans="1:19" x14ac:dyDescent="0.25">
      <c r="A329" t="s">
        <v>419</v>
      </c>
      <c r="B329" s="2">
        <v>46169</v>
      </c>
      <c r="C329" t="s">
        <v>20</v>
      </c>
      <c r="D329" t="s">
        <v>21</v>
      </c>
      <c r="E329" t="s">
        <v>90</v>
      </c>
      <c r="F329" t="s">
        <v>112</v>
      </c>
      <c r="G329" t="s">
        <v>24</v>
      </c>
      <c r="H329">
        <v>265</v>
      </c>
      <c r="I329">
        <v>269</v>
      </c>
      <c r="J329">
        <v>23</v>
      </c>
      <c r="K329">
        <v>8.9</v>
      </c>
      <c r="L329">
        <v>82785.52</v>
      </c>
      <c r="M329">
        <v>6.89</v>
      </c>
      <c r="N329">
        <v>179.14</v>
      </c>
      <c r="O329">
        <v>315</v>
      </c>
      <c r="P329" s="2">
        <v>46173</v>
      </c>
      <c r="Q329" s="2">
        <v>46177</v>
      </c>
      <c r="R329" t="s">
        <v>39</v>
      </c>
      <c r="S329" t="s">
        <v>72</v>
      </c>
    </row>
    <row r="330" spans="1:19" x14ac:dyDescent="0.25">
      <c r="A330" t="s">
        <v>420</v>
      </c>
      <c r="B330" s="2">
        <v>46149</v>
      </c>
      <c r="C330" t="s">
        <v>43</v>
      </c>
      <c r="D330" t="s">
        <v>44</v>
      </c>
      <c r="E330" t="s">
        <v>45</v>
      </c>
      <c r="F330" t="s">
        <v>91</v>
      </c>
      <c r="G330" t="s">
        <v>24</v>
      </c>
      <c r="H330">
        <v>139</v>
      </c>
      <c r="I330">
        <v>142</v>
      </c>
      <c r="J330">
        <v>13</v>
      </c>
      <c r="K330">
        <v>0</v>
      </c>
      <c r="L330">
        <v>14287.12</v>
      </c>
      <c r="M330">
        <v>2.96</v>
      </c>
      <c r="N330">
        <v>59.2</v>
      </c>
      <c r="O330">
        <v>205</v>
      </c>
      <c r="P330" s="2">
        <v>46157</v>
      </c>
      <c r="Q330" s="2">
        <v>46155</v>
      </c>
      <c r="R330" t="s">
        <v>25</v>
      </c>
      <c r="S330" t="s">
        <v>51</v>
      </c>
    </row>
    <row r="331" spans="1:19" x14ac:dyDescent="0.25">
      <c r="A331" t="s">
        <v>421</v>
      </c>
      <c r="B331" s="2">
        <v>46025</v>
      </c>
      <c r="C331" t="s">
        <v>28</v>
      </c>
      <c r="D331" t="s">
        <v>29</v>
      </c>
      <c r="E331" t="s">
        <v>30</v>
      </c>
      <c r="F331" t="s">
        <v>31</v>
      </c>
      <c r="G331" t="s">
        <v>32</v>
      </c>
      <c r="H331">
        <v>152</v>
      </c>
      <c r="I331">
        <v>126</v>
      </c>
      <c r="J331">
        <v>1</v>
      </c>
      <c r="K331">
        <v>2.7</v>
      </c>
      <c r="L331">
        <v>31418.2</v>
      </c>
      <c r="M331">
        <v>2.61</v>
      </c>
      <c r="N331">
        <v>57.42</v>
      </c>
      <c r="O331">
        <v>199</v>
      </c>
      <c r="P331" s="2">
        <v>46033</v>
      </c>
      <c r="Q331" s="2">
        <v>46031</v>
      </c>
      <c r="R331" t="s">
        <v>25</v>
      </c>
      <c r="S331" t="s">
        <v>86</v>
      </c>
    </row>
    <row r="332" spans="1:19" x14ac:dyDescent="0.25">
      <c r="A332" t="s">
        <v>422</v>
      </c>
      <c r="B332" s="2">
        <v>46195</v>
      </c>
      <c r="C332" t="s">
        <v>53</v>
      </c>
      <c r="D332" t="s">
        <v>54</v>
      </c>
      <c r="E332" t="s">
        <v>131</v>
      </c>
      <c r="F332" t="s">
        <v>112</v>
      </c>
      <c r="G332" t="s">
        <v>24</v>
      </c>
      <c r="H332">
        <v>284</v>
      </c>
      <c r="I332">
        <v>208</v>
      </c>
      <c r="J332">
        <v>3</v>
      </c>
      <c r="K332">
        <v>1.4</v>
      </c>
      <c r="L332">
        <v>32161.200000000001</v>
      </c>
      <c r="M332">
        <v>8.2200000000000006</v>
      </c>
      <c r="N332">
        <v>197.28</v>
      </c>
      <c r="O332">
        <v>349</v>
      </c>
      <c r="P332" s="2">
        <v>46197</v>
      </c>
      <c r="Q332" s="2">
        <v>46197</v>
      </c>
      <c r="R332" t="s">
        <v>39</v>
      </c>
      <c r="S332" t="s">
        <v>86</v>
      </c>
    </row>
    <row r="333" spans="1:19" x14ac:dyDescent="0.25">
      <c r="A333" t="s">
        <v>423</v>
      </c>
      <c r="B333" s="2">
        <v>46165</v>
      </c>
      <c r="C333" t="s">
        <v>80</v>
      </c>
      <c r="D333" t="s">
        <v>21</v>
      </c>
      <c r="E333" t="s">
        <v>22</v>
      </c>
      <c r="F333" t="s">
        <v>104</v>
      </c>
      <c r="G333" t="s">
        <v>32</v>
      </c>
      <c r="H333">
        <v>227</v>
      </c>
      <c r="I333">
        <v>230</v>
      </c>
      <c r="J333">
        <v>17</v>
      </c>
      <c r="K333">
        <v>8</v>
      </c>
      <c r="L333">
        <v>65413.51</v>
      </c>
      <c r="M333">
        <v>5.69</v>
      </c>
      <c r="N333">
        <v>102.42</v>
      </c>
      <c r="O333">
        <v>273</v>
      </c>
      <c r="P333" s="2">
        <v>46173</v>
      </c>
      <c r="Q333" s="2">
        <v>46173</v>
      </c>
      <c r="R333" t="s">
        <v>39</v>
      </c>
      <c r="S333" t="s">
        <v>51</v>
      </c>
    </row>
    <row r="334" spans="1:19" x14ac:dyDescent="0.25">
      <c r="A334" t="s">
        <v>424</v>
      </c>
      <c r="B334" s="2">
        <v>46175</v>
      </c>
      <c r="C334" t="s">
        <v>20</v>
      </c>
      <c r="D334" t="s">
        <v>21</v>
      </c>
      <c r="E334" t="s">
        <v>90</v>
      </c>
      <c r="F334" t="s">
        <v>71</v>
      </c>
      <c r="G334" t="s">
        <v>32</v>
      </c>
      <c r="H334">
        <v>260</v>
      </c>
      <c r="I334">
        <v>283</v>
      </c>
      <c r="J334">
        <v>19</v>
      </c>
      <c r="K334">
        <v>2.4</v>
      </c>
      <c r="L334">
        <v>85891.57</v>
      </c>
      <c r="M334">
        <v>7.62</v>
      </c>
      <c r="N334">
        <v>167.64</v>
      </c>
      <c r="O334">
        <v>275</v>
      </c>
      <c r="P334" s="2">
        <v>46185</v>
      </c>
      <c r="Q334" s="2">
        <v>46185</v>
      </c>
      <c r="R334" t="s">
        <v>25</v>
      </c>
      <c r="S334" t="s">
        <v>33</v>
      </c>
    </row>
    <row r="335" spans="1:19" x14ac:dyDescent="0.25">
      <c r="A335" t="s">
        <v>425</v>
      </c>
      <c r="B335" s="2">
        <v>46074</v>
      </c>
      <c r="C335" t="s">
        <v>20</v>
      </c>
      <c r="D335" t="s">
        <v>21</v>
      </c>
      <c r="E335" t="s">
        <v>90</v>
      </c>
      <c r="F335" t="s">
        <v>61</v>
      </c>
      <c r="G335" t="s">
        <v>24</v>
      </c>
      <c r="H335">
        <v>209</v>
      </c>
      <c r="I335">
        <v>152</v>
      </c>
      <c r="J335">
        <v>7</v>
      </c>
      <c r="K335">
        <v>4.5</v>
      </c>
      <c r="L335">
        <v>48695.65</v>
      </c>
      <c r="M335">
        <v>5.41</v>
      </c>
      <c r="N335">
        <v>140.66</v>
      </c>
      <c r="O335">
        <v>248</v>
      </c>
      <c r="P335" s="2">
        <v>46081</v>
      </c>
      <c r="Q335" s="2">
        <v>46081</v>
      </c>
      <c r="R335" t="s">
        <v>25</v>
      </c>
      <c r="S335" t="s">
        <v>51</v>
      </c>
    </row>
    <row r="336" spans="1:19" x14ac:dyDescent="0.25">
      <c r="A336" t="s">
        <v>426</v>
      </c>
      <c r="B336" s="2">
        <v>46075</v>
      </c>
      <c r="C336" t="s">
        <v>80</v>
      </c>
      <c r="D336" t="s">
        <v>21</v>
      </c>
      <c r="E336" t="s">
        <v>90</v>
      </c>
      <c r="F336" t="s">
        <v>85</v>
      </c>
      <c r="G336" t="s">
        <v>24</v>
      </c>
      <c r="H336">
        <v>179</v>
      </c>
      <c r="J336">
        <v>9</v>
      </c>
      <c r="K336">
        <v>0</v>
      </c>
      <c r="L336">
        <v>59226.81</v>
      </c>
      <c r="M336">
        <v>5.9</v>
      </c>
      <c r="N336">
        <v>106.2</v>
      </c>
      <c r="O336">
        <v>224</v>
      </c>
      <c r="P336" s="2">
        <v>46084</v>
      </c>
      <c r="Q336" s="2">
        <v>46082</v>
      </c>
      <c r="R336" t="s">
        <v>25</v>
      </c>
      <c r="S336" t="s">
        <v>86</v>
      </c>
    </row>
    <row r="337" spans="1:19" x14ac:dyDescent="0.25">
      <c r="A337" t="s">
        <v>427</v>
      </c>
      <c r="B337" s="2">
        <v>46028</v>
      </c>
      <c r="C337" t="s">
        <v>59</v>
      </c>
      <c r="D337" t="s">
        <v>49</v>
      </c>
      <c r="E337" t="s">
        <v>60</v>
      </c>
      <c r="F337" t="s">
        <v>135</v>
      </c>
      <c r="G337" t="s">
        <v>24</v>
      </c>
      <c r="H337">
        <v>308</v>
      </c>
      <c r="I337">
        <v>249</v>
      </c>
      <c r="J337">
        <v>5</v>
      </c>
      <c r="K337">
        <v>2.6</v>
      </c>
      <c r="L337">
        <v>47199.19</v>
      </c>
      <c r="M337">
        <v>8.49</v>
      </c>
      <c r="N337">
        <v>186.78</v>
      </c>
      <c r="O337">
        <v>306</v>
      </c>
      <c r="P337" s="2">
        <v>46032</v>
      </c>
      <c r="Q337" s="2">
        <v>46032</v>
      </c>
      <c r="R337" t="s">
        <v>25</v>
      </c>
      <c r="S337" t="s">
        <v>26</v>
      </c>
    </row>
    <row r="338" spans="1:19" x14ac:dyDescent="0.25">
      <c r="A338" t="s">
        <v>428</v>
      </c>
      <c r="B338" s="2">
        <v>46154</v>
      </c>
      <c r="C338" t="s">
        <v>20</v>
      </c>
      <c r="D338" t="s">
        <v>21</v>
      </c>
      <c r="E338" t="s">
        <v>22</v>
      </c>
      <c r="F338" t="s">
        <v>74</v>
      </c>
      <c r="G338" t="s">
        <v>57</v>
      </c>
      <c r="H338">
        <v>218</v>
      </c>
      <c r="I338">
        <v>189</v>
      </c>
      <c r="J338">
        <v>6</v>
      </c>
      <c r="K338">
        <v>1.3</v>
      </c>
      <c r="L338">
        <v>61897.82</v>
      </c>
      <c r="M338">
        <v>4.51</v>
      </c>
      <c r="N338">
        <v>81.180000000000007</v>
      </c>
      <c r="O338">
        <v>257</v>
      </c>
      <c r="P338" s="2">
        <v>46165</v>
      </c>
      <c r="Q338" s="2">
        <v>46166</v>
      </c>
      <c r="R338" t="s">
        <v>39</v>
      </c>
      <c r="S338" t="s">
        <v>51</v>
      </c>
    </row>
    <row r="339" spans="1:19" x14ac:dyDescent="0.25">
      <c r="A339" t="s">
        <v>429</v>
      </c>
      <c r="B339" s="2">
        <v>46030</v>
      </c>
      <c r="C339" t="s">
        <v>53</v>
      </c>
      <c r="D339" t="s">
        <v>54</v>
      </c>
      <c r="E339" t="s">
        <v>55</v>
      </c>
      <c r="F339" t="s">
        <v>106</v>
      </c>
      <c r="G339" t="s">
        <v>24</v>
      </c>
      <c r="H339">
        <v>107</v>
      </c>
      <c r="I339">
        <v>94</v>
      </c>
      <c r="J339">
        <v>1</v>
      </c>
      <c r="K339">
        <v>3.5</v>
      </c>
      <c r="L339">
        <v>15930.34</v>
      </c>
      <c r="M339">
        <v>3.11</v>
      </c>
      <c r="N339">
        <v>74.64</v>
      </c>
      <c r="O339">
        <v>158</v>
      </c>
      <c r="P339" s="2">
        <v>46036</v>
      </c>
      <c r="Q339" s="2">
        <v>46037</v>
      </c>
      <c r="R339" t="s">
        <v>25</v>
      </c>
      <c r="S339" t="s">
        <v>26</v>
      </c>
    </row>
    <row r="340" spans="1:19" x14ac:dyDescent="0.25">
      <c r="A340" t="s">
        <v>430</v>
      </c>
      <c r="B340" s="2">
        <v>46043</v>
      </c>
      <c r="C340" t="s">
        <v>53</v>
      </c>
      <c r="D340" t="s">
        <v>54</v>
      </c>
      <c r="E340" t="s">
        <v>55</v>
      </c>
      <c r="F340" t="s">
        <v>56</v>
      </c>
      <c r="G340" t="s">
        <v>24</v>
      </c>
      <c r="H340">
        <v>103</v>
      </c>
      <c r="I340">
        <v>110</v>
      </c>
      <c r="J340">
        <v>9</v>
      </c>
      <c r="K340">
        <v>4.2</v>
      </c>
      <c r="L340">
        <v>16228.73</v>
      </c>
      <c r="M340">
        <v>3.85</v>
      </c>
      <c r="N340">
        <v>92.4</v>
      </c>
      <c r="O340">
        <v>183</v>
      </c>
      <c r="P340" s="2">
        <v>46048</v>
      </c>
      <c r="Q340" s="2">
        <v>46048</v>
      </c>
      <c r="R340" t="s">
        <v>25</v>
      </c>
      <c r="S340" t="s">
        <v>86</v>
      </c>
    </row>
    <row r="341" spans="1:19" x14ac:dyDescent="0.25">
      <c r="A341" t="s">
        <v>431</v>
      </c>
      <c r="B341" s="2">
        <v>46116</v>
      </c>
      <c r="C341" t="s">
        <v>35</v>
      </c>
      <c r="D341" t="s">
        <v>36</v>
      </c>
      <c r="E341" t="s">
        <v>37</v>
      </c>
      <c r="F341" t="s">
        <v>125</v>
      </c>
      <c r="G341" t="s">
        <v>32</v>
      </c>
      <c r="H341">
        <v>259</v>
      </c>
      <c r="I341">
        <v>288</v>
      </c>
      <c r="J341">
        <v>10</v>
      </c>
      <c r="K341">
        <v>7.7</v>
      </c>
      <c r="L341">
        <v>24761.61</v>
      </c>
      <c r="M341">
        <v>5.64</v>
      </c>
      <c r="N341">
        <v>101.52</v>
      </c>
      <c r="O341">
        <v>308</v>
      </c>
      <c r="P341" s="2">
        <v>46125</v>
      </c>
      <c r="Q341" s="2">
        <v>46129</v>
      </c>
      <c r="R341" t="s">
        <v>25</v>
      </c>
      <c r="S341" t="s">
        <v>26</v>
      </c>
    </row>
    <row r="342" spans="1:19" x14ac:dyDescent="0.25">
      <c r="A342" t="s">
        <v>432</v>
      </c>
      <c r="B342" s="2">
        <v>46170</v>
      </c>
      <c r="C342" t="s">
        <v>43</v>
      </c>
      <c r="D342" t="s">
        <v>44</v>
      </c>
      <c r="E342" t="s">
        <v>45</v>
      </c>
      <c r="F342" t="s">
        <v>104</v>
      </c>
      <c r="G342" t="s">
        <v>57</v>
      </c>
      <c r="H342">
        <v>106</v>
      </c>
      <c r="I342">
        <v>94</v>
      </c>
      <c r="J342">
        <v>6</v>
      </c>
      <c r="K342">
        <v>1</v>
      </c>
      <c r="L342">
        <v>9971.75</v>
      </c>
      <c r="M342">
        <v>2.37</v>
      </c>
      <c r="N342">
        <v>56.88</v>
      </c>
      <c r="O342">
        <v>168</v>
      </c>
      <c r="P342" s="2">
        <v>46181</v>
      </c>
      <c r="Q342" s="2">
        <v>46183</v>
      </c>
      <c r="R342" t="s">
        <v>25</v>
      </c>
      <c r="S342" t="s">
        <v>26</v>
      </c>
    </row>
    <row r="343" spans="1:19" x14ac:dyDescent="0.25">
      <c r="A343" t="s">
        <v>433</v>
      </c>
      <c r="B343" s="2">
        <v>46063</v>
      </c>
      <c r="C343" t="s">
        <v>53</v>
      </c>
      <c r="D343" t="s">
        <v>54</v>
      </c>
      <c r="E343" t="s">
        <v>131</v>
      </c>
      <c r="F343" t="s">
        <v>61</v>
      </c>
      <c r="G343" t="s">
        <v>32</v>
      </c>
      <c r="H343">
        <v>96</v>
      </c>
      <c r="I343">
        <v>83</v>
      </c>
      <c r="J343">
        <v>6</v>
      </c>
      <c r="K343">
        <v>5.3</v>
      </c>
      <c r="L343">
        <v>12846.15</v>
      </c>
      <c r="M343">
        <v>3.06</v>
      </c>
      <c r="N343">
        <v>79.56</v>
      </c>
      <c r="O343">
        <v>116</v>
      </c>
      <c r="P343" s="2">
        <v>46067</v>
      </c>
      <c r="Q343" s="2">
        <v>46066</v>
      </c>
      <c r="R343" t="s">
        <v>39</v>
      </c>
      <c r="S343" t="s">
        <v>33</v>
      </c>
    </row>
    <row r="344" spans="1:19" x14ac:dyDescent="0.25">
      <c r="A344" t="s">
        <v>434</v>
      </c>
      <c r="B344" s="2">
        <v>46174</v>
      </c>
      <c r="C344" t="s">
        <v>53</v>
      </c>
      <c r="D344" t="s">
        <v>54</v>
      </c>
      <c r="E344" t="s">
        <v>131</v>
      </c>
      <c r="F344" t="s">
        <v>88</v>
      </c>
      <c r="G344" t="s">
        <v>57</v>
      </c>
      <c r="H344">
        <v>222</v>
      </c>
      <c r="I344">
        <v>169</v>
      </c>
      <c r="J344">
        <v>7</v>
      </c>
      <c r="K344">
        <v>2.8</v>
      </c>
      <c r="L344">
        <v>23940.62</v>
      </c>
      <c r="M344">
        <v>5.82</v>
      </c>
      <c r="N344">
        <v>151.32</v>
      </c>
      <c r="O344">
        <v>279</v>
      </c>
      <c r="P344" s="2">
        <v>46181</v>
      </c>
      <c r="Q344" s="2">
        <v>46185</v>
      </c>
      <c r="R344" t="s">
        <v>25</v>
      </c>
      <c r="S344" t="s">
        <v>51</v>
      </c>
    </row>
    <row r="345" spans="1:19" x14ac:dyDescent="0.25">
      <c r="A345" t="s">
        <v>435</v>
      </c>
      <c r="B345" s="2">
        <v>46171</v>
      </c>
      <c r="C345" t="s">
        <v>80</v>
      </c>
      <c r="D345" t="s">
        <v>21</v>
      </c>
      <c r="E345" t="s">
        <v>22</v>
      </c>
      <c r="F345" t="s">
        <v>106</v>
      </c>
      <c r="G345" t="s">
        <v>32</v>
      </c>
      <c r="H345">
        <v>249</v>
      </c>
      <c r="I345">
        <v>195</v>
      </c>
      <c r="J345">
        <v>10</v>
      </c>
      <c r="K345">
        <v>3.5</v>
      </c>
      <c r="L345">
        <v>49109.45</v>
      </c>
      <c r="M345">
        <v>6.7</v>
      </c>
      <c r="N345">
        <v>147.4</v>
      </c>
      <c r="O345">
        <v>285</v>
      </c>
      <c r="P345" s="2">
        <v>46182</v>
      </c>
      <c r="Q345" s="2">
        <v>46182</v>
      </c>
      <c r="R345" t="s">
        <v>100</v>
      </c>
      <c r="S345" t="s">
        <v>33</v>
      </c>
    </row>
    <row r="346" spans="1:19" x14ac:dyDescent="0.25">
      <c r="A346" t="s">
        <v>436</v>
      </c>
      <c r="B346" s="2">
        <v>46172</v>
      </c>
      <c r="C346" t="s">
        <v>80</v>
      </c>
      <c r="D346" t="s">
        <v>21</v>
      </c>
      <c r="E346" t="s">
        <v>66</v>
      </c>
      <c r="F346" t="s">
        <v>23</v>
      </c>
      <c r="G346" t="s">
        <v>32</v>
      </c>
      <c r="H346">
        <v>210</v>
      </c>
      <c r="I346">
        <v>187</v>
      </c>
      <c r="J346">
        <v>3</v>
      </c>
      <c r="K346">
        <v>2.6</v>
      </c>
      <c r="L346">
        <v>48146.87</v>
      </c>
      <c r="M346">
        <v>3.6</v>
      </c>
      <c r="N346">
        <v>93.6</v>
      </c>
      <c r="O346">
        <v>261</v>
      </c>
      <c r="P346" s="2">
        <v>46175</v>
      </c>
      <c r="Q346" s="2">
        <v>46175</v>
      </c>
      <c r="R346" t="s">
        <v>25</v>
      </c>
      <c r="S346" t="s">
        <v>26</v>
      </c>
    </row>
    <row r="347" spans="1:19" x14ac:dyDescent="0.25">
      <c r="A347" t="s">
        <v>437</v>
      </c>
      <c r="B347" s="2">
        <v>46123</v>
      </c>
      <c r="C347" t="s">
        <v>48</v>
      </c>
      <c r="D347" t="s">
        <v>49</v>
      </c>
      <c r="E347" t="s">
        <v>60</v>
      </c>
      <c r="F347" t="s">
        <v>170</v>
      </c>
      <c r="G347" t="s">
        <v>57</v>
      </c>
      <c r="H347">
        <v>177</v>
      </c>
      <c r="I347">
        <v>158</v>
      </c>
      <c r="J347">
        <v>6</v>
      </c>
      <c r="K347">
        <v>1.9</v>
      </c>
      <c r="L347">
        <v>25193.439999999999</v>
      </c>
      <c r="M347">
        <v>4.95</v>
      </c>
      <c r="N347">
        <v>108.9</v>
      </c>
      <c r="O347">
        <v>243</v>
      </c>
      <c r="P347" s="2">
        <v>46127</v>
      </c>
      <c r="Q347" s="2">
        <v>46127</v>
      </c>
      <c r="R347" t="s">
        <v>25</v>
      </c>
      <c r="S347" t="s">
        <v>33</v>
      </c>
    </row>
    <row r="348" spans="1:19" x14ac:dyDescent="0.25">
      <c r="A348" t="s">
        <v>438</v>
      </c>
      <c r="B348" s="2">
        <v>46188</v>
      </c>
      <c r="C348" t="s">
        <v>80</v>
      </c>
      <c r="D348" t="s">
        <v>21</v>
      </c>
      <c r="E348" t="s">
        <v>22</v>
      </c>
      <c r="F348" t="s">
        <v>85</v>
      </c>
      <c r="G348" t="s">
        <v>32</v>
      </c>
      <c r="H348">
        <v>264</v>
      </c>
      <c r="I348">
        <v>290</v>
      </c>
      <c r="J348">
        <v>18</v>
      </c>
      <c r="K348">
        <v>8.8000000000000007</v>
      </c>
      <c r="L348">
        <v>60674.95</v>
      </c>
      <c r="M348">
        <v>10.83</v>
      </c>
      <c r="N348">
        <v>259.92</v>
      </c>
      <c r="O348">
        <v>332</v>
      </c>
      <c r="P348" s="2">
        <v>46199</v>
      </c>
      <c r="Q348" s="2">
        <v>46199</v>
      </c>
      <c r="R348" t="s">
        <v>100</v>
      </c>
      <c r="S348" t="s">
        <v>26</v>
      </c>
    </row>
    <row r="349" spans="1:19" x14ac:dyDescent="0.25">
      <c r="A349" t="s">
        <v>439</v>
      </c>
      <c r="B349" s="2">
        <v>46138</v>
      </c>
      <c r="C349" t="s">
        <v>35</v>
      </c>
      <c r="D349" t="s">
        <v>36</v>
      </c>
      <c r="E349" t="s">
        <v>69</v>
      </c>
      <c r="F349" t="s">
        <v>64</v>
      </c>
      <c r="G349" t="s">
        <v>24</v>
      </c>
      <c r="H349">
        <v>137</v>
      </c>
      <c r="I349">
        <v>109</v>
      </c>
      <c r="J349">
        <v>6</v>
      </c>
      <c r="K349">
        <v>5.2</v>
      </c>
      <c r="L349">
        <v>10493.56</v>
      </c>
      <c r="M349">
        <v>3.27</v>
      </c>
      <c r="N349">
        <v>78.48</v>
      </c>
      <c r="O349">
        <v>236</v>
      </c>
      <c r="P349" s="2">
        <v>46149</v>
      </c>
      <c r="Q349" s="2">
        <v>46150</v>
      </c>
      <c r="R349" t="s">
        <v>25</v>
      </c>
      <c r="S349" t="s">
        <v>72</v>
      </c>
    </row>
    <row r="350" spans="1:19" x14ac:dyDescent="0.25">
      <c r="A350" t="s">
        <v>440</v>
      </c>
      <c r="B350" s="2">
        <v>46117</v>
      </c>
      <c r="C350" t="s">
        <v>20</v>
      </c>
      <c r="D350" t="s">
        <v>21</v>
      </c>
      <c r="E350" t="s">
        <v>66</v>
      </c>
      <c r="F350" t="s">
        <v>38</v>
      </c>
      <c r="G350" t="s">
        <v>24</v>
      </c>
      <c r="H350">
        <v>203</v>
      </c>
      <c r="I350">
        <v>230</v>
      </c>
      <c r="J350">
        <v>2</v>
      </c>
      <c r="K350">
        <v>6.6</v>
      </c>
      <c r="L350">
        <v>82427.56</v>
      </c>
      <c r="M350">
        <v>8.2799999999999994</v>
      </c>
      <c r="N350">
        <v>182.16</v>
      </c>
      <c r="O350">
        <v>282</v>
      </c>
      <c r="P350" s="2">
        <v>46127</v>
      </c>
      <c r="Q350" s="2">
        <v>46126</v>
      </c>
      <c r="R350" t="s">
        <v>39</v>
      </c>
      <c r="S350" t="s">
        <v>33</v>
      </c>
    </row>
    <row r="351" spans="1:19" x14ac:dyDescent="0.25">
      <c r="A351" t="s">
        <v>441</v>
      </c>
      <c r="B351" s="2">
        <v>46085</v>
      </c>
      <c r="C351" t="s">
        <v>53</v>
      </c>
      <c r="D351" t="s">
        <v>54</v>
      </c>
      <c r="E351" t="s">
        <v>55</v>
      </c>
      <c r="F351" t="s">
        <v>112</v>
      </c>
      <c r="G351" t="s">
        <v>32</v>
      </c>
      <c r="H351">
        <v>255</v>
      </c>
      <c r="I351">
        <v>253</v>
      </c>
      <c r="J351">
        <v>19</v>
      </c>
      <c r="K351">
        <v>2.8</v>
      </c>
      <c r="L351">
        <v>29057.32</v>
      </c>
      <c r="M351">
        <v>9.2799999999999994</v>
      </c>
      <c r="N351">
        <v>222.72</v>
      </c>
      <c r="O351">
        <v>331</v>
      </c>
      <c r="P351" s="2">
        <v>46095</v>
      </c>
      <c r="Q351" s="2">
        <v>46099</v>
      </c>
      <c r="R351" t="s">
        <v>39</v>
      </c>
      <c r="S351" t="s">
        <v>72</v>
      </c>
    </row>
    <row r="352" spans="1:19" x14ac:dyDescent="0.25">
      <c r="A352" t="s">
        <v>442</v>
      </c>
      <c r="B352" s="2">
        <v>46113</v>
      </c>
      <c r="C352" t="s">
        <v>59</v>
      </c>
      <c r="D352" t="s">
        <v>49</v>
      </c>
      <c r="E352" t="s">
        <v>76</v>
      </c>
      <c r="F352" t="s">
        <v>83</v>
      </c>
      <c r="G352" t="s">
        <v>24</v>
      </c>
      <c r="H352">
        <v>122</v>
      </c>
      <c r="I352">
        <v>89</v>
      </c>
      <c r="J352">
        <v>7</v>
      </c>
      <c r="K352">
        <v>6.7</v>
      </c>
      <c r="L352">
        <v>17098.25</v>
      </c>
      <c r="M352">
        <v>1.73</v>
      </c>
      <c r="N352">
        <v>41.52</v>
      </c>
      <c r="O352">
        <v>125</v>
      </c>
      <c r="P352" s="2">
        <v>46124</v>
      </c>
      <c r="Q352" s="2">
        <v>46122</v>
      </c>
      <c r="R352" t="s">
        <v>25</v>
      </c>
      <c r="S352" t="s">
        <v>26</v>
      </c>
    </row>
    <row r="353" spans="1:19" x14ac:dyDescent="0.25">
      <c r="A353" t="s">
        <v>443</v>
      </c>
      <c r="B353" s="2">
        <v>46029</v>
      </c>
      <c r="C353" t="s">
        <v>59</v>
      </c>
      <c r="D353" t="s">
        <v>49</v>
      </c>
      <c r="E353" t="s">
        <v>76</v>
      </c>
      <c r="F353" t="s">
        <v>112</v>
      </c>
      <c r="G353" t="s">
        <v>57</v>
      </c>
      <c r="H353">
        <v>101</v>
      </c>
      <c r="I353">
        <v>78</v>
      </c>
      <c r="J353">
        <v>0</v>
      </c>
      <c r="K353">
        <v>7.1</v>
      </c>
      <c r="L353">
        <v>12789.5</v>
      </c>
      <c r="M353">
        <v>1.92</v>
      </c>
      <c r="N353">
        <v>42.24</v>
      </c>
      <c r="O353">
        <v>64</v>
      </c>
      <c r="P353" s="2">
        <v>46032</v>
      </c>
      <c r="Q353" s="2">
        <v>46032</v>
      </c>
      <c r="R353" t="s">
        <v>39</v>
      </c>
      <c r="S353" t="s">
        <v>72</v>
      </c>
    </row>
    <row r="354" spans="1:19" x14ac:dyDescent="0.25">
      <c r="A354" t="s">
        <v>444</v>
      </c>
      <c r="B354" s="2">
        <v>46117</v>
      </c>
      <c r="C354" t="s">
        <v>43</v>
      </c>
      <c r="D354" t="s">
        <v>44</v>
      </c>
      <c r="E354" t="s">
        <v>161</v>
      </c>
      <c r="F354" t="s">
        <v>23</v>
      </c>
      <c r="G354" t="s">
        <v>24</v>
      </c>
      <c r="H354">
        <v>280</v>
      </c>
      <c r="I354">
        <v>285</v>
      </c>
      <c r="J354">
        <v>13</v>
      </c>
      <c r="K354">
        <v>7.2</v>
      </c>
      <c r="L354">
        <v>36251.54</v>
      </c>
      <c r="M354">
        <v>5.71</v>
      </c>
      <c r="N354">
        <v>114.2</v>
      </c>
      <c r="O354">
        <v>279</v>
      </c>
      <c r="P354" s="2">
        <v>46126</v>
      </c>
      <c r="Q354" s="2">
        <v>46128</v>
      </c>
      <c r="R354" t="s">
        <v>100</v>
      </c>
      <c r="S354" t="s">
        <v>72</v>
      </c>
    </row>
    <row r="355" spans="1:19" x14ac:dyDescent="0.25">
      <c r="A355" t="s">
        <v>445</v>
      </c>
      <c r="B355" s="2">
        <v>46186</v>
      </c>
      <c r="C355" t="s">
        <v>43</v>
      </c>
      <c r="D355" t="s">
        <v>44</v>
      </c>
      <c r="E355" t="s">
        <v>93</v>
      </c>
      <c r="F355" t="s">
        <v>23</v>
      </c>
      <c r="G355" t="s">
        <v>32</v>
      </c>
      <c r="H355">
        <v>227</v>
      </c>
      <c r="I355">
        <v>235</v>
      </c>
      <c r="J355">
        <v>8</v>
      </c>
      <c r="K355">
        <v>5.8</v>
      </c>
      <c r="L355">
        <v>27046.6</v>
      </c>
      <c r="M355">
        <v>5.18</v>
      </c>
      <c r="N355">
        <v>124.32</v>
      </c>
      <c r="O355">
        <v>308</v>
      </c>
      <c r="P355" s="2">
        <v>46192</v>
      </c>
      <c r="Q355" s="2">
        <v>46196</v>
      </c>
      <c r="R355" t="s">
        <v>39</v>
      </c>
      <c r="S355" t="s">
        <v>72</v>
      </c>
    </row>
    <row r="356" spans="1:19" x14ac:dyDescent="0.25">
      <c r="A356" t="s">
        <v>446</v>
      </c>
      <c r="B356" s="2">
        <v>46144</v>
      </c>
      <c r="C356" t="s">
        <v>59</v>
      </c>
      <c r="D356" t="s">
        <v>49</v>
      </c>
      <c r="E356" t="s">
        <v>50</v>
      </c>
      <c r="F356" t="s">
        <v>104</v>
      </c>
      <c r="G356" t="s">
        <v>24</v>
      </c>
      <c r="H356">
        <v>215</v>
      </c>
      <c r="I356">
        <v>235</v>
      </c>
      <c r="J356">
        <v>1</v>
      </c>
      <c r="K356">
        <v>8.3000000000000007</v>
      </c>
      <c r="L356">
        <v>42205.63</v>
      </c>
      <c r="M356">
        <v>9.65</v>
      </c>
      <c r="N356">
        <v>173.7</v>
      </c>
      <c r="O356">
        <v>199</v>
      </c>
      <c r="P356" s="2">
        <v>46154</v>
      </c>
      <c r="Q356" s="2">
        <v>46155</v>
      </c>
      <c r="R356" t="s">
        <v>100</v>
      </c>
      <c r="S356" t="s">
        <v>86</v>
      </c>
    </row>
    <row r="357" spans="1:19" x14ac:dyDescent="0.25">
      <c r="A357" t="s">
        <v>447</v>
      </c>
      <c r="B357" s="2">
        <v>46108</v>
      </c>
      <c r="C357" t="s">
        <v>59</v>
      </c>
      <c r="D357" t="s">
        <v>49</v>
      </c>
      <c r="E357" t="s">
        <v>76</v>
      </c>
      <c r="F357" t="s">
        <v>96</v>
      </c>
      <c r="G357" t="s">
        <v>24</v>
      </c>
      <c r="H357">
        <v>285</v>
      </c>
      <c r="I357">
        <v>217</v>
      </c>
      <c r="J357">
        <v>13</v>
      </c>
      <c r="K357">
        <v>3.5</v>
      </c>
      <c r="L357">
        <v>44395.32</v>
      </c>
      <c r="M357">
        <v>7.73</v>
      </c>
      <c r="N357">
        <v>200.98</v>
      </c>
      <c r="O357">
        <v>294</v>
      </c>
      <c r="P357" s="2">
        <v>46118</v>
      </c>
      <c r="Q357" s="2">
        <v>46119</v>
      </c>
      <c r="R357" t="s">
        <v>25</v>
      </c>
      <c r="S357" t="s">
        <v>33</v>
      </c>
    </row>
    <row r="358" spans="1:19" x14ac:dyDescent="0.25">
      <c r="A358" t="s">
        <v>448</v>
      </c>
      <c r="B358" s="2">
        <v>46195</v>
      </c>
      <c r="C358" t="s">
        <v>80</v>
      </c>
      <c r="D358" t="s">
        <v>21</v>
      </c>
      <c r="E358" t="s">
        <v>22</v>
      </c>
      <c r="F358" t="s">
        <v>104</v>
      </c>
      <c r="G358" t="s">
        <v>24</v>
      </c>
      <c r="H358">
        <v>83</v>
      </c>
      <c r="I358">
        <v>74</v>
      </c>
      <c r="J358">
        <v>3</v>
      </c>
      <c r="K358">
        <v>6.2</v>
      </c>
      <c r="L358">
        <v>19807.36</v>
      </c>
      <c r="M358">
        <v>1.78</v>
      </c>
      <c r="N358">
        <v>32.04</v>
      </c>
      <c r="O358">
        <v>56</v>
      </c>
      <c r="P358" s="2">
        <v>46206</v>
      </c>
      <c r="Q358" s="2">
        <v>46205</v>
      </c>
      <c r="R358" t="s">
        <v>25</v>
      </c>
      <c r="S358" t="s">
        <v>51</v>
      </c>
    </row>
    <row r="359" spans="1:19" x14ac:dyDescent="0.25">
      <c r="A359" t="s">
        <v>449</v>
      </c>
      <c r="B359" s="2">
        <v>46176</v>
      </c>
      <c r="C359" t="s">
        <v>20</v>
      </c>
      <c r="D359" t="s">
        <v>21</v>
      </c>
      <c r="E359" t="s">
        <v>66</v>
      </c>
      <c r="F359" t="s">
        <v>74</v>
      </c>
      <c r="G359" t="s">
        <v>24</v>
      </c>
      <c r="H359">
        <v>110</v>
      </c>
      <c r="I359">
        <v>83</v>
      </c>
      <c r="J359">
        <v>4</v>
      </c>
      <c r="K359">
        <v>3.4</v>
      </c>
      <c r="L359">
        <v>30598.25</v>
      </c>
      <c r="M359">
        <v>3.09</v>
      </c>
      <c r="N359">
        <v>61.8</v>
      </c>
      <c r="O359">
        <v>98</v>
      </c>
      <c r="P359" s="2">
        <v>46180</v>
      </c>
      <c r="Q359" s="2">
        <v>46180</v>
      </c>
      <c r="R359" t="s">
        <v>25</v>
      </c>
      <c r="S359" t="s">
        <v>33</v>
      </c>
    </row>
    <row r="360" spans="1:19" x14ac:dyDescent="0.25">
      <c r="A360" t="s">
        <v>450</v>
      </c>
      <c r="B360" s="2">
        <v>46186</v>
      </c>
      <c r="C360" t="s">
        <v>53</v>
      </c>
      <c r="D360" t="s">
        <v>54</v>
      </c>
      <c r="E360" t="s">
        <v>131</v>
      </c>
      <c r="F360" t="s">
        <v>122</v>
      </c>
      <c r="G360" t="s">
        <v>32</v>
      </c>
      <c r="H360">
        <v>276</v>
      </c>
      <c r="I360">
        <v>249</v>
      </c>
      <c r="J360">
        <v>21</v>
      </c>
      <c r="K360">
        <v>6.9</v>
      </c>
      <c r="L360">
        <v>30299.32</v>
      </c>
      <c r="M360">
        <v>4.92</v>
      </c>
      <c r="N360">
        <v>88.56</v>
      </c>
      <c r="O360">
        <v>333</v>
      </c>
      <c r="P360" s="2">
        <v>46194</v>
      </c>
      <c r="Q360" s="2">
        <v>46195</v>
      </c>
      <c r="R360" t="s">
        <v>25</v>
      </c>
      <c r="S360" t="s">
        <v>51</v>
      </c>
    </row>
    <row r="361" spans="1:19" x14ac:dyDescent="0.25">
      <c r="A361" t="s">
        <v>451</v>
      </c>
      <c r="B361" s="2">
        <v>46135</v>
      </c>
      <c r="C361" t="s">
        <v>20</v>
      </c>
      <c r="D361" t="s">
        <v>21</v>
      </c>
      <c r="E361" t="s">
        <v>90</v>
      </c>
      <c r="F361" t="s">
        <v>64</v>
      </c>
      <c r="G361" t="s">
        <v>57</v>
      </c>
      <c r="H361">
        <v>317</v>
      </c>
      <c r="I361">
        <v>255</v>
      </c>
      <c r="J361">
        <v>10</v>
      </c>
      <c r="K361">
        <v>5.8</v>
      </c>
      <c r="L361">
        <v>71712.3</v>
      </c>
      <c r="M361">
        <v>7.23</v>
      </c>
      <c r="N361">
        <v>187.98</v>
      </c>
      <c r="O361">
        <v>304</v>
      </c>
      <c r="P361" s="2">
        <v>46144</v>
      </c>
      <c r="Q361" s="2">
        <v>46144</v>
      </c>
      <c r="R361" t="s">
        <v>25</v>
      </c>
      <c r="S361" t="s">
        <v>33</v>
      </c>
    </row>
    <row r="362" spans="1:19" x14ac:dyDescent="0.25">
      <c r="A362" t="s">
        <v>452</v>
      </c>
      <c r="B362" s="2">
        <v>46169</v>
      </c>
      <c r="C362" t="s">
        <v>59</v>
      </c>
      <c r="D362" t="s">
        <v>49</v>
      </c>
      <c r="E362" t="s">
        <v>76</v>
      </c>
      <c r="F362" t="s">
        <v>106</v>
      </c>
      <c r="G362" t="s">
        <v>32</v>
      </c>
      <c r="H362">
        <v>84</v>
      </c>
      <c r="I362">
        <v>92</v>
      </c>
      <c r="J362">
        <v>1</v>
      </c>
      <c r="K362">
        <v>5.8</v>
      </c>
      <c r="L362">
        <v>19387.48</v>
      </c>
      <c r="M362">
        <v>2.2400000000000002</v>
      </c>
      <c r="N362">
        <v>49.28</v>
      </c>
      <c r="O362">
        <v>150</v>
      </c>
      <c r="P362" s="2">
        <v>46180</v>
      </c>
      <c r="Q362" s="2">
        <v>46178</v>
      </c>
      <c r="R362" t="s">
        <v>39</v>
      </c>
      <c r="S362" t="s">
        <v>72</v>
      </c>
    </row>
    <row r="363" spans="1:19" x14ac:dyDescent="0.25">
      <c r="A363" t="s">
        <v>453</v>
      </c>
      <c r="B363" s="2">
        <v>46134</v>
      </c>
      <c r="C363" t="s">
        <v>35</v>
      </c>
      <c r="D363" t="s">
        <v>36</v>
      </c>
      <c r="E363" t="s">
        <v>37</v>
      </c>
      <c r="F363" t="s">
        <v>64</v>
      </c>
      <c r="G363" t="s">
        <v>24</v>
      </c>
      <c r="H363">
        <v>218</v>
      </c>
      <c r="I363">
        <v>178</v>
      </c>
      <c r="J363">
        <v>7</v>
      </c>
      <c r="K363">
        <v>6.2</v>
      </c>
      <c r="L363">
        <v>16210.92</v>
      </c>
      <c r="M363">
        <v>5.49</v>
      </c>
      <c r="N363">
        <v>120.78</v>
      </c>
      <c r="O363">
        <v>263</v>
      </c>
      <c r="P363" s="2">
        <v>46146</v>
      </c>
      <c r="Q363" s="2">
        <v>46146</v>
      </c>
      <c r="R363" t="s">
        <v>100</v>
      </c>
      <c r="S363" t="s">
        <v>33</v>
      </c>
    </row>
    <row r="364" spans="1:19" x14ac:dyDescent="0.25">
      <c r="A364" t="s">
        <v>454</v>
      </c>
      <c r="B364" s="2">
        <v>46116</v>
      </c>
      <c r="C364" t="s">
        <v>48</v>
      </c>
      <c r="D364" t="s">
        <v>49</v>
      </c>
      <c r="E364" t="s">
        <v>50</v>
      </c>
      <c r="F364" t="s">
        <v>119</v>
      </c>
      <c r="G364" t="s">
        <v>57</v>
      </c>
      <c r="H364">
        <v>295</v>
      </c>
      <c r="I364">
        <v>270</v>
      </c>
      <c r="J364">
        <v>19</v>
      </c>
      <c r="K364">
        <v>5.8</v>
      </c>
      <c r="L364">
        <v>41834.25</v>
      </c>
      <c r="M364">
        <v>7.35</v>
      </c>
      <c r="N364">
        <v>147</v>
      </c>
      <c r="O364">
        <v>331</v>
      </c>
      <c r="P364" s="2">
        <v>46124</v>
      </c>
      <c r="Q364" s="2">
        <v>46123</v>
      </c>
      <c r="R364" t="s">
        <v>25</v>
      </c>
      <c r="S364" t="s">
        <v>72</v>
      </c>
    </row>
    <row r="365" spans="1:19" x14ac:dyDescent="0.25">
      <c r="A365" t="s">
        <v>455</v>
      </c>
      <c r="B365" s="2">
        <v>46071</v>
      </c>
      <c r="C365" t="s">
        <v>43</v>
      </c>
      <c r="D365" t="s">
        <v>44</v>
      </c>
      <c r="E365" t="s">
        <v>93</v>
      </c>
      <c r="F365" t="s">
        <v>96</v>
      </c>
      <c r="G365" t="s">
        <v>57</v>
      </c>
      <c r="H365">
        <v>129</v>
      </c>
      <c r="I365">
        <v>94</v>
      </c>
      <c r="J365">
        <v>8</v>
      </c>
      <c r="K365">
        <v>2.1</v>
      </c>
      <c r="L365">
        <v>11431.23</v>
      </c>
      <c r="M365">
        <v>3.14</v>
      </c>
      <c r="N365">
        <v>75.36</v>
      </c>
      <c r="O365">
        <v>225</v>
      </c>
      <c r="P365" s="2">
        <v>46080</v>
      </c>
      <c r="Q365" s="2">
        <v>46078</v>
      </c>
      <c r="R365" t="s">
        <v>25</v>
      </c>
      <c r="S365" t="s">
        <v>86</v>
      </c>
    </row>
    <row r="366" spans="1:19" x14ac:dyDescent="0.25">
      <c r="A366" t="s">
        <v>456</v>
      </c>
      <c r="B366" s="2">
        <v>46033</v>
      </c>
      <c r="C366" t="s">
        <v>35</v>
      </c>
      <c r="D366" t="s">
        <v>36</v>
      </c>
      <c r="E366" t="s">
        <v>37</v>
      </c>
      <c r="F366" t="s">
        <v>119</v>
      </c>
      <c r="G366" t="s">
        <v>24</v>
      </c>
      <c r="H366">
        <v>134</v>
      </c>
      <c r="I366">
        <v>142</v>
      </c>
      <c r="J366">
        <v>9</v>
      </c>
      <c r="K366">
        <v>4.0999999999999996</v>
      </c>
      <c r="L366">
        <v>15306.83</v>
      </c>
      <c r="M366">
        <v>3.06</v>
      </c>
      <c r="N366">
        <v>79.56</v>
      </c>
      <c r="O366">
        <v>153</v>
      </c>
      <c r="P366" s="2">
        <v>46036</v>
      </c>
      <c r="Q366" s="2">
        <v>46034</v>
      </c>
      <c r="R366" t="s">
        <v>25</v>
      </c>
      <c r="S366" t="s">
        <v>33</v>
      </c>
    </row>
    <row r="367" spans="1:19" x14ac:dyDescent="0.25">
      <c r="A367" t="s">
        <v>457</v>
      </c>
      <c r="B367" s="2">
        <v>46143</v>
      </c>
      <c r="C367" t="s">
        <v>80</v>
      </c>
      <c r="D367" t="s">
        <v>21</v>
      </c>
      <c r="E367" t="s">
        <v>22</v>
      </c>
      <c r="F367" t="s">
        <v>71</v>
      </c>
      <c r="G367" t="s">
        <v>32</v>
      </c>
      <c r="H367">
        <v>259</v>
      </c>
      <c r="I367">
        <v>258</v>
      </c>
      <c r="J367">
        <v>1</v>
      </c>
      <c r="K367">
        <v>5.7</v>
      </c>
      <c r="L367">
        <v>85601.66</v>
      </c>
      <c r="M367">
        <v>5.25</v>
      </c>
      <c r="N367">
        <v>136.5</v>
      </c>
      <c r="O367">
        <v>262</v>
      </c>
      <c r="P367" s="2">
        <v>46154</v>
      </c>
      <c r="Q367" s="2">
        <v>46153</v>
      </c>
      <c r="R367" t="s">
        <v>25</v>
      </c>
      <c r="S367" t="s">
        <v>26</v>
      </c>
    </row>
    <row r="368" spans="1:19" x14ac:dyDescent="0.25">
      <c r="A368" t="s">
        <v>458</v>
      </c>
      <c r="B368" s="2">
        <v>46180</v>
      </c>
      <c r="C368" t="s">
        <v>28</v>
      </c>
      <c r="D368" t="s">
        <v>29</v>
      </c>
      <c r="E368" t="s">
        <v>63</v>
      </c>
      <c r="G368" t="s">
        <v>57</v>
      </c>
      <c r="H368">
        <v>285</v>
      </c>
      <c r="I368">
        <v>230</v>
      </c>
      <c r="J368">
        <v>8</v>
      </c>
      <c r="K368">
        <v>7.5</v>
      </c>
      <c r="L368">
        <v>55584.06</v>
      </c>
      <c r="M368">
        <v>4.8099999999999996</v>
      </c>
      <c r="N368">
        <v>125.06</v>
      </c>
      <c r="O368">
        <v>384</v>
      </c>
      <c r="P368" s="2">
        <v>46184</v>
      </c>
      <c r="Q368" s="2">
        <v>46185</v>
      </c>
      <c r="R368" t="s">
        <v>25</v>
      </c>
      <c r="S368" t="s">
        <v>26</v>
      </c>
    </row>
    <row r="369" spans="1:19" x14ac:dyDescent="0.25">
      <c r="A369" t="s">
        <v>459</v>
      </c>
      <c r="B369" s="2">
        <v>46067</v>
      </c>
      <c r="C369" t="s">
        <v>48</v>
      </c>
      <c r="D369" t="s">
        <v>49</v>
      </c>
      <c r="E369" t="s">
        <v>50</v>
      </c>
      <c r="F369" t="s">
        <v>46</v>
      </c>
      <c r="G369" t="s">
        <v>57</v>
      </c>
      <c r="H369">
        <v>110</v>
      </c>
      <c r="I369">
        <v>92</v>
      </c>
      <c r="J369">
        <v>6</v>
      </c>
      <c r="K369">
        <v>1.5</v>
      </c>
      <c r="L369">
        <v>15967.49</v>
      </c>
      <c r="M369">
        <v>2.19</v>
      </c>
      <c r="N369">
        <v>56.94</v>
      </c>
      <c r="O369">
        <v>80</v>
      </c>
      <c r="P369" s="2">
        <v>46071</v>
      </c>
      <c r="Q369" s="2">
        <v>46070</v>
      </c>
      <c r="R369" t="s">
        <v>39</v>
      </c>
      <c r="S369" t="s">
        <v>33</v>
      </c>
    </row>
    <row r="370" spans="1:19" x14ac:dyDescent="0.25">
      <c r="A370" t="s">
        <v>460</v>
      </c>
      <c r="B370" s="2">
        <v>46147</v>
      </c>
      <c r="C370" t="s">
        <v>20</v>
      </c>
      <c r="D370" t="s">
        <v>21</v>
      </c>
      <c r="E370" t="s">
        <v>22</v>
      </c>
      <c r="F370" t="s">
        <v>85</v>
      </c>
      <c r="G370" t="s">
        <v>32</v>
      </c>
      <c r="H370">
        <v>81</v>
      </c>
      <c r="I370">
        <v>64</v>
      </c>
      <c r="J370">
        <v>0</v>
      </c>
      <c r="K370">
        <v>5.9</v>
      </c>
      <c r="L370">
        <v>23083.75</v>
      </c>
      <c r="M370">
        <v>2.39</v>
      </c>
      <c r="N370">
        <v>57.36</v>
      </c>
      <c r="O370">
        <v>82</v>
      </c>
      <c r="P370" s="2">
        <v>46152</v>
      </c>
      <c r="Q370" s="2">
        <v>46152</v>
      </c>
      <c r="R370" t="s">
        <v>25</v>
      </c>
      <c r="S370" t="s">
        <v>72</v>
      </c>
    </row>
    <row r="371" spans="1:19" x14ac:dyDescent="0.25">
      <c r="A371" t="s">
        <v>461</v>
      </c>
      <c r="B371" s="2">
        <v>46084</v>
      </c>
      <c r="C371" t="s">
        <v>43</v>
      </c>
      <c r="D371" t="s">
        <v>44</v>
      </c>
      <c r="E371" t="s">
        <v>45</v>
      </c>
      <c r="G371" t="s">
        <v>24</v>
      </c>
      <c r="H371">
        <v>257</v>
      </c>
      <c r="I371">
        <v>189</v>
      </c>
      <c r="J371">
        <v>4</v>
      </c>
      <c r="K371">
        <v>4.5</v>
      </c>
      <c r="L371">
        <v>26680.6</v>
      </c>
      <c r="M371">
        <v>6.95</v>
      </c>
      <c r="N371">
        <v>152.9</v>
      </c>
      <c r="O371">
        <v>324</v>
      </c>
      <c r="P371" s="2">
        <v>46086</v>
      </c>
      <c r="Q371" s="2">
        <v>46086</v>
      </c>
      <c r="R371" t="s">
        <v>25</v>
      </c>
      <c r="S371" t="s">
        <v>33</v>
      </c>
    </row>
    <row r="372" spans="1:19" x14ac:dyDescent="0.25">
      <c r="A372" t="s">
        <v>462</v>
      </c>
      <c r="B372" s="2">
        <v>46181</v>
      </c>
      <c r="C372" t="s">
        <v>48</v>
      </c>
      <c r="D372" t="s">
        <v>49</v>
      </c>
      <c r="E372" t="s">
        <v>60</v>
      </c>
      <c r="F372" t="s">
        <v>64</v>
      </c>
      <c r="G372" t="s">
        <v>24</v>
      </c>
      <c r="H372">
        <v>209</v>
      </c>
      <c r="I372">
        <v>170</v>
      </c>
      <c r="J372">
        <v>12</v>
      </c>
      <c r="K372">
        <v>5.9</v>
      </c>
      <c r="L372">
        <v>28703.55</v>
      </c>
      <c r="M372">
        <v>6.31</v>
      </c>
      <c r="N372">
        <v>151.44</v>
      </c>
      <c r="O372">
        <v>296</v>
      </c>
      <c r="P372" s="2">
        <v>46185</v>
      </c>
      <c r="Q372" s="2">
        <v>46185</v>
      </c>
      <c r="R372" t="s">
        <v>25</v>
      </c>
      <c r="S372" t="s">
        <v>86</v>
      </c>
    </row>
    <row r="373" spans="1:19" x14ac:dyDescent="0.25">
      <c r="A373" t="s">
        <v>463</v>
      </c>
      <c r="B373" s="2">
        <v>46095</v>
      </c>
      <c r="C373" t="s">
        <v>28</v>
      </c>
      <c r="D373" t="s">
        <v>29</v>
      </c>
      <c r="E373" t="s">
        <v>95</v>
      </c>
      <c r="F373" t="s">
        <v>71</v>
      </c>
      <c r="G373" t="s">
        <v>57</v>
      </c>
      <c r="H373">
        <v>144</v>
      </c>
      <c r="I373">
        <v>124</v>
      </c>
      <c r="J373">
        <v>9</v>
      </c>
      <c r="K373">
        <v>6.8</v>
      </c>
      <c r="L373">
        <v>25210.61</v>
      </c>
      <c r="M373">
        <v>4.9800000000000004</v>
      </c>
      <c r="N373">
        <v>99.6</v>
      </c>
      <c r="O373">
        <v>144</v>
      </c>
      <c r="P373" s="2">
        <v>46097</v>
      </c>
      <c r="Q373" s="2">
        <v>46101</v>
      </c>
      <c r="R373" t="s">
        <v>39</v>
      </c>
      <c r="S373" t="s">
        <v>51</v>
      </c>
    </row>
    <row r="374" spans="1:19" x14ac:dyDescent="0.25">
      <c r="A374" t="s">
        <v>464</v>
      </c>
      <c r="B374" s="2">
        <v>46136</v>
      </c>
      <c r="C374" t="s">
        <v>48</v>
      </c>
      <c r="D374" t="s">
        <v>49</v>
      </c>
      <c r="E374" t="s">
        <v>76</v>
      </c>
      <c r="F374" t="s">
        <v>119</v>
      </c>
      <c r="G374" t="s">
        <v>24</v>
      </c>
      <c r="H374">
        <v>130</v>
      </c>
      <c r="I374">
        <v>135</v>
      </c>
      <c r="J374">
        <v>11</v>
      </c>
      <c r="K374">
        <v>2.1</v>
      </c>
      <c r="L374">
        <v>21521.66</v>
      </c>
      <c r="M374">
        <v>3.2</v>
      </c>
      <c r="N374">
        <v>76.8</v>
      </c>
      <c r="O374">
        <v>141</v>
      </c>
      <c r="P374" s="2">
        <v>46144</v>
      </c>
      <c r="Q374" s="2">
        <v>46144</v>
      </c>
      <c r="R374" t="s">
        <v>25</v>
      </c>
      <c r="S374" t="s">
        <v>72</v>
      </c>
    </row>
    <row r="375" spans="1:19" x14ac:dyDescent="0.25">
      <c r="A375" t="s">
        <v>465</v>
      </c>
      <c r="B375" s="2">
        <v>46036</v>
      </c>
      <c r="C375" t="s">
        <v>35</v>
      </c>
      <c r="D375" t="s">
        <v>36</v>
      </c>
      <c r="E375" t="s">
        <v>37</v>
      </c>
      <c r="F375" t="s">
        <v>106</v>
      </c>
      <c r="G375" t="s">
        <v>24</v>
      </c>
      <c r="H375">
        <v>135</v>
      </c>
      <c r="I375">
        <v>151</v>
      </c>
      <c r="J375">
        <v>6</v>
      </c>
      <c r="K375">
        <v>3.5</v>
      </c>
      <c r="L375">
        <v>12794.57</v>
      </c>
      <c r="M375">
        <v>5.01</v>
      </c>
      <c r="N375">
        <v>110.22</v>
      </c>
      <c r="O375">
        <v>146</v>
      </c>
      <c r="P375" s="2">
        <v>46043</v>
      </c>
      <c r="Q375" s="2">
        <v>46043</v>
      </c>
      <c r="R375" t="s">
        <v>25</v>
      </c>
      <c r="S375" t="s">
        <v>33</v>
      </c>
    </row>
    <row r="376" spans="1:19" x14ac:dyDescent="0.25">
      <c r="A376" t="s">
        <v>466</v>
      </c>
      <c r="B376" s="2">
        <v>46094</v>
      </c>
      <c r="C376" t="s">
        <v>43</v>
      </c>
      <c r="D376" t="s">
        <v>44</v>
      </c>
      <c r="E376" t="s">
        <v>93</v>
      </c>
      <c r="F376" t="s">
        <v>77</v>
      </c>
      <c r="G376" t="s">
        <v>24</v>
      </c>
      <c r="H376">
        <v>298</v>
      </c>
      <c r="I376">
        <v>274</v>
      </c>
      <c r="J376">
        <v>11</v>
      </c>
      <c r="K376">
        <v>6.8</v>
      </c>
      <c r="L376">
        <v>27354.75</v>
      </c>
      <c r="M376">
        <v>5.96</v>
      </c>
      <c r="N376">
        <v>154.96</v>
      </c>
      <c r="O376">
        <v>301</v>
      </c>
      <c r="P376" s="2">
        <v>46105</v>
      </c>
      <c r="Q376" s="2">
        <v>46105</v>
      </c>
      <c r="R376" t="s">
        <v>25</v>
      </c>
    </row>
    <row r="377" spans="1:19" x14ac:dyDescent="0.25">
      <c r="A377" t="s">
        <v>467</v>
      </c>
      <c r="B377" s="2">
        <v>46078</v>
      </c>
      <c r="C377" t="s">
        <v>53</v>
      </c>
      <c r="D377" t="s">
        <v>54</v>
      </c>
      <c r="E377" t="s">
        <v>131</v>
      </c>
      <c r="F377" t="s">
        <v>64</v>
      </c>
      <c r="G377" t="s">
        <v>57</v>
      </c>
      <c r="H377">
        <v>151</v>
      </c>
      <c r="I377">
        <v>109</v>
      </c>
      <c r="J377">
        <v>4</v>
      </c>
      <c r="K377">
        <v>7.9</v>
      </c>
      <c r="L377">
        <v>13910.37</v>
      </c>
      <c r="M377">
        <v>2.54</v>
      </c>
      <c r="N377">
        <v>66.040000000000006</v>
      </c>
      <c r="O377">
        <v>149</v>
      </c>
      <c r="P377" s="2">
        <v>46089</v>
      </c>
      <c r="Q377" s="2">
        <v>46087</v>
      </c>
      <c r="R377" t="s">
        <v>100</v>
      </c>
      <c r="S377" t="s">
        <v>72</v>
      </c>
    </row>
    <row r="378" spans="1:19" x14ac:dyDescent="0.25">
      <c r="A378" t="s">
        <v>468</v>
      </c>
      <c r="B378" s="2">
        <v>46152</v>
      </c>
      <c r="C378" t="s">
        <v>80</v>
      </c>
      <c r="D378" t="s">
        <v>21</v>
      </c>
      <c r="E378" t="s">
        <v>90</v>
      </c>
      <c r="F378" t="s">
        <v>125</v>
      </c>
      <c r="G378" t="s">
        <v>57</v>
      </c>
      <c r="H378">
        <v>215</v>
      </c>
      <c r="I378">
        <v>191</v>
      </c>
      <c r="J378">
        <v>14</v>
      </c>
      <c r="K378">
        <v>6.3</v>
      </c>
      <c r="L378">
        <v>43512.7</v>
      </c>
      <c r="M378">
        <v>3.82</v>
      </c>
      <c r="N378">
        <v>68.760000000000005</v>
      </c>
      <c r="O378">
        <v>279</v>
      </c>
      <c r="P378" s="2">
        <v>46157</v>
      </c>
      <c r="Q378" s="2">
        <v>46157</v>
      </c>
      <c r="R378" t="s">
        <v>25</v>
      </c>
      <c r="S378" t="s">
        <v>33</v>
      </c>
    </row>
    <row r="379" spans="1:19" x14ac:dyDescent="0.25">
      <c r="A379" t="s">
        <v>469</v>
      </c>
      <c r="B379" s="2">
        <v>46027</v>
      </c>
      <c r="C379" t="s">
        <v>53</v>
      </c>
      <c r="D379" t="s">
        <v>54</v>
      </c>
      <c r="E379" t="s">
        <v>131</v>
      </c>
      <c r="F379" t="s">
        <v>56</v>
      </c>
      <c r="G379" t="s">
        <v>24</v>
      </c>
      <c r="H379">
        <v>121</v>
      </c>
      <c r="I379">
        <v>123</v>
      </c>
      <c r="J379">
        <v>10</v>
      </c>
      <c r="K379">
        <v>6.7</v>
      </c>
      <c r="L379">
        <v>14388.74</v>
      </c>
      <c r="M379">
        <v>4.49</v>
      </c>
      <c r="N379">
        <v>107.76</v>
      </c>
      <c r="O379">
        <v>128</v>
      </c>
      <c r="P379" s="2">
        <v>46034</v>
      </c>
      <c r="Q379" s="2">
        <v>46038</v>
      </c>
      <c r="R379" t="s">
        <v>25</v>
      </c>
      <c r="S379" t="s">
        <v>33</v>
      </c>
    </row>
    <row r="380" spans="1:19" x14ac:dyDescent="0.25">
      <c r="A380" t="s">
        <v>470</v>
      </c>
      <c r="B380" s="2">
        <v>46121</v>
      </c>
      <c r="C380" t="s">
        <v>48</v>
      </c>
      <c r="D380" t="s">
        <v>49</v>
      </c>
      <c r="E380" t="s">
        <v>60</v>
      </c>
      <c r="F380" t="s">
        <v>71</v>
      </c>
      <c r="G380" t="s">
        <v>32</v>
      </c>
      <c r="H380">
        <v>88</v>
      </c>
      <c r="I380">
        <v>74</v>
      </c>
      <c r="J380">
        <v>5</v>
      </c>
      <c r="K380">
        <v>6.3</v>
      </c>
      <c r="L380">
        <v>15711.52</v>
      </c>
      <c r="M380">
        <v>1.7</v>
      </c>
      <c r="N380">
        <v>30.6</v>
      </c>
      <c r="O380">
        <v>135</v>
      </c>
      <c r="P380" s="2">
        <v>46123</v>
      </c>
      <c r="Q380" s="2">
        <v>46124</v>
      </c>
      <c r="R380" t="s">
        <v>25</v>
      </c>
      <c r="S380" t="s">
        <v>86</v>
      </c>
    </row>
    <row r="381" spans="1:19" x14ac:dyDescent="0.25">
      <c r="A381" t="s">
        <v>471</v>
      </c>
      <c r="B381" s="2">
        <v>46142</v>
      </c>
      <c r="C381" t="s">
        <v>80</v>
      </c>
      <c r="D381" t="s">
        <v>21</v>
      </c>
      <c r="E381" t="s">
        <v>90</v>
      </c>
      <c r="F381" t="s">
        <v>56</v>
      </c>
      <c r="G381" t="s">
        <v>24</v>
      </c>
      <c r="H381">
        <v>173</v>
      </c>
      <c r="I381">
        <v>137</v>
      </c>
      <c r="J381">
        <v>7</v>
      </c>
      <c r="K381">
        <v>0.6</v>
      </c>
      <c r="L381">
        <v>36185.33</v>
      </c>
      <c r="M381">
        <v>5.69</v>
      </c>
      <c r="N381">
        <v>113.8</v>
      </c>
      <c r="O381">
        <v>271</v>
      </c>
      <c r="P381" s="2">
        <v>46145</v>
      </c>
      <c r="Q381" s="2">
        <v>46149</v>
      </c>
      <c r="R381" t="s">
        <v>39</v>
      </c>
      <c r="S381" t="s">
        <v>51</v>
      </c>
    </row>
    <row r="382" spans="1:19" x14ac:dyDescent="0.25">
      <c r="A382" t="s">
        <v>472</v>
      </c>
      <c r="B382" s="2">
        <v>46080</v>
      </c>
      <c r="C382" t="s">
        <v>48</v>
      </c>
      <c r="D382" t="s">
        <v>49</v>
      </c>
      <c r="E382" t="s">
        <v>76</v>
      </c>
      <c r="F382" t="s">
        <v>104</v>
      </c>
      <c r="G382" t="s">
        <v>32</v>
      </c>
      <c r="H382">
        <v>309</v>
      </c>
      <c r="I382">
        <v>258</v>
      </c>
      <c r="J382">
        <v>17</v>
      </c>
      <c r="K382">
        <v>2.5</v>
      </c>
      <c r="L382">
        <v>41692.370000000003</v>
      </c>
      <c r="M382">
        <v>7.65</v>
      </c>
      <c r="N382">
        <v>198.9</v>
      </c>
      <c r="O382">
        <v>300</v>
      </c>
      <c r="P382" s="2">
        <v>46089</v>
      </c>
      <c r="Q382" s="2">
        <v>46089</v>
      </c>
      <c r="R382" t="s">
        <v>100</v>
      </c>
      <c r="S382" t="s">
        <v>33</v>
      </c>
    </row>
    <row r="383" spans="1:19" x14ac:dyDescent="0.25">
      <c r="A383" t="s">
        <v>473</v>
      </c>
      <c r="B383" s="2">
        <v>46071</v>
      </c>
      <c r="C383" t="s">
        <v>53</v>
      </c>
      <c r="D383" t="s">
        <v>54</v>
      </c>
      <c r="E383" t="s">
        <v>55</v>
      </c>
      <c r="F383" t="s">
        <v>110</v>
      </c>
      <c r="G383" t="s">
        <v>57</v>
      </c>
      <c r="H383">
        <v>100</v>
      </c>
      <c r="I383">
        <v>88</v>
      </c>
      <c r="J383">
        <v>1</v>
      </c>
      <c r="K383">
        <v>8.6</v>
      </c>
      <c r="L383">
        <v>9701.6</v>
      </c>
      <c r="M383">
        <v>1.82</v>
      </c>
      <c r="N383">
        <v>36.4</v>
      </c>
      <c r="O383">
        <v>187</v>
      </c>
      <c r="P383" s="2">
        <v>46075</v>
      </c>
      <c r="Q383" s="2">
        <v>46075</v>
      </c>
      <c r="R383" t="s">
        <v>39</v>
      </c>
      <c r="S383" t="s">
        <v>86</v>
      </c>
    </row>
    <row r="384" spans="1:19" x14ac:dyDescent="0.25">
      <c r="A384" t="s">
        <v>474</v>
      </c>
      <c r="B384" s="2">
        <v>46129</v>
      </c>
      <c r="C384" t="s">
        <v>43</v>
      </c>
      <c r="D384" t="s">
        <v>44</v>
      </c>
      <c r="E384" t="s">
        <v>161</v>
      </c>
      <c r="F384" t="s">
        <v>119</v>
      </c>
      <c r="G384" t="s">
        <v>24</v>
      </c>
      <c r="H384">
        <v>168</v>
      </c>
      <c r="I384">
        <v>151</v>
      </c>
      <c r="J384">
        <v>10</v>
      </c>
      <c r="K384">
        <v>0.2</v>
      </c>
      <c r="L384">
        <v>13737.34</v>
      </c>
      <c r="M384">
        <v>5.62</v>
      </c>
      <c r="N384">
        <v>146.12</v>
      </c>
      <c r="O384">
        <v>213</v>
      </c>
      <c r="P384" s="2">
        <v>46137</v>
      </c>
      <c r="Q384" s="2">
        <v>46138</v>
      </c>
      <c r="R384" t="s">
        <v>25</v>
      </c>
      <c r="S384" t="s">
        <v>26</v>
      </c>
    </row>
    <row r="385" spans="1:19" x14ac:dyDescent="0.25">
      <c r="A385" t="s">
        <v>475</v>
      </c>
      <c r="B385" s="2">
        <v>46163</v>
      </c>
      <c r="C385" t="s">
        <v>53</v>
      </c>
      <c r="D385" t="s">
        <v>54</v>
      </c>
      <c r="E385" t="s">
        <v>131</v>
      </c>
      <c r="F385" t="s">
        <v>74</v>
      </c>
      <c r="G385" t="s">
        <v>57</v>
      </c>
      <c r="H385">
        <v>157</v>
      </c>
      <c r="I385">
        <v>151</v>
      </c>
      <c r="J385">
        <v>12</v>
      </c>
      <c r="K385">
        <v>2.8</v>
      </c>
      <c r="L385">
        <v>22078.41</v>
      </c>
      <c r="M385">
        <v>4.07</v>
      </c>
      <c r="N385">
        <v>89.54</v>
      </c>
      <c r="O385">
        <v>129</v>
      </c>
      <c r="P385" s="2">
        <v>46167</v>
      </c>
      <c r="Q385" s="2">
        <v>46168</v>
      </c>
      <c r="R385" t="s">
        <v>25</v>
      </c>
      <c r="S385" t="s">
        <v>26</v>
      </c>
    </row>
    <row r="386" spans="1:19" x14ac:dyDescent="0.25">
      <c r="A386" t="s">
        <v>476</v>
      </c>
      <c r="B386" s="2">
        <v>46064</v>
      </c>
      <c r="C386" t="s">
        <v>59</v>
      </c>
      <c r="D386" t="s">
        <v>49</v>
      </c>
      <c r="E386" t="s">
        <v>50</v>
      </c>
      <c r="F386" t="s">
        <v>244</v>
      </c>
      <c r="G386" t="s">
        <v>57</v>
      </c>
      <c r="H386">
        <v>124</v>
      </c>
      <c r="I386">
        <v>134</v>
      </c>
      <c r="J386">
        <v>9</v>
      </c>
      <c r="K386">
        <v>6</v>
      </c>
      <c r="L386">
        <v>19043.66</v>
      </c>
      <c r="M386">
        <v>2.54</v>
      </c>
      <c r="N386">
        <v>55.88</v>
      </c>
      <c r="O386">
        <v>116</v>
      </c>
      <c r="P386" s="2">
        <v>46073</v>
      </c>
      <c r="Q386" s="2">
        <v>46073</v>
      </c>
      <c r="R386" t="s">
        <v>25</v>
      </c>
      <c r="S386" t="s">
        <v>26</v>
      </c>
    </row>
    <row r="387" spans="1:19" x14ac:dyDescent="0.25">
      <c r="A387" t="s">
        <v>477</v>
      </c>
      <c r="B387" s="2">
        <v>46031</v>
      </c>
      <c r="C387" t="s">
        <v>48</v>
      </c>
      <c r="D387" t="s">
        <v>49</v>
      </c>
      <c r="E387" t="s">
        <v>76</v>
      </c>
      <c r="F387" t="s">
        <v>135</v>
      </c>
      <c r="G387" t="s">
        <v>24</v>
      </c>
      <c r="H387">
        <v>117</v>
      </c>
      <c r="I387">
        <v>103</v>
      </c>
      <c r="J387">
        <v>5</v>
      </c>
      <c r="K387">
        <v>1.5</v>
      </c>
      <c r="L387">
        <v>21284.06</v>
      </c>
      <c r="M387">
        <v>2.85</v>
      </c>
      <c r="N387">
        <v>68.400000000000006</v>
      </c>
      <c r="O387">
        <v>114</v>
      </c>
      <c r="P387" s="2">
        <v>46040</v>
      </c>
      <c r="Q387" s="2">
        <v>46041</v>
      </c>
      <c r="R387" t="s">
        <v>25</v>
      </c>
      <c r="S387" t="s">
        <v>26</v>
      </c>
    </row>
    <row r="388" spans="1:19" x14ac:dyDescent="0.25">
      <c r="A388" t="s">
        <v>478</v>
      </c>
      <c r="B388" s="2">
        <v>46152</v>
      </c>
      <c r="C388" t="s">
        <v>48</v>
      </c>
      <c r="D388" t="s">
        <v>49</v>
      </c>
      <c r="E388" t="s">
        <v>60</v>
      </c>
      <c r="F388" t="s">
        <v>38</v>
      </c>
      <c r="G388" t="s">
        <v>57</v>
      </c>
      <c r="H388">
        <v>260</v>
      </c>
      <c r="I388">
        <v>220</v>
      </c>
      <c r="J388">
        <v>18</v>
      </c>
      <c r="K388">
        <v>8.6999999999999993</v>
      </c>
      <c r="L388">
        <v>54385.09</v>
      </c>
      <c r="M388">
        <v>7.48</v>
      </c>
      <c r="N388">
        <v>194.48</v>
      </c>
      <c r="O388">
        <v>333</v>
      </c>
      <c r="P388" s="2">
        <v>46159</v>
      </c>
      <c r="Q388" s="2">
        <v>46158</v>
      </c>
      <c r="R388" t="s">
        <v>100</v>
      </c>
      <c r="S388" t="s">
        <v>51</v>
      </c>
    </row>
    <row r="389" spans="1:19" x14ac:dyDescent="0.25">
      <c r="A389" t="s">
        <v>479</v>
      </c>
      <c r="B389" s="2">
        <v>46196</v>
      </c>
      <c r="C389" t="s">
        <v>20</v>
      </c>
      <c r="D389" t="s">
        <v>21</v>
      </c>
      <c r="E389" t="s">
        <v>90</v>
      </c>
      <c r="F389" t="s">
        <v>135</v>
      </c>
      <c r="G389" t="s">
        <v>57</v>
      </c>
      <c r="H389">
        <v>86</v>
      </c>
      <c r="I389">
        <v>76</v>
      </c>
      <c r="J389">
        <v>6</v>
      </c>
      <c r="K389">
        <v>4</v>
      </c>
      <c r="L389">
        <v>18499.93</v>
      </c>
      <c r="M389">
        <v>2.54</v>
      </c>
      <c r="N389">
        <v>66.040000000000006</v>
      </c>
      <c r="O389">
        <v>184</v>
      </c>
      <c r="P389" s="2">
        <v>46201</v>
      </c>
      <c r="Q389" s="2">
        <v>46201</v>
      </c>
      <c r="R389" t="s">
        <v>25</v>
      </c>
      <c r="S389" t="s">
        <v>26</v>
      </c>
    </row>
    <row r="390" spans="1:19" x14ac:dyDescent="0.25">
      <c r="A390" t="s">
        <v>480</v>
      </c>
      <c r="B390" s="2">
        <v>46137</v>
      </c>
      <c r="C390" t="s">
        <v>20</v>
      </c>
      <c r="D390" t="s">
        <v>21</v>
      </c>
      <c r="E390" t="s">
        <v>66</v>
      </c>
      <c r="F390" t="s">
        <v>135</v>
      </c>
      <c r="G390" t="s">
        <v>32</v>
      </c>
      <c r="H390">
        <v>180</v>
      </c>
      <c r="I390">
        <v>144</v>
      </c>
      <c r="J390">
        <v>4</v>
      </c>
      <c r="K390">
        <v>5.4</v>
      </c>
      <c r="L390">
        <v>59991.77</v>
      </c>
      <c r="M390">
        <v>3.84</v>
      </c>
      <c r="N390">
        <v>76.8</v>
      </c>
      <c r="O390">
        <v>249</v>
      </c>
      <c r="P390" s="2">
        <v>46144</v>
      </c>
      <c r="Q390" s="2">
        <v>46146</v>
      </c>
      <c r="R390" t="s">
        <v>25</v>
      </c>
      <c r="S390" t="s">
        <v>86</v>
      </c>
    </row>
    <row r="391" spans="1:19" x14ac:dyDescent="0.25">
      <c r="A391" t="s">
        <v>481</v>
      </c>
      <c r="B391" s="2">
        <v>46112</v>
      </c>
      <c r="C391" t="s">
        <v>59</v>
      </c>
      <c r="D391" t="s">
        <v>49</v>
      </c>
      <c r="E391" t="s">
        <v>76</v>
      </c>
      <c r="F391" t="s">
        <v>104</v>
      </c>
      <c r="G391" t="s">
        <v>57</v>
      </c>
      <c r="H391">
        <v>303</v>
      </c>
      <c r="I391">
        <v>291</v>
      </c>
      <c r="J391">
        <v>7</v>
      </c>
      <c r="K391">
        <v>8</v>
      </c>
      <c r="L391">
        <v>53986.42</v>
      </c>
      <c r="M391">
        <v>8.33</v>
      </c>
      <c r="N391">
        <v>166.6</v>
      </c>
      <c r="O391">
        <v>371</v>
      </c>
      <c r="P391" s="2">
        <v>46120</v>
      </c>
      <c r="Q391" s="2">
        <v>46120</v>
      </c>
      <c r="R391" t="s">
        <v>39</v>
      </c>
      <c r="S391" t="s">
        <v>51</v>
      </c>
    </row>
    <row r="392" spans="1:19" x14ac:dyDescent="0.25">
      <c r="A392" t="s">
        <v>482</v>
      </c>
      <c r="B392" s="2">
        <v>46076</v>
      </c>
      <c r="C392" t="s">
        <v>59</v>
      </c>
      <c r="D392" t="s">
        <v>49</v>
      </c>
      <c r="E392" t="s">
        <v>76</v>
      </c>
      <c r="F392" t="s">
        <v>197</v>
      </c>
      <c r="G392" t="s">
        <v>57</v>
      </c>
      <c r="H392">
        <v>302</v>
      </c>
      <c r="I392">
        <v>285</v>
      </c>
      <c r="J392">
        <v>10</v>
      </c>
      <c r="K392">
        <v>8.4</v>
      </c>
      <c r="L392">
        <v>49683.57</v>
      </c>
      <c r="M392">
        <v>5.18</v>
      </c>
      <c r="N392">
        <v>113.96</v>
      </c>
      <c r="O392">
        <v>368</v>
      </c>
      <c r="P392" s="2">
        <v>46080</v>
      </c>
      <c r="Q392" s="2">
        <v>46084</v>
      </c>
      <c r="R392" t="s">
        <v>39</v>
      </c>
      <c r="S392" t="s">
        <v>51</v>
      </c>
    </row>
    <row r="393" spans="1:19" x14ac:dyDescent="0.25">
      <c r="A393" t="s">
        <v>483</v>
      </c>
      <c r="B393" s="2">
        <v>46070</v>
      </c>
      <c r="C393" t="s">
        <v>35</v>
      </c>
      <c r="D393" t="s">
        <v>36</v>
      </c>
      <c r="E393" t="s">
        <v>69</v>
      </c>
      <c r="F393" t="s">
        <v>125</v>
      </c>
      <c r="G393" t="s">
        <v>24</v>
      </c>
      <c r="H393">
        <v>221</v>
      </c>
      <c r="I393">
        <v>205</v>
      </c>
      <c r="J393">
        <v>16</v>
      </c>
      <c r="K393">
        <v>2.7</v>
      </c>
      <c r="L393">
        <v>19423.650000000001</v>
      </c>
      <c r="M393">
        <v>7.33</v>
      </c>
      <c r="N393">
        <v>146.6</v>
      </c>
      <c r="O393">
        <v>187</v>
      </c>
      <c r="P393" s="2">
        <v>46072</v>
      </c>
      <c r="Q393" s="2">
        <v>46072</v>
      </c>
      <c r="R393" t="s">
        <v>25</v>
      </c>
      <c r="S393" t="s">
        <v>72</v>
      </c>
    </row>
    <row r="394" spans="1:19" x14ac:dyDescent="0.25">
      <c r="A394" t="s">
        <v>484</v>
      </c>
      <c r="B394" s="2">
        <v>46054</v>
      </c>
      <c r="C394" t="s">
        <v>59</v>
      </c>
      <c r="D394" t="s">
        <v>49</v>
      </c>
      <c r="E394" t="s">
        <v>76</v>
      </c>
      <c r="F394" t="s">
        <v>77</v>
      </c>
      <c r="G394" t="s">
        <v>32</v>
      </c>
      <c r="H394">
        <v>125</v>
      </c>
      <c r="I394">
        <v>116</v>
      </c>
      <c r="J394">
        <v>7</v>
      </c>
      <c r="K394">
        <v>2.2000000000000002</v>
      </c>
      <c r="L394">
        <v>16438.11</v>
      </c>
      <c r="M394">
        <v>4.8600000000000003</v>
      </c>
      <c r="N394">
        <v>87.48</v>
      </c>
      <c r="O394">
        <v>177</v>
      </c>
      <c r="P394" s="2">
        <v>46065</v>
      </c>
      <c r="Q394" s="2">
        <v>46069</v>
      </c>
      <c r="R394" t="s">
        <v>39</v>
      </c>
      <c r="S394" t="s">
        <v>72</v>
      </c>
    </row>
    <row r="395" spans="1:19" x14ac:dyDescent="0.25">
      <c r="A395" t="s">
        <v>485</v>
      </c>
      <c r="B395" s="2">
        <v>46200</v>
      </c>
      <c r="C395" t="s">
        <v>20</v>
      </c>
      <c r="D395" t="s">
        <v>21</v>
      </c>
      <c r="E395" t="s">
        <v>90</v>
      </c>
      <c r="F395" t="s">
        <v>91</v>
      </c>
      <c r="G395" t="s">
        <v>32</v>
      </c>
      <c r="H395">
        <v>211</v>
      </c>
      <c r="I395">
        <v>218</v>
      </c>
      <c r="J395">
        <v>1</v>
      </c>
      <c r="K395">
        <v>2.2999999999999998</v>
      </c>
      <c r="L395">
        <v>65789.78</v>
      </c>
      <c r="M395">
        <v>6.34</v>
      </c>
      <c r="N395">
        <v>126.8</v>
      </c>
      <c r="O395">
        <v>262</v>
      </c>
      <c r="P395" s="2">
        <v>46204</v>
      </c>
      <c r="Q395" s="2">
        <v>46202</v>
      </c>
      <c r="R395" t="s">
        <v>25</v>
      </c>
      <c r="S395" t="s">
        <v>86</v>
      </c>
    </row>
    <row r="396" spans="1:19" x14ac:dyDescent="0.25">
      <c r="A396" t="s">
        <v>486</v>
      </c>
      <c r="B396" s="2">
        <v>46035</v>
      </c>
      <c r="C396" t="s">
        <v>59</v>
      </c>
      <c r="D396" t="s">
        <v>49</v>
      </c>
      <c r="E396" t="s">
        <v>76</v>
      </c>
      <c r="F396" t="s">
        <v>122</v>
      </c>
      <c r="G396" t="s">
        <v>24</v>
      </c>
      <c r="H396">
        <v>215</v>
      </c>
      <c r="I396">
        <v>213</v>
      </c>
      <c r="J396">
        <v>2</v>
      </c>
      <c r="K396">
        <v>1.7</v>
      </c>
      <c r="L396">
        <v>41666.67</v>
      </c>
      <c r="M396">
        <v>6.89</v>
      </c>
      <c r="N396">
        <v>137.80000000000001</v>
      </c>
      <c r="O396">
        <v>314</v>
      </c>
      <c r="P396" s="2">
        <v>46042</v>
      </c>
      <c r="Q396" s="2">
        <v>46043</v>
      </c>
      <c r="R396" t="s">
        <v>25</v>
      </c>
      <c r="S396" t="s">
        <v>86</v>
      </c>
    </row>
    <row r="397" spans="1:19" x14ac:dyDescent="0.25">
      <c r="A397" t="s">
        <v>487</v>
      </c>
      <c r="B397" s="2">
        <v>46047</v>
      </c>
      <c r="C397" t="s">
        <v>48</v>
      </c>
      <c r="D397" t="s">
        <v>49</v>
      </c>
      <c r="E397" t="s">
        <v>50</v>
      </c>
      <c r="F397" t="s">
        <v>83</v>
      </c>
      <c r="G397" t="s">
        <v>24</v>
      </c>
      <c r="H397">
        <v>83</v>
      </c>
      <c r="I397">
        <v>64</v>
      </c>
      <c r="J397">
        <v>1</v>
      </c>
      <c r="K397">
        <v>7</v>
      </c>
      <c r="L397">
        <v>13792.85</v>
      </c>
      <c r="M397">
        <v>1.4</v>
      </c>
      <c r="N397">
        <v>28</v>
      </c>
      <c r="O397">
        <v>89</v>
      </c>
      <c r="P397" s="2">
        <v>46057</v>
      </c>
      <c r="Q397" s="2">
        <v>46057</v>
      </c>
      <c r="R397" t="s">
        <v>25</v>
      </c>
    </row>
    <row r="398" spans="1:19" x14ac:dyDescent="0.25">
      <c r="A398" t="s">
        <v>488</v>
      </c>
      <c r="B398" s="2">
        <v>46199</v>
      </c>
      <c r="C398" t="s">
        <v>20</v>
      </c>
      <c r="D398" t="s">
        <v>21</v>
      </c>
      <c r="E398" t="s">
        <v>90</v>
      </c>
      <c r="F398" t="s">
        <v>106</v>
      </c>
      <c r="G398" t="s">
        <v>32</v>
      </c>
      <c r="H398">
        <v>197</v>
      </c>
      <c r="I398">
        <v>219</v>
      </c>
      <c r="J398">
        <v>3</v>
      </c>
      <c r="K398">
        <v>1.2</v>
      </c>
      <c r="L398">
        <v>56219.38</v>
      </c>
      <c r="M398">
        <v>7.57</v>
      </c>
      <c r="N398">
        <v>151.4</v>
      </c>
      <c r="O398">
        <v>270</v>
      </c>
      <c r="P398" s="2">
        <v>46210</v>
      </c>
      <c r="Q398" s="2">
        <v>46211</v>
      </c>
      <c r="R398" t="s">
        <v>25</v>
      </c>
      <c r="S398" t="s">
        <v>33</v>
      </c>
    </row>
    <row r="399" spans="1:19" x14ac:dyDescent="0.25">
      <c r="A399" t="s">
        <v>489</v>
      </c>
      <c r="B399" s="2">
        <v>46053</v>
      </c>
      <c r="C399" t="s">
        <v>28</v>
      </c>
      <c r="D399" t="s">
        <v>29</v>
      </c>
      <c r="E399" t="s">
        <v>63</v>
      </c>
      <c r="F399" t="s">
        <v>64</v>
      </c>
      <c r="G399" t="s">
        <v>57</v>
      </c>
      <c r="H399">
        <v>299</v>
      </c>
      <c r="I399">
        <v>304</v>
      </c>
      <c r="J399">
        <v>20</v>
      </c>
      <c r="K399">
        <v>2.8</v>
      </c>
      <c r="L399">
        <v>70251.16</v>
      </c>
      <c r="M399">
        <v>8.57</v>
      </c>
      <c r="N399">
        <v>154.26</v>
      </c>
      <c r="O399">
        <v>278</v>
      </c>
      <c r="P399" s="2">
        <v>46055</v>
      </c>
      <c r="Q399" s="2">
        <v>46059</v>
      </c>
      <c r="R399" t="s">
        <v>100</v>
      </c>
      <c r="S399" t="s">
        <v>33</v>
      </c>
    </row>
    <row r="400" spans="1:19" x14ac:dyDescent="0.25">
      <c r="A400" t="s">
        <v>490</v>
      </c>
      <c r="B400" s="2">
        <v>46031</v>
      </c>
      <c r="C400" t="s">
        <v>80</v>
      </c>
      <c r="D400" t="s">
        <v>21</v>
      </c>
      <c r="E400" t="s">
        <v>90</v>
      </c>
      <c r="F400" t="s">
        <v>41</v>
      </c>
      <c r="G400" t="s">
        <v>32</v>
      </c>
      <c r="H400">
        <v>110</v>
      </c>
      <c r="I400">
        <v>122</v>
      </c>
      <c r="J400">
        <v>1</v>
      </c>
      <c r="K400">
        <v>2.7</v>
      </c>
      <c r="L400">
        <v>23905.88</v>
      </c>
      <c r="M400">
        <v>2.56</v>
      </c>
      <c r="N400">
        <v>66.56</v>
      </c>
      <c r="O400">
        <v>122</v>
      </c>
      <c r="P400" s="2">
        <v>46042</v>
      </c>
      <c r="Q400" s="2">
        <v>46042</v>
      </c>
      <c r="R400" t="s">
        <v>25</v>
      </c>
      <c r="S400" t="s">
        <v>33</v>
      </c>
    </row>
    <row r="401" spans="1:19" x14ac:dyDescent="0.25">
      <c r="A401" t="s">
        <v>491</v>
      </c>
      <c r="B401" s="2">
        <v>46046</v>
      </c>
      <c r="C401" t="s">
        <v>43</v>
      </c>
      <c r="D401" t="s">
        <v>44</v>
      </c>
      <c r="E401" t="s">
        <v>45</v>
      </c>
      <c r="F401" t="s">
        <v>31</v>
      </c>
      <c r="G401" t="s">
        <v>24</v>
      </c>
      <c r="H401">
        <v>151</v>
      </c>
      <c r="I401">
        <v>170</v>
      </c>
      <c r="J401">
        <v>6</v>
      </c>
      <c r="K401">
        <v>1.4</v>
      </c>
      <c r="L401">
        <v>21197.55</v>
      </c>
      <c r="M401">
        <v>4.05</v>
      </c>
      <c r="N401">
        <v>105.3</v>
      </c>
      <c r="O401">
        <v>128</v>
      </c>
      <c r="P401" s="2">
        <v>46049</v>
      </c>
      <c r="Q401" s="2">
        <v>46047</v>
      </c>
      <c r="R401" t="s">
        <v>39</v>
      </c>
      <c r="S401" t="s">
        <v>51</v>
      </c>
    </row>
    <row r="402" spans="1:19" x14ac:dyDescent="0.25">
      <c r="A402" t="s">
        <v>492</v>
      </c>
      <c r="B402" s="2">
        <v>46095</v>
      </c>
      <c r="C402" t="s">
        <v>43</v>
      </c>
      <c r="D402" t="s">
        <v>44</v>
      </c>
      <c r="E402" t="s">
        <v>45</v>
      </c>
      <c r="F402" t="s">
        <v>61</v>
      </c>
      <c r="G402" t="s">
        <v>32</v>
      </c>
      <c r="H402">
        <v>81</v>
      </c>
      <c r="I402">
        <v>92</v>
      </c>
      <c r="J402">
        <v>1</v>
      </c>
      <c r="K402">
        <v>1.9</v>
      </c>
      <c r="L402">
        <v>11426.05</v>
      </c>
      <c r="M402">
        <v>2.4700000000000002</v>
      </c>
      <c r="N402">
        <v>64.22</v>
      </c>
      <c r="O402">
        <v>97</v>
      </c>
      <c r="P402" s="2">
        <v>46104</v>
      </c>
      <c r="Q402" s="2">
        <v>46103</v>
      </c>
      <c r="R402" t="s">
        <v>25</v>
      </c>
      <c r="S402" t="s">
        <v>72</v>
      </c>
    </row>
    <row r="403" spans="1:19" x14ac:dyDescent="0.25">
      <c r="A403" t="s">
        <v>493</v>
      </c>
      <c r="B403" s="2">
        <v>46131</v>
      </c>
      <c r="C403" t="s">
        <v>28</v>
      </c>
      <c r="D403" t="s">
        <v>29</v>
      </c>
      <c r="E403" t="s">
        <v>30</v>
      </c>
      <c r="F403" t="s">
        <v>96</v>
      </c>
      <c r="G403" t="s">
        <v>32</v>
      </c>
      <c r="H403">
        <v>138</v>
      </c>
      <c r="I403">
        <v>123</v>
      </c>
      <c r="J403">
        <v>9</v>
      </c>
      <c r="K403">
        <v>2.8</v>
      </c>
      <c r="L403">
        <v>27919.32</v>
      </c>
      <c r="M403">
        <v>3.68</v>
      </c>
      <c r="N403">
        <v>80.959999999999994</v>
      </c>
      <c r="O403">
        <v>171</v>
      </c>
      <c r="P403" s="2">
        <v>46141</v>
      </c>
      <c r="Q403" s="2">
        <v>46139</v>
      </c>
      <c r="R403" t="s">
        <v>25</v>
      </c>
      <c r="S403" t="s">
        <v>33</v>
      </c>
    </row>
    <row r="404" spans="1:19" x14ac:dyDescent="0.25">
      <c r="A404" t="s">
        <v>494</v>
      </c>
      <c r="B404" s="2">
        <v>46121</v>
      </c>
      <c r="C404" t="s">
        <v>59</v>
      </c>
      <c r="D404" t="s">
        <v>49</v>
      </c>
      <c r="E404" t="s">
        <v>76</v>
      </c>
      <c r="F404" t="s">
        <v>244</v>
      </c>
      <c r="G404" t="s">
        <v>57</v>
      </c>
      <c r="H404">
        <v>233</v>
      </c>
      <c r="I404">
        <v>241</v>
      </c>
      <c r="J404">
        <v>16</v>
      </c>
      <c r="K404">
        <v>7.6</v>
      </c>
      <c r="L404">
        <v>36989.94</v>
      </c>
      <c r="M404">
        <v>10.039999999999999</v>
      </c>
      <c r="N404">
        <v>240.96</v>
      </c>
      <c r="O404">
        <v>241</v>
      </c>
      <c r="P404" s="2">
        <v>46124</v>
      </c>
      <c r="Q404" s="2">
        <v>46128</v>
      </c>
      <c r="R404" t="s">
        <v>25</v>
      </c>
      <c r="S404" t="s">
        <v>72</v>
      </c>
    </row>
    <row r="405" spans="1:19" x14ac:dyDescent="0.25">
      <c r="A405" t="s">
        <v>495</v>
      </c>
      <c r="B405" s="2">
        <v>46195</v>
      </c>
      <c r="C405" t="s">
        <v>20</v>
      </c>
      <c r="D405" t="s">
        <v>21</v>
      </c>
      <c r="E405" t="s">
        <v>90</v>
      </c>
      <c r="F405" t="s">
        <v>31</v>
      </c>
      <c r="G405" t="s">
        <v>24</v>
      </c>
      <c r="H405">
        <v>192</v>
      </c>
      <c r="I405">
        <v>181</v>
      </c>
      <c r="J405">
        <v>11</v>
      </c>
      <c r="K405">
        <v>1.1000000000000001</v>
      </c>
      <c r="L405">
        <v>59341.91</v>
      </c>
      <c r="M405">
        <v>7.5</v>
      </c>
      <c r="N405">
        <v>150</v>
      </c>
      <c r="O405">
        <v>168</v>
      </c>
      <c r="P405" s="2">
        <v>46202</v>
      </c>
      <c r="Q405" s="2">
        <v>46202</v>
      </c>
      <c r="R405" t="s">
        <v>25</v>
      </c>
      <c r="S405" t="s">
        <v>72</v>
      </c>
    </row>
    <row r="406" spans="1:19" x14ac:dyDescent="0.25">
      <c r="A406" t="s">
        <v>496</v>
      </c>
      <c r="B406" s="2">
        <v>46054</v>
      </c>
      <c r="C406" t="s">
        <v>28</v>
      </c>
      <c r="D406" t="s">
        <v>29</v>
      </c>
      <c r="E406" t="s">
        <v>95</v>
      </c>
      <c r="F406" t="s">
        <v>85</v>
      </c>
      <c r="G406" t="s">
        <v>32</v>
      </c>
      <c r="H406">
        <v>265</v>
      </c>
      <c r="I406">
        <v>247</v>
      </c>
      <c r="J406">
        <v>18</v>
      </c>
      <c r="K406">
        <v>6.9</v>
      </c>
      <c r="L406">
        <v>62372.83</v>
      </c>
      <c r="M406">
        <v>9.19</v>
      </c>
      <c r="N406">
        <v>220.56</v>
      </c>
      <c r="O406">
        <v>316</v>
      </c>
      <c r="P406" s="2">
        <v>46063</v>
      </c>
      <c r="Q406" s="2">
        <v>46065</v>
      </c>
      <c r="R406" t="s">
        <v>100</v>
      </c>
      <c r="S406" t="s">
        <v>51</v>
      </c>
    </row>
    <row r="407" spans="1:19" x14ac:dyDescent="0.25">
      <c r="A407" t="s">
        <v>497</v>
      </c>
      <c r="B407" s="2">
        <v>46139</v>
      </c>
      <c r="C407" t="s">
        <v>20</v>
      </c>
      <c r="D407" t="s">
        <v>21</v>
      </c>
      <c r="E407" t="s">
        <v>22</v>
      </c>
      <c r="F407" t="s">
        <v>41</v>
      </c>
      <c r="G407" t="s">
        <v>32</v>
      </c>
      <c r="H407">
        <v>144</v>
      </c>
      <c r="I407">
        <v>133</v>
      </c>
      <c r="J407">
        <v>3</v>
      </c>
      <c r="K407">
        <v>8.5</v>
      </c>
      <c r="L407">
        <v>38057.82</v>
      </c>
      <c r="M407">
        <v>5.04</v>
      </c>
      <c r="N407">
        <v>120.96</v>
      </c>
      <c r="O407">
        <v>110</v>
      </c>
      <c r="P407" s="2">
        <v>46143</v>
      </c>
      <c r="Q407" s="2">
        <v>46145</v>
      </c>
      <c r="R407" t="s">
        <v>39</v>
      </c>
      <c r="S407" t="s">
        <v>51</v>
      </c>
    </row>
    <row r="408" spans="1:19" x14ac:dyDescent="0.25">
      <c r="A408" t="s">
        <v>498</v>
      </c>
      <c r="B408" s="2">
        <v>46100</v>
      </c>
      <c r="C408" t="s">
        <v>20</v>
      </c>
      <c r="D408" t="s">
        <v>21</v>
      </c>
      <c r="E408" t="s">
        <v>22</v>
      </c>
      <c r="F408" t="s">
        <v>77</v>
      </c>
      <c r="G408" t="s">
        <v>57</v>
      </c>
      <c r="H408">
        <v>249</v>
      </c>
      <c r="I408">
        <v>259</v>
      </c>
      <c r="J408">
        <v>19</v>
      </c>
      <c r="K408">
        <v>7.1</v>
      </c>
      <c r="L408">
        <v>78126.03</v>
      </c>
      <c r="M408">
        <v>7.71</v>
      </c>
      <c r="N408">
        <v>169.62</v>
      </c>
      <c r="O408">
        <v>347</v>
      </c>
      <c r="P408" s="2">
        <v>46107</v>
      </c>
      <c r="Q408" s="2">
        <v>46105</v>
      </c>
      <c r="R408" t="s">
        <v>25</v>
      </c>
      <c r="S408" t="s">
        <v>72</v>
      </c>
    </row>
    <row r="409" spans="1:19" x14ac:dyDescent="0.25">
      <c r="A409" t="s">
        <v>499</v>
      </c>
      <c r="B409" s="2">
        <v>46138</v>
      </c>
      <c r="C409" t="s">
        <v>48</v>
      </c>
      <c r="D409" t="s">
        <v>49</v>
      </c>
      <c r="E409" t="s">
        <v>76</v>
      </c>
      <c r="F409" t="s">
        <v>119</v>
      </c>
      <c r="G409" t="s">
        <v>57</v>
      </c>
      <c r="H409">
        <v>193</v>
      </c>
      <c r="I409">
        <v>177</v>
      </c>
      <c r="J409">
        <v>1</v>
      </c>
      <c r="K409">
        <v>5</v>
      </c>
      <c r="L409">
        <v>37888.44</v>
      </c>
      <c r="M409">
        <v>6.19</v>
      </c>
      <c r="N409">
        <v>148.56</v>
      </c>
      <c r="O409">
        <v>263</v>
      </c>
      <c r="P409" s="2">
        <v>46142</v>
      </c>
      <c r="Q409" s="2">
        <v>46142</v>
      </c>
      <c r="R409" t="s">
        <v>100</v>
      </c>
      <c r="S409" t="s">
        <v>26</v>
      </c>
    </row>
    <row r="410" spans="1:19" x14ac:dyDescent="0.25">
      <c r="A410" t="s">
        <v>500</v>
      </c>
      <c r="B410" s="2">
        <v>46195</v>
      </c>
      <c r="C410" t="s">
        <v>53</v>
      </c>
      <c r="D410" t="s">
        <v>54</v>
      </c>
      <c r="E410" t="s">
        <v>131</v>
      </c>
      <c r="F410" t="s">
        <v>114</v>
      </c>
      <c r="G410" t="s">
        <v>57</v>
      </c>
      <c r="H410">
        <v>201</v>
      </c>
      <c r="I410">
        <v>193</v>
      </c>
      <c r="J410">
        <v>3</v>
      </c>
      <c r="K410">
        <v>0.5</v>
      </c>
      <c r="L410">
        <v>25840.94</v>
      </c>
      <c r="M410">
        <v>5.22</v>
      </c>
      <c r="N410">
        <v>114.84</v>
      </c>
      <c r="O410">
        <v>233</v>
      </c>
      <c r="P410" s="2">
        <v>46202</v>
      </c>
      <c r="Q410" s="2">
        <v>46200</v>
      </c>
      <c r="R410" t="s">
        <v>25</v>
      </c>
      <c r="S410" t="s">
        <v>51</v>
      </c>
    </row>
    <row r="411" spans="1:19" x14ac:dyDescent="0.25">
      <c r="A411" t="s">
        <v>501</v>
      </c>
      <c r="B411" s="2">
        <v>46116</v>
      </c>
      <c r="C411" t="s">
        <v>48</v>
      </c>
      <c r="D411" t="s">
        <v>49</v>
      </c>
      <c r="E411" t="s">
        <v>60</v>
      </c>
      <c r="F411" t="s">
        <v>23</v>
      </c>
      <c r="G411" t="s">
        <v>24</v>
      </c>
      <c r="H411">
        <v>229</v>
      </c>
      <c r="I411">
        <v>167</v>
      </c>
      <c r="J411">
        <v>14</v>
      </c>
      <c r="K411">
        <v>3.1</v>
      </c>
      <c r="L411">
        <v>27377.99</v>
      </c>
      <c r="M411">
        <v>4.4400000000000004</v>
      </c>
      <c r="N411">
        <v>97.68</v>
      </c>
      <c r="O411">
        <v>203</v>
      </c>
      <c r="P411" s="2">
        <v>46128</v>
      </c>
      <c r="Q411" s="2">
        <v>46128</v>
      </c>
      <c r="R411" t="s">
        <v>25</v>
      </c>
      <c r="S411" t="s">
        <v>86</v>
      </c>
    </row>
    <row r="412" spans="1:19" x14ac:dyDescent="0.25">
      <c r="A412" t="s">
        <v>502</v>
      </c>
      <c r="B412" s="2">
        <v>46174</v>
      </c>
      <c r="C412" t="s">
        <v>20</v>
      </c>
      <c r="D412" t="s">
        <v>21</v>
      </c>
      <c r="E412" t="s">
        <v>66</v>
      </c>
      <c r="F412" t="s">
        <v>106</v>
      </c>
      <c r="G412" t="s">
        <v>32</v>
      </c>
      <c r="H412">
        <v>96</v>
      </c>
      <c r="I412">
        <v>104</v>
      </c>
      <c r="J412">
        <v>1</v>
      </c>
      <c r="K412">
        <v>1.5</v>
      </c>
      <c r="L412">
        <v>29917.14</v>
      </c>
      <c r="M412">
        <v>3.51</v>
      </c>
      <c r="N412">
        <v>84.24</v>
      </c>
      <c r="O412">
        <v>187</v>
      </c>
      <c r="P412" s="2">
        <v>46182</v>
      </c>
      <c r="Q412" s="2">
        <v>46182</v>
      </c>
      <c r="R412" t="s">
        <v>25</v>
      </c>
      <c r="S412" t="s">
        <v>26</v>
      </c>
    </row>
    <row r="413" spans="1:19" x14ac:dyDescent="0.25">
      <c r="A413" t="s">
        <v>503</v>
      </c>
      <c r="B413" s="2">
        <v>46028</v>
      </c>
      <c r="C413" t="s">
        <v>48</v>
      </c>
      <c r="D413" t="s">
        <v>49</v>
      </c>
      <c r="E413" t="s">
        <v>76</v>
      </c>
      <c r="F413" t="s">
        <v>77</v>
      </c>
      <c r="G413" t="s">
        <v>57</v>
      </c>
      <c r="H413">
        <v>226</v>
      </c>
      <c r="I413">
        <v>200</v>
      </c>
      <c r="J413">
        <v>11</v>
      </c>
      <c r="K413">
        <v>7.3</v>
      </c>
      <c r="L413">
        <v>35850.51</v>
      </c>
      <c r="M413">
        <v>5.21</v>
      </c>
      <c r="N413">
        <v>135.46</v>
      </c>
      <c r="O413">
        <v>272</v>
      </c>
      <c r="P413" s="2">
        <v>46032</v>
      </c>
      <c r="Q413" s="2">
        <v>46032</v>
      </c>
      <c r="R413" t="s">
        <v>25</v>
      </c>
      <c r="S413" t="s">
        <v>72</v>
      </c>
    </row>
    <row r="414" spans="1:19" x14ac:dyDescent="0.25">
      <c r="A414" t="s">
        <v>504</v>
      </c>
      <c r="B414" s="2">
        <v>46185</v>
      </c>
      <c r="C414" t="s">
        <v>20</v>
      </c>
      <c r="D414" t="s">
        <v>21</v>
      </c>
      <c r="E414" t="s">
        <v>66</v>
      </c>
      <c r="F414" t="s">
        <v>88</v>
      </c>
      <c r="G414" t="s">
        <v>24</v>
      </c>
      <c r="H414">
        <v>134</v>
      </c>
      <c r="I414">
        <v>113</v>
      </c>
      <c r="J414">
        <v>1</v>
      </c>
      <c r="K414">
        <v>9</v>
      </c>
      <c r="L414">
        <v>32713.53</v>
      </c>
      <c r="M414">
        <v>4.05</v>
      </c>
      <c r="N414">
        <v>72.900000000000006</v>
      </c>
      <c r="O414">
        <v>118</v>
      </c>
      <c r="P414" s="2">
        <v>46196</v>
      </c>
      <c r="Q414" s="2">
        <v>46197</v>
      </c>
      <c r="R414" t="s">
        <v>25</v>
      </c>
      <c r="S414" t="s">
        <v>26</v>
      </c>
    </row>
    <row r="415" spans="1:19" x14ac:dyDescent="0.25">
      <c r="A415" t="s">
        <v>505</v>
      </c>
      <c r="B415" s="2">
        <v>46144</v>
      </c>
      <c r="C415" t="s">
        <v>35</v>
      </c>
      <c r="D415" t="s">
        <v>36</v>
      </c>
      <c r="E415" t="s">
        <v>37</v>
      </c>
      <c r="F415" t="s">
        <v>85</v>
      </c>
      <c r="G415" t="s">
        <v>32</v>
      </c>
      <c r="H415">
        <v>168</v>
      </c>
      <c r="I415">
        <v>178</v>
      </c>
      <c r="J415">
        <v>11</v>
      </c>
      <c r="K415">
        <v>2.7</v>
      </c>
      <c r="L415">
        <v>17857.150000000001</v>
      </c>
      <c r="M415">
        <v>5.51</v>
      </c>
      <c r="N415">
        <v>110.2</v>
      </c>
      <c r="O415">
        <v>234</v>
      </c>
      <c r="P415" s="2">
        <v>46152</v>
      </c>
      <c r="Q415" s="2">
        <v>46152</v>
      </c>
      <c r="R415" t="s">
        <v>39</v>
      </c>
      <c r="S415" t="s">
        <v>26</v>
      </c>
    </row>
    <row r="416" spans="1:19" x14ac:dyDescent="0.25">
      <c r="A416" t="s">
        <v>506</v>
      </c>
      <c r="B416" s="2">
        <v>46069</v>
      </c>
      <c r="C416" t="s">
        <v>80</v>
      </c>
      <c r="D416" t="s">
        <v>21</v>
      </c>
      <c r="E416" t="s">
        <v>66</v>
      </c>
      <c r="F416" t="s">
        <v>112</v>
      </c>
      <c r="G416" t="s">
        <v>24</v>
      </c>
      <c r="H416">
        <v>260</v>
      </c>
      <c r="I416">
        <v>244</v>
      </c>
      <c r="J416">
        <v>5</v>
      </c>
      <c r="K416">
        <v>4.5</v>
      </c>
      <c r="L416">
        <v>74811.67</v>
      </c>
      <c r="M416">
        <v>9.89</v>
      </c>
      <c r="N416">
        <v>217.58</v>
      </c>
      <c r="O416">
        <v>356</v>
      </c>
      <c r="P416" s="2">
        <v>46080</v>
      </c>
      <c r="Q416" s="2">
        <v>46082</v>
      </c>
      <c r="R416" t="s">
        <v>39</v>
      </c>
      <c r="S416" t="s">
        <v>33</v>
      </c>
    </row>
    <row r="417" spans="1:19" x14ac:dyDescent="0.25">
      <c r="A417" t="s">
        <v>507</v>
      </c>
      <c r="B417" s="2">
        <v>46156</v>
      </c>
      <c r="C417" t="s">
        <v>28</v>
      </c>
      <c r="D417" t="s">
        <v>29</v>
      </c>
      <c r="E417" t="s">
        <v>95</v>
      </c>
      <c r="F417" t="s">
        <v>110</v>
      </c>
      <c r="G417" t="s">
        <v>57</v>
      </c>
      <c r="H417">
        <v>198</v>
      </c>
      <c r="I417">
        <v>155</v>
      </c>
      <c r="J417">
        <v>2</v>
      </c>
      <c r="K417">
        <v>6.2</v>
      </c>
      <c r="L417">
        <v>32316.51</v>
      </c>
      <c r="M417">
        <v>3.98</v>
      </c>
      <c r="N417">
        <v>71.64</v>
      </c>
      <c r="O417">
        <v>210</v>
      </c>
      <c r="P417" s="2">
        <v>46164</v>
      </c>
      <c r="Q417" s="2">
        <v>46164</v>
      </c>
      <c r="R417" t="s">
        <v>25</v>
      </c>
      <c r="S417" t="s">
        <v>86</v>
      </c>
    </row>
    <row r="418" spans="1:19" x14ac:dyDescent="0.25">
      <c r="A418" t="s">
        <v>508</v>
      </c>
      <c r="B418" s="2">
        <v>46198</v>
      </c>
      <c r="C418" t="s">
        <v>28</v>
      </c>
      <c r="D418" t="s">
        <v>29</v>
      </c>
      <c r="E418" t="s">
        <v>95</v>
      </c>
      <c r="F418" t="s">
        <v>244</v>
      </c>
      <c r="G418" t="s">
        <v>32</v>
      </c>
      <c r="H418">
        <v>141</v>
      </c>
      <c r="I418">
        <v>108</v>
      </c>
      <c r="J418">
        <v>2</v>
      </c>
      <c r="K418">
        <v>2.2000000000000002</v>
      </c>
      <c r="L418">
        <v>27332.400000000001</v>
      </c>
      <c r="M418">
        <v>3.4</v>
      </c>
      <c r="N418">
        <v>81.599999999999994</v>
      </c>
      <c r="O418">
        <v>209</v>
      </c>
      <c r="P418" s="2">
        <v>46210</v>
      </c>
      <c r="Q418" s="2">
        <v>46208</v>
      </c>
      <c r="R418" t="s">
        <v>25</v>
      </c>
      <c r="S418" t="s">
        <v>51</v>
      </c>
    </row>
    <row r="419" spans="1:19" x14ac:dyDescent="0.25">
      <c r="A419" t="s">
        <v>509</v>
      </c>
      <c r="B419" s="2">
        <v>46030</v>
      </c>
      <c r="C419" t="s">
        <v>59</v>
      </c>
      <c r="D419" t="s">
        <v>49</v>
      </c>
      <c r="E419" t="s">
        <v>76</v>
      </c>
      <c r="F419" t="s">
        <v>38</v>
      </c>
      <c r="G419" t="s">
        <v>32</v>
      </c>
      <c r="H419">
        <v>248</v>
      </c>
      <c r="I419">
        <v>237</v>
      </c>
      <c r="J419">
        <v>14</v>
      </c>
      <c r="K419">
        <v>0.4</v>
      </c>
      <c r="L419">
        <v>48078.3</v>
      </c>
      <c r="M419">
        <v>4.58</v>
      </c>
      <c r="N419">
        <v>82.44</v>
      </c>
      <c r="O419">
        <v>288</v>
      </c>
      <c r="P419" s="2">
        <v>46041</v>
      </c>
      <c r="Q419" s="2">
        <v>46041</v>
      </c>
      <c r="R419" t="s">
        <v>25</v>
      </c>
      <c r="S419" t="s">
        <v>86</v>
      </c>
    </row>
    <row r="420" spans="1:19" x14ac:dyDescent="0.25">
      <c r="A420" t="s">
        <v>510</v>
      </c>
      <c r="B420" s="2">
        <v>46194</v>
      </c>
      <c r="C420" t="s">
        <v>20</v>
      </c>
      <c r="D420" t="s">
        <v>21</v>
      </c>
      <c r="E420" t="s">
        <v>90</v>
      </c>
      <c r="F420" t="s">
        <v>23</v>
      </c>
      <c r="G420" t="s">
        <v>24</v>
      </c>
      <c r="H420">
        <v>294</v>
      </c>
      <c r="I420">
        <v>303</v>
      </c>
      <c r="J420">
        <v>5</v>
      </c>
      <c r="K420">
        <v>1</v>
      </c>
      <c r="L420">
        <v>118743.01</v>
      </c>
      <c r="M420">
        <v>9.25</v>
      </c>
      <c r="N420">
        <v>240.5</v>
      </c>
      <c r="O420">
        <v>388</v>
      </c>
      <c r="P420" s="2">
        <v>46200</v>
      </c>
      <c r="Q420" s="2">
        <v>46204</v>
      </c>
      <c r="R420" t="s">
        <v>25</v>
      </c>
      <c r="S420" t="s">
        <v>33</v>
      </c>
    </row>
    <row r="421" spans="1:19" x14ac:dyDescent="0.25">
      <c r="A421" t="s">
        <v>511</v>
      </c>
      <c r="B421" s="2">
        <v>46103</v>
      </c>
      <c r="C421" t="s">
        <v>48</v>
      </c>
      <c r="D421" t="s">
        <v>49</v>
      </c>
      <c r="E421" t="s">
        <v>60</v>
      </c>
      <c r="F421" t="s">
        <v>64</v>
      </c>
      <c r="G421" t="s">
        <v>32</v>
      </c>
      <c r="H421">
        <v>268</v>
      </c>
      <c r="I421">
        <v>237</v>
      </c>
      <c r="J421">
        <v>17</v>
      </c>
      <c r="K421">
        <v>2.1</v>
      </c>
      <c r="L421">
        <v>41700.36</v>
      </c>
      <c r="M421">
        <v>5.26</v>
      </c>
      <c r="N421">
        <v>115.72</v>
      </c>
      <c r="O421">
        <v>340</v>
      </c>
      <c r="P421" s="2">
        <v>46111</v>
      </c>
      <c r="Q421" s="2">
        <v>46111</v>
      </c>
      <c r="R421" t="s">
        <v>39</v>
      </c>
      <c r="S421" t="s">
        <v>26</v>
      </c>
    </row>
    <row r="422" spans="1:19" x14ac:dyDescent="0.25">
      <c r="A422" t="s">
        <v>512</v>
      </c>
      <c r="B422" s="2">
        <v>46118</v>
      </c>
      <c r="C422" t="s">
        <v>20</v>
      </c>
      <c r="D422" t="s">
        <v>21</v>
      </c>
      <c r="E422" t="s">
        <v>90</v>
      </c>
      <c r="F422" t="s">
        <v>106</v>
      </c>
      <c r="G422" t="s">
        <v>24</v>
      </c>
      <c r="H422">
        <v>219</v>
      </c>
      <c r="I422">
        <v>197</v>
      </c>
      <c r="J422">
        <v>13</v>
      </c>
      <c r="K422">
        <v>8.6999999999999993</v>
      </c>
      <c r="L422">
        <v>80995.990000000005</v>
      </c>
      <c r="M422">
        <v>5.26</v>
      </c>
      <c r="N422">
        <v>115.72</v>
      </c>
      <c r="O422">
        <v>257</v>
      </c>
      <c r="P422" s="2">
        <v>46120</v>
      </c>
      <c r="Q422" s="2">
        <v>46118</v>
      </c>
      <c r="R422" t="s">
        <v>25</v>
      </c>
      <c r="S422" t="s">
        <v>51</v>
      </c>
    </row>
    <row r="423" spans="1:19" x14ac:dyDescent="0.25">
      <c r="A423" t="s">
        <v>513</v>
      </c>
      <c r="B423" s="2">
        <v>46087</v>
      </c>
      <c r="C423" t="s">
        <v>35</v>
      </c>
      <c r="D423" t="s">
        <v>36</v>
      </c>
      <c r="E423" t="s">
        <v>69</v>
      </c>
      <c r="F423" t="s">
        <v>88</v>
      </c>
      <c r="G423" t="s">
        <v>57</v>
      </c>
      <c r="H423">
        <v>243</v>
      </c>
      <c r="I423">
        <v>275</v>
      </c>
      <c r="J423">
        <v>10</v>
      </c>
      <c r="K423">
        <v>7.3</v>
      </c>
      <c r="L423">
        <v>24024.52</v>
      </c>
      <c r="M423">
        <v>10.61</v>
      </c>
      <c r="N423">
        <v>254.64</v>
      </c>
      <c r="O423">
        <v>205</v>
      </c>
      <c r="P423" s="2">
        <v>46095</v>
      </c>
      <c r="Q423" s="2">
        <v>46095</v>
      </c>
      <c r="R423" t="s">
        <v>25</v>
      </c>
      <c r="S423" t="s">
        <v>86</v>
      </c>
    </row>
    <row r="424" spans="1:19" x14ac:dyDescent="0.25">
      <c r="A424" t="s">
        <v>514</v>
      </c>
      <c r="B424" s="2">
        <v>46076</v>
      </c>
      <c r="C424" t="s">
        <v>43</v>
      </c>
      <c r="D424" t="s">
        <v>44</v>
      </c>
      <c r="E424" t="s">
        <v>161</v>
      </c>
      <c r="F424" t="s">
        <v>38</v>
      </c>
      <c r="G424" t="s">
        <v>57</v>
      </c>
      <c r="H424">
        <v>241</v>
      </c>
      <c r="I424">
        <v>206</v>
      </c>
      <c r="J424">
        <v>16</v>
      </c>
      <c r="K424">
        <v>5.8</v>
      </c>
      <c r="L424">
        <v>25103.94</v>
      </c>
      <c r="M424">
        <v>4.0999999999999996</v>
      </c>
      <c r="N424">
        <v>98.4</v>
      </c>
      <c r="O424">
        <v>321</v>
      </c>
      <c r="P424" s="2">
        <v>46084</v>
      </c>
      <c r="Q424" s="2">
        <v>46085</v>
      </c>
      <c r="R424" t="s">
        <v>100</v>
      </c>
      <c r="S424" t="s">
        <v>51</v>
      </c>
    </row>
    <row r="425" spans="1:19" x14ac:dyDescent="0.25">
      <c r="A425" t="s">
        <v>515</v>
      </c>
      <c r="B425" s="2">
        <v>46201</v>
      </c>
      <c r="C425" t="s">
        <v>59</v>
      </c>
      <c r="D425" t="s">
        <v>49</v>
      </c>
      <c r="E425" t="s">
        <v>60</v>
      </c>
      <c r="F425" t="s">
        <v>135</v>
      </c>
      <c r="G425" t="s">
        <v>32</v>
      </c>
      <c r="H425">
        <v>96</v>
      </c>
      <c r="I425">
        <v>83</v>
      </c>
      <c r="J425">
        <v>4</v>
      </c>
      <c r="K425">
        <v>7.3</v>
      </c>
      <c r="L425">
        <v>15537.71</v>
      </c>
      <c r="M425">
        <v>1.55</v>
      </c>
      <c r="N425">
        <v>27.9</v>
      </c>
      <c r="O425">
        <v>103</v>
      </c>
      <c r="P425" s="2">
        <v>46213</v>
      </c>
      <c r="Q425" s="2">
        <v>46217</v>
      </c>
      <c r="R425" t="s">
        <v>25</v>
      </c>
      <c r="S425" t="s">
        <v>51</v>
      </c>
    </row>
    <row r="426" spans="1:19" x14ac:dyDescent="0.25">
      <c r="A426" t="s">
        <v>516</v>
      </c>
      <c r="B426" s="2">
        <v>46183</v>
      </c>
      <c r="C426" t="s">
        <v>59</v>
      </c>
      <c r="D426" t="s">
        <v>49</v>
      </c>
      <c r="E426" t="s">
        <v>76</v>
      </c>
      <c r="F426" t="s">
        <v>56</v>
      </c>
      <c r="G426" t="s">
        <v>24</v>
      </c>
      <c r="H426">
        <v>227</v>
      </c>
      <c r="I426">
        <v>171</v>
      </c>
      <c r="J426">
        <v>3</v>
      </c>
      <c r="K426">
        <v>4.5999999999999996</v>
      </c>
      <c r="L426">
        <v>37999.69</v>
      </c>
      <c r="M426">
        <v>6.21</v>
      </c>
      <c r="N426">
        <v>161.46</v>
      </c>
      <c r="O426">
        <v>292</v>
      </c>
      <c r="P426" s="2">
        <v>46190</v>
      </c>
      <c r="Q426" s="2">
        <v>46194</v>
      </c>
      <c r="R426" t="s">
        <v>100</v>
      </c>
      <c r="S426" t="s">
        <v>51</v>
      </c>
    </row>
    <row r="427" spans="1:19" x14ac:dyDescent="0.25">
      <c r="A427" t="s">
        <v>517</v>
      </c>
      <c r="B427" s="2">
        <v>46089</v>
      </c>
      <c r="C427" t="s">
        <v>43</v>
      </c>
      <c r="D427" t="s">
        <v>44</v>
      </c>
      <c r="E427" t="s">
        <v>45</v>
      </c>
      <c r="F427" t="s">
        <v>110</v>
      </c>
      <c r="G427" t="s">
        <v>24</v>
      </c>
      <c r="H427">
        <v>231</v>
      </c>
      <c r="I427">
        <v>248</v>
      </c>
      <c r="J427">
        <v>19</v>
      </c>
      <c r="K427">
        <v>1.8</v>
      </c>
      <c r="L427">
        <v>25832.26</v>
      </c>
      <c r="M427">
        <v>9.68</v>
      </c>
      <c r="N427">
        <v>251.68</v>
      </c>
      <c r="O427">
        <v>248</v>
      </c>
      <c r="P427" s="2">
        <v>46091</v>
      </c>
      <c r="Q427" s="2">
        <v>46089</v>
      </c>
      <c r="R427" t="s">
        <v>39</v>
      </c>
      <c r="S427" t="s">
        <v>51</v>
      </c>
    </row>
    <row r="428" spans="1:19" x14ac:dyDescent="0.25">
      <c r="A428" t="s">
        <v>518</v>
      </c>
      <c r="B428" s="2">
        <v>46045</v>
      </c>
      <c r="C428" t="s">
        <v>53</v>
      </c>
      <c r="D428" t="s">
        <v>54</v>
      </c>
      <c r="E428" t="s">
        <v>55</v>
      </c>
      <c r="F428" t="s">
        <v>106</v>
      </c>
      <c r="G428" t="s">
        <v>24</v>
      </c>
      <c r="H428">
        <v>147</v>
      </c>
      <c r="I428">
        <v>150</v>
      </c>
      <c r="J428">
        <v>3</v>
      </c>
      <c r="K428">
        <v>3.6</v>
      </c>
      <c r="L428">
        <v>19541.849999999999</v>
      </c>
      <c r="M428">
        <v>3.02</v>
      </c>
      <c r="N428">
        <v>66.44</v>
      </c>
      <c r="O428">
        <v>150</v>
      </c>
      <c r="P428" s="2">
        <v>46056</v>
      </c>
      <c r="Q428" s="2">
        <v>46055</v>
      </c>
      <c r="R428" t="s">
        <v>25</v>
      </c>
      <c r="S428" t="s">
        <v>72</v>
      </c>
    </row>
    <row r="429" spans="1:19" x14ac:dyDescent="0.25">
      <c r="A429" t="s">
        <v>519</v>
      </c>
      <c r="B429" s="2">
        <v>46139</v>
      </c>
      <c r="C429" t="s">
        <v>53</v>
      </c>
      <c r="D429" t="s">
        <v>54</v>
      </c>
      <c r="E429" t="s">
        <v>55</v>
      </c>
      <c r="F429" t="s">
        <v>112</v>
      </c>
      <c r="G429" t="s">
        <v>24</v>
      </c>
      <c r="H429">
        <v>137</v>
      </c>
      <c r="I429">
        <v>140</v>
      </c>
      <c r="J429">
        <v>3</v>
      </c>
      <c r="K429">
        <v>7.8</v>
      </c>
      <c r="L429">
        <v>20783.25</v>
      </c>
      <c r="M429">
        <v>4.18</v>
      </c>
      <c r="N429">
        <v>83.6</v>
      </c>
      <c r="O429">
        <v>207</v>
      </c>
      <c r="P429" s="2">
        <v>46144</v>
      </c>
      <c r="Q429" s="2">
        <v>46144</v>
      </c>
      <c r="R429" t="s">
        <v>25</v>
      </c>
      <c r="S429" t="s">
        <v>51</v>
      </c>
    </row>
    <row r="430" spans="1:19" x14ac:dyDescent="0.25">
      <c r="A430" t="s">
        <v>520</v>
      </c>
      <c r="B430" s="2">
        <v>46130</v>
      </c>
      <c r="C430" t="s">
        <v>43</v>
      </c>
      <c r="D430" t="s">
        <v>44</v>
      </c>
      <c r="E430" t="s">
        <v>161</v>
      </c>
      <c r="F430" t="s">
        <v>56</v>
      </c>
      <c r="G430" t="s">
        <v>32</v>
      </c>
      <c r="H430">
        <v>282</v>
      </c>
      <c r="I430">
        <v>220</v>
      </c>
      <c r="J430">
        <v>6</v>
      </c>
      <c r="K430">
        <v>2.4</v>
      </c>
      <c r="L430">
        <v>29877.1</v>
      </c>
      <c r="M430">
        <v>5.91</v>
      </c>
      <c r="N430">
        <v>141.84</v>
      </c>
      <c r="O430">
        <v>263</v>
      </c>
      <c r="P430" s="2">
        <v>46132</v>
      </c>
      <c r="Q430" s="2">
        <v>46136</v>
      </c>
      <c r="R430" t="s">
        <v>25</v>
      </c>
      <c r="S430" t="s">
        <v>72</v>
      </c>
    </row>
    <row r="431" spans="1:19" x14ac:dyDescent="0.25">
      <c r="A431" t="s">
        <v>521</v>
      </c>
      <c r="B431" s="2">
        <v>46198</v>
      </c>
      <c r="C431" t="s">
        <v>28</v>
      </c>
      <c r="D431" t="s">
        <v>29</v>
      </c>
      <c r="E431" t="s">
        <v>30</v>
      </c>
      <c r="F431" t="s">
        <v>122</v>
      </c>
      <c r="G431" t="s">
        <v>24</v>
      </c>
      <c r="H431">
        <v>178</v>
      </c>
      <c r="I431">
        <v>182</v>
      </c>
      <c r="J431">
        <v>12</v>
      </c>
      <c r="K431">
        <v>2.2999999999999998</v>
      </c>
      <c r="L431">
        <v>31344.639999999999</v>
      </c>
      <c r="M431">
        <v>4.7300000000000004</v>
      </c>
      <c r="N431">
        <v>94.6</v>
      </c>
      <c r="O431">
        <v>258</v>
      </c>
      <c r="P431" s="2">
        <v>46205</v>
      </c>
      <c r="Q431" s="2">
        <v>46203</v>
      </c>
      <c r="R431" t="s">
        <v>25</v>
      </c>
      <c r="S431" t="s">
        <v>26</v>
      </c>
    </row>
    <row r="432" spans="1:19" x14ac:dyDescent="0.25">
      <c r="A432" t="s">
        <v>522</v>
      </c>
      <c r="B432" s="2">
        <v>46120</v>
      </c>
      <c r="C432" t="s">
        <v>59</v>
      </c>
      <c r="D432" t="s">
        <v>49</v>
      </c>
      <c r="E432" t="s">
        <v>76</v>
      </c>
      <c r="F432" t="s">
        <v>106</v>
      </c>
      <c r="G432" t="s">
        <v>24</v>
      </c>
      <c r="H432">
        <v>251</v>
      </c>
      <c r="I432">
        <v>220</v>
      </c>
      <c r="J432">
        <v>20</v>
      </c>
      <c r="K432">
        <v>5</v>
      </c>
      <c r="L432">
        <v>36993.82</v>
      </c>
      <c r="M432">
        <v>6.62</v>
      </c>
      <c r="N432">
        <v>145.63999999999999</v>
      </c>
      <c r="O432">
        <v>330</v>
      </c>
      <c r="P432" s="2">
        <v>46124</v>
      </c>
      <c r="Q432" s="2">
        <v>46123</v>
      </c>
      <c r="R432" t="s">
        <v>25</v>
      </c>
      <c r="S432" t="s">
        <v>72</v>
      </c>
    </row>
    <row r="433" spans="1:19" x14ac:dyDescent="0.25">
      <c r="A433" t="s">
        <v>523</v>
      </c>
      <c r="B433" s="2">
        <v>46059</v>
      </c>
      <c r="C433" t="s">
        <v>59</v>
      </c>
      <c r="D433" t="s">
        <v>49</v>
      </c>
      <c r="E433" t="s">
        <v>50</v>
      </c>
      <c r="F433" t="s">
        <v>96</v>
      </c>
      <c r="G433" t="s">
        <v>32</v>
      </c>
      <c r="H433">
        <v>160</v>
      </c>
      <c r="I433">
        <v>118</v>
      </c>
      <c r="J433">
        <v>1</v>
      </c>
      <c r="K433">
        <v>7.8</v>
      </c>
      <c r="L433">
        <v>24621.25</v>
      </c>
      <c r="M433">
        <v>4.75</v>
      </c>
      <c r="N433">
        <v>104.5</v>
      </c>
      <c r="O433">
        <v>187</v>
      </c>
      <c r="P433" s="2">
        <v>46070</v>
      </c>
      <c r="Q433" s="2">
        <v>46070</v>
      </c>
      <c r="R433" t="s">
        <v>39</v>
      </c>
      <c r="S433" t="s">
        <v>51</v>
      </c>
    </row>
    <row r="434" spans="1:19" x14ac:dyDescent="0.25">
      <c r="A434" t="s">
        <v>524</v>
      </c>
      <c r="B434" s="2">
        <v>46103</v>
      </c>
      <c r="C434" t="s">
        <v>53</v>
      </c>
      <c r="D434" t="s">
        <v>54</v>
      </c>
      <c r="E434" t="s">
        <v>55</v>
      </c>
      <c r="F434" t="s">
        <v>77</v>
      </c>
      <c r="G434" t="s">
        <v>57</v>
      </c>
      <c r="H434">
        <v>222</v>
      </c>
      <c r="I434">
        <v>241</v>
      </c>
      <c r="J434">
        <v>15</v>
      </c>
      <c r="K434">
        <v>7.2</v>
      </c>
      <c r="L434">
        <v>26176.57</v>
      </c>
      <c r="M434">
        <v>5.67</v>
      </c>
      <c r="N434">
        <v>102.06</v>
      </c>
      <c r="O434">
        <v>302</v>
      </c>
      <c r="P434" s="2">
        <v>46109</v>
      </c>
      <c r="Q434" s="2">
        <v>46109</v>
      </c>
      <c r="R434" t="s">
        <v>100</v>
      </c>
      <c r="S434" t="s">
        <v>72</v>
      </c>
    </row>
    <row r="435" spans="1:19" x14ac:dyDescent="0.25">
      <c r="A435" t="s">
        <v>525</v>
      </c>
      <c r="B435" s="2">
        <v>46033</v>
      </c>
      <c r="C435" t="s">
        <v>53</v>
      </c>
      <c r="D435" t="s">
        <v>54</v>
      </c>
      <c r="E435" t="s">
        <v>131</v>
      </c>
      <c r="F435" t="s">
        <v>61</v>
      </c>
      <c r="G435" t="s">
        <v>32</v>
      </c>
      <c r="H435">
        <v>261</v>
      </c>
      <c r="I435">
        <v>250</v>
      </c>
      <c r="J435">
        <v>11</v>
      </c>
      <c r="K435">
        <v>1</v>
      </c>
      <c r="L435">
        <v>34912.89</v>
      </c>
      <c r="M435">
        <v>6.6</v>
      </c>
      <c r="N435">
        <v>132</v>
      </c>
      <c r="O435">
        <v>293</v>
      </c>
      <c r="P435" s="2">
        <v>46037</v>
      </c>
      <c r="Q435" s="2">
        <v>46037</v>
      </c>
      <c r="R435" t="s">
        <v>39</v>
      </c>
      <c r="S435" t="s">
        <v>26</v>
      </c>
    </row>
    <row r="436" spans="1:19" x14ac:dyDescent="0.25">
      <c r="A436" t="s">
        <v>526</v>
      </c>
      <c r="B436" s="2">
        <v>46192</v>
      </c>
      <c r="C436" t="s">
        <v>28</v>
      </c>
      <c r="D436" t="s">
        <v>29</v>
      </c>
      <c r="E436" t="s">
        <v>30</v>
      </c>
      <c r="F436" t="s">
        <v>91</v>
      </c>
      <c r="G436" t="s">
        <v>24</v>
      </c>
      <c r="H436">
        <v>81</v>
      </c>
      <c r="I436">
        <v>76</v>
      </c>
      <c r="J436">
        <v>4</v>
      </c>
      <c r="K436">
        <v>3.7</v>
      </c>
      <c r="L436">
        <v>15784.55</v>
      </c>
      <c r="M436">
        <v>2.6</v>
      </c>
      <c r="N436">
        <v>57.2</v>
      </c>
      <c r="O436">
        <v>56</v>
      </c>
      <c r="P436" s="2">
        <v>46198</v>
      </c>
      <c r="Q436" s="2">
        <v>46197</v>
      </c>
      <c r="R436" t="s">
        <v>100</v>
      </c>
      <c r="S436" t="s">
        <v>33</v>
      </c>
    </row>
    <row r="437" spans="1:19" x14ac:dyDescent="0.25">
      <c r="A437" t="s">
        <v>527</v>
      </c>
      <c r="B437" s="2">
        <v>46105</v>
      </c>
      <c r="C437" t="s">
        <v>43</v>
      </c>
      <c r="D437" t="s">
        <v>44</v>
      </c>
      <c r="E437" t="s">
        <v>93</v>
      </c>
      <c r="F437" t="s">
        <v>112</v>
      </c>
      <c r="G437" t="s">
        <v>24</v>
      </c>
      <c r="H437">
        <v>100</v>
      </c>
      <c r="I437">
        <v>91</v>
      </c>
      <c r="J437">
        <v>6</v>
      </c>
      <c r="K437">
        <v>4.3</v>
      </c>
      <c r="L437">
        <v>10493.5</v>
      </c>
      <c r="M437">
        <v>3.08</v>
      </c>
      <c r="N437">
        <v>67.760000000000005</v>
      </c>
      <c r="O437">
        <v>71</v>
      </c>
      <c r="P437" s="2">
        <v>46117</v>
      </c>
      <c r="Q437" s="2">
        <v>46121</v>
      </c>
      <c r="R437" t="s">
        <v>25</v>
      </c>
      <c r="S437" t="s">
        <v>26</v>
      </c>
    </row>
    <row r="438" spans="1:19" x14ac:dyDescent="0.25">
      <c r="A438" t="s">
        <v>528</v>
      </c>
      <c r="B438" s="2">
        <v>46056</v>
      </c>
      <c r="C438" t="s">
        <v>28</v>
      </c>
      <c r="D438" t="s">
        <v>29</v>
      </c>
      <c r="E438" t="s">
        <v>63</v>
      </c>
      <c r="F438" t="s">
        <v>88</v>
      </c>
      <c r="G438" t="s">
        <v>57</v>
      </c>
      <c r="H438">
        <v>285</v>
      </c>
      <c r="I438">
        <v>284</v>
      </c>
      <c r="J438">
        <v>9</v>
      </c>
      <c r="K438">
        <v>0.5</v>
      </c>
      <c r="L438">
        <v>61529.91</v>
      </c>
      <c r="M438">
        <v>7.71</v>
      </c>
      <c r="N438">
        <v>185.04</v>
      </c>
      <c r="O438">
        <v>310</v>
      </c>
      <c r="P438" s="2">
        <v>46060</v>
      </c>
      <c r="Q438" s="2">
        <v>46060</v>
      </c>
      <c r="R438" t="s">
        <v>100</v>
      </c>
      <c r="S438" t="s">
        <v>51</v>
      </c>
    </row>
    <row r="439" spans="1:19" x14ac:dyDescent="0.25">
      <c r="A439" t="s">
        <v>529</v>
      </c>
      <c r="B439" s="2">
        <v>46064</v>
      </c>
      <c r="C439" t="s">
        <v>35</v>
      </c>
      <c r="D439" t="s">
        <v>36</v>
      </c>
      <c r="E439" t="s">
        <v>69</v>
      </c>
      <c r="F439" t="s">
        <v>85</v>
      </c>
      <c r="G439" t="s">
        <v>57</v>
      </c>
      <c r="H439">
        <v>152</v>
      </c>
      <c r="I439">
        <v>151</v>
      </c>
      <c r="J439">
        <v>13</v>
      </c>
      <c r="K439">
        <v>1.4</v>
      </c>
      <c r="L439">
        <v>13934.47</v>
      </c>
      <c r="M439">
        <v>5.38</v>
      </c>
      <c r="N439">
        <v>118.36</v>
      </c>
      <c r="O439">
        <v>145</v>
      </c>
      <c r="P439" s="2">
        <v>46071</v>
      </c>
      <c r="Q439" s="2">
        <v>46070</v>
      </c>
      <c r="R439" t="s">
        <v>25</v>
      </c>
      <c r="S439" t="s">
        <v>72</v>
      </c>
    </row>
    <row r="440" spans="1:19" x14ac:dyDescent="0.25">
      <c r="A440" t="s">
        <v>530</v>
      </c>
      <c r="B440" s="2">
        <v>46137</v>
      </c>
      <c r="C440" t="s">
        <v>35</v>
      </c>
      <c r="D440" t="s">
        <v>36</v>
      </c>
      <c r="E440" t="s">
        <v>69</v>
      </c>
      <c r="F440" t="s">
        <v>41</v>
      </c>
      <c r="G440" t="s">
        <v>57</v>
      </c>
      <c r="H440">
        <v>148</v>
      </c>
      <c r="I440">
        <v>142</v>
      </c>
      <c r="J440">
        <v>6</v>
      </c>
      <c r="K440">
        <v>6.8</v>
      </c>
      <c r="L440">
        <v>14981.66</v>
      </c>
      <c r="M440">
        <v>4.04</v>
      </c>
      <c r="N440">
        <v>96.96</v>
      </c>
      <c r="O440">
        <v>131</v>
      </c>
      <c r="P440" s="2">
        <v>46139</v>
      </c>
      <c r="Q440" s="2">
        <v>46140</v>
      </c>
      <c r="R440" t="s">
        <v>100</v>
      </c>
      <c r="S440" t="s">
        <v>51</v>
      </c>
    </row>
    <row r="441" spans="1:19" x14ac:dyDescent="0.25">
      <c r="A441" t="s">
        <v>531</v>
      </c>
      <c r="B441" s="2">
        <v>46149</v>
      </c>
      <c r="C441" t="s">
        <v>20</v>
      </c>
      <c r="D441" t="s">
        <v>21</v>
      </c>
      <c r="E441" t="s">
        <v>90</v>
      </c>
      <c r="F441" t="s">
        <v>64</v>
      </c>
      <c r="G441" t="s">
        <v>24</v>
      </c>
      <c r="H441">
        <v>199</v>
      </c>
      <c r="I441">
        <v>180</v>
      </c>
      <c r="J441">
        <v>15</v>
      </c>
      <c r="K441">
        <v>4.3</v>
      </c>
      <c r="L441">
        <v>45844.94</v>
      </c>
      <c r="M441">
        <v>7.14</v>
      </c>
      <c r="N441">
        <v>142.80000000000001</v>
      </c>
      <c r="O441">
        <v>292</v>
      </c>
      <c r="P441" s="2">
        <v>46157</v>
      </c>
      <c r="Q441" s="2">
        <v>46157</v>
      </c>
      <c r="R441" t="s">
        <v>39</v>
      </c>
      <c r="S441" t="s">
        <v>33</v>
      </c>
    </row>
    <row r="442" spans="1:19" x14ac:dyDescent="0.25">
      <c r="A442" t="s">
        <v>532</v>
      </c>
      <c r="B442" s="2">
        <v>46034</v>
      </c>
      <c r="C442" t="s">
        <v>20</v>
      </c>
      <c r="D442" t="s">
        <v>21</v>
      </c>
      <c r="E442" t="s">
        <v>66</v>
      </c>
      <c r="F442" t="s">
        <v>83</v>
      </c>
      <c r="G442" t="s">
        <v>57</v>
      </c>
      <c r="H442">
        <v>188</v>
      </c>
      <c r="I442">
        <v>168</v>
      </c>
      <c r="J442">
        <v>7</v>
      </c>
      <c r="K442">
        <v>6.5</v>
      </c>
      <c r="L442">
        <v>58191.48</v>
      </c>
      <c r="M442">
        <v>5.39</v>
      </c>
      <c r="N442">
        <v>140.13999999999999</v>
      </c>
      <c r="O442">
        <v>152</v>
      </c>
      <c r="P442" s="2">
        <v>46037</v>
      </c>
      <c r="Q442" s="2">
        <v>46041</v>
      </c>
      <c r="R442" t="s">
        <v>25</v>
      </c>
      <c r="S442" t="s">
        <v>72</v>
      </c>
    </row>
    <row r="443" spans="1:19" x14ac:dyDescent="0.25">
      <c r="A443" t="s">
        <v>533</v>
      </c>
      <c r="B443" s="2">
        <v>46034</v>
      </c>
      <c r="C443" t="s">
        <v>20</v>
      </c>
      <c r="D443" t="s">
        <v>21</v>
      </c>
      <c r="E443" t="s">
        <v>90</v>
      </c>
      <c r="F443" t="s">
        <v>112</v>
      </c>
      <c r="G443" t="s">
        <v>24</v>
      </c>
      <c r="H443">
        <v>304</v>
      </c>
      <c r="I443">
        <v>310</v>
      </c>
      <c r="J443">
        <v>10</v>
      </c>
      <c r="K443">
        <v>6.5</v>
      </c>
      <c r="L443">
        <v>108224.83</v>
      </c>
      <c r="M443">
        <v>11.59</v>
      </c>
      <c r="N443">
        <v>254.98</v>
      </c>
      <c r="O443">
        <v>311</v>
      </c>
      <c r="P443" s="2">
        <v>46039</v>
      </c>
      <c r="Q443" s="2">
        <v>46039</v>
      </c>
      <c r="R443" t="s">
        <v>25</v>
      </c>
      <c r="S443" t="s">
        <v>86</v>
      </c>
    </row>
    <row r="444" spans="1:19" x14ac:dyDescent="0.25">
      <c r="A444" t="s">
        <v>534</v>
      </c>
      <c r="B444" s="2">
        <v>46195</v>
      </c>
      <c r="C444" t="s">
        <v>20</v>
      </c>
      <c r="D444" t="s">
        <v>21</v>
      </c>
      <c r="E444" t="s">
        <v>90</v>
      </c>
      <c r="F444" t="s">
        <v>83</v>
      </c>
      <c r="G444" t="s">
        <v>32</v>
      </c>
      <c r="H444">
        <v>216</v>
      </c>
      <c r="I444">
        <v>157</v>
      </c>
      <c r="J444">
        <v>6</v>
      </c>
      <c r="K444">
        <v>0.1</v>
      </c>
      <c r="L444">
        <v>53123.56</v>
      </c>
      <c r="M444">
        <v>4.3499999999999996</v>
      </c>
      <c r="N444">
        <v>113.1</v>
      </c>
      <c r="O444">
        <v>300</v>
      </c>
      <c r="P444" s="2">
        <v>46201</v>
      </c>
      <c r="Q444" s="2">
        <v>46202</v>
      </c>
      <c r="R444" t="s">
        <v>100</v>
      </c>
      <c r="S444" t="s">
        <v>33</v>
      </c>
    </row>
    <row r="445" spans="1:19" x14ac:dyDescent="0.25">
      <c r="A445" t="s">
        <v>535</v>
      </c>
      <c r="B445" s="2">
        <v>46055</v>
      </c>
      <c r="C445" t="s">
        <v>43</v>
      </c>
      <c r="D445" t="s">
        <v>44</v>
      </c>
      <c r="E445" t="s">
        <v>93</v>
      </c>
      <c r="F445" t="s">
        <v>125</v>
      </c>
      <c r="G445" t="s">
        <v>32</v>
      </c>
      <c r="H445">
        <v>128</v>
      </c>
      <c r="I445">
        <v>98</v>
      </c>
      <c r="J445">
        <v>0</v>
      </c>
      <c r="K445">
        <v>8.6999999999999993</v>
      </c>
      <c r="L445">
        <v>11988.47</v>
      </c>
      <c r="M445">
        <v>3.29</v>
      </c>
      <c r="N445">
        <v>65.8</v>
      </c>
      <c r="O445">
        <v>199</v>
      </c>
      <c r="P445" s="2">
        <v>46067</v>
      </c>
      <c r="Q445" s="2">
        <v>46067</v>
      </c>
      <c r="R445" t="s">
        <v>25</v>
      </c>
      <c r="S445" t="s">
        <v>51</v>
      </c>
    </row>
    <row r="446" spans="1:19" x14ac:dyDescent="0.25">
      <c r="A446" t="s">
        <v>536</v>
      </c>
      <c r="B446" s="2">
        <v>46144</v>
      </c>
      <c r="C446" t="s">
        <v>35</v>
      </c>
      <c r="D446" t="s">
        <v>36</v>
      </c>
      <c r="E446" t="s">
        <v>37</v>
      </c>
      <c r="F446" t="s">
        <v>61</v>
      </c>
      <c r="G446" t="s">
        <v>32</v>
      </c>
      <c r="H446">
        <v>109</v>
      </c>
      <c r="I446">
        <v>86</v>
      </c>
      <c r="J446">
        <v>1</v>
      </c>
      <c r="K446">
        <v>6.3</v>
      </c>
      <c r="L446">
        <v>9170.24</v>
      </c>
      <c r="M446">
        <v>3.32</v>
      </c>
      <c r="N446">
        <v>86.32</v>
      </c>
      <c r="O446">
        <v>131</v>
      </c>
      <c r="P446" s="2">
        <v>46149</v>
      </c>
      <c r="Q446" s="2">
        <v>46149</v>
      </c>
      <c r="S446" t="s">
        <v>33</v>
      </c>
    </row>
    <row r="447" spans="1:19" x14ac:dyDescent="0.25">
      <c r="A447" t="s">
        <v>537</v>
      </c>
      <c r="B447" s="2">
        <v>46108</v>
      </c>
      <c r="C447" t="s">
        <v>80</v>
      </c>
      <c r="D447" t="s">
        <v>21</v>
      </c>
      <c r="E447" t="s">
        <v>22</v>
      </c>
      <c r="G447" t="s">
        <v>24</v>
      </c>
      <c r="H447">
        <v>241</v>
      </c>
      <c r="I447">
        <v>261</v>
      </c>
      <c r="J447">
        <v>11</v>
      </c>
      <c r="K447">
        <v>3.7</v>
      </c>
      <c r="L447">
        <v>70964.639999999999</v>
      </c>
      <c r="M447">
        <v>9.2799999999999994</v>
      </c>
      <c r="N447">
        <v>204.16</v>
      </c>
      <c r="O447">
        <v>210</v>
      </c>
      <c r="P447" s="2">
        <v>46117</v>
      </c>
      <c r="Q447" s="2">
        <v>46119</v>
      </c>
      <c r="R447" t="s">
        <v>100</v>
      </c>
      <c r="S447" t="s">
        <v>26</v>
      </c>
    </row>
    <row r="448" spans="1:19" x14ac:dyDescent="0.25">
      <c r="A448" t="s">
        <v>538</v>
      </c>
      <c r="B448" s="2">
        <v>46196</v>
      </c>
      <c r="C448" t="s">
        <v>53</v>
      </c>
      <c r="D448" t="s">
        <v>54</v>
      </c>
      <c r="E448" t="s">
        <v>55</v>
      </c>
      <c r="F448" t="s">
        <v>106</v>
      </c>
      <c r="G448" t="s">
        <v>32</v>
      </c>
      <c r="H448">
        <v>262</v>
      </c>
      <c r="I448">
        <v>195</v>
      </c>
      <c r="J448">
        <v>1</v>
      </c>
      <c r="K448">
        <v>5.2</v>
      </c>
      <c r="L448">
        <v>26630.02</v>
      </c>
      <c r="M448">
        <v>6.54</v>
      </c>
      <c r="N448">
        <v>156.96</v>
      </c>
      <c r="O448">
        <v>251</v>
      </c>
      <c r="P448" s="2">
        <v>46205</v>
      </c>
      <c r="Q448" s="2">
        <v>46206</v>
      </c>
      <c r="R448" t="s">
        <v>100</v>
      </c>
      <c r="S448" t="s">
        <v>33</v>
      </c>
    </row>
    <row r="449" spans="1:19" x14ac:dyDescent="0.25">
      <c r="A449" t="s">
        <v>539</v>
      </c>
      <c r="B449" s="2">
        <v>46064</v>
      </c>
      <c r="C449" t="s">
        <v>59</v>
      </c>
      <c r="D449" t="s">
        <v>49</v>
      </c>
      <c r="E449" t="s">
        <v>60</v>
      </c>
      <c r="F449" t="s">
        <v>61</v>
      </c>
      <c r="G449" t="s">
        <v>24</v>
      </c>
      <c r="H449">
        <v>129</v>
      </c>
      <c r="I449">
        <v>118</v>
      </c>
      <c r="J449">
        <v>5</v>
      </c>
      <c r="K449">
        <v>4.5999999999999996</v>
      </c>
      <c r="L449">
        <v>22308.62</v>
      </c>
      <c r="M449">
        <v>4.7300000000000004</v>
      </c>
      <c r="N449">
        <v>113.52</v>
      </c>
      <c r="O449">
        <v>122</v>
      </c>
      <c r="P449" s="2">
        <v>46070</v>
      </c>
      <c r="Q449" s="2">
        <v>46072</v>
      </c>
      <c r="R449" t="s">
        <v>100</v>
      </c>
      <c r="S449" t="s">
        <v>86</v>
      </c>
    </row>
    <row r="450" spans="1:19" x14ac:dyDescent="0.25">
      <c r="A450" t="s">
        <v>540</v>
      </c>
      <c r="B450" s="2">
        <v>46143</v>
      </c>
      <c r="C450" t="s">
        <v>43</v>
      </c>
      <c r="D450" t="s">
        <v>44</v>
      </c>
      <c r="E450" t="s">
        <v>45</v>
      </c>
      <c r="F450" t="s">
        <v>31</v>
      </c>
      <c r="G450" t="s">
        <v>24</v>
      </c>
      <c r="H450">
        <v>133</v>
      </c>
      <c r="I450">
        <v>111</v>
      </c>
      <c r="J450">
        <v>8</v>
      </c>
      <c r="K450">
        <v>6</v>
      </c>
      <c r="L450">
        <v>10389.59</v>
      </c>
      <c r="M450">
        <v>3.61</v>
      </c>
      <c r="N450">
        <v>64.98</v>
      </c>
      <c r="O450">
        <v>199</v>
      </c>
      <c r="P450" s="2">
        <v>46152</v>
      </c>
      <c r="Q450" s="2">
        <v>46152</v>
      </c>
      <c r="R450" t="s">
        <v>25</v>
      </c>
      <c r="S450" t="s">
        <v>33</v>
      </c>
    </row>
    <row r="451" spans="1:19" x14ac:dyDescent="0.25">
      <c r="A451" t="s">
        <v>541</v>
      </c>
      <c r="B451" s="2">
        <v>46027</v>
      </c>
      <c r="C451" t="s">
        <v>48</v>
      </c>
      <c r="D451" t="s">
        <v>49</v>
      </c>
      <c r="E451" t="s">
        <v>76</v>
      </c>
      <c r="F451" t="s">
        <v>122</v>
      </c>
      <c r="G451" t="s">
        <v>32</v>
      </c>
      <c r="H451">
        <v>171</v>
      </c>
      <c r="I451">
        <v>172</v>
      </c>
      <c r="J451">
        <v>3</v>
      </c>
      <c r="K451">
        <v>7.7</v>
      </c>
      <c r="L451">
        <v>37276.879999999997</v>
      </c>
      <c r="M451">
        <v>4.49</v>
      </c>
      <c r="N451">
        <v>80.819999999999993</v>
      </c>
      <c r="O451">
        <v>189</v>
      </c>
      <c r="P451" s="2">
        <v>46030</v>
      </c>
      <c r="Q451" s="2">
        <v>46030</v>
      </c>
      <c r="R451" t="s">
        <v>100</v>
      </c>
      <c r="S451" t="s">
        <v>86</v>
      </c>
    </row>
    <row r="452" spans="1:19" x14ac:dyDescent="0.25">
      <c r="A452" t="s">
        <v>542</v>
      </c>
      <c r="B452" s="2">
        <v>46034</v>
      </c>
      <c r="C452" t="s">
        <v>59</v>
      </c>
      <c r="D452" t="s">
        <v>49</v>
      </c>
      <c r="E452" t="s">
        <v>50</v>
      </c>
      <c r="F452" t="s">
        <v>64</v>
      </c>
      <c r="G452" t="s">
        <v>24</v>
      </c>
      <c r="H452">
        <v>298</v>
      </c>
      <c r="I452">
        <v>302</v>
      </c>
      <c r="J452">
        <v>15</v>
      </c>
      <c r="K452">
        <v>6</v>
      </c>
      <c r="L452">
        <v>63126.37</v>
      </c>
      <c r="M452">
        <v>8.61</v>
      </c>
      <c r="N452">
        <v>206.64</v>
      </c>
      <c r="O452">
        <v>286</v>
      </c>
      <c r="P452" s="2">
        <v>46037</v>
      </c>
      <c r="Q452" s="2">
        <v>46036</v>
      </c>
      <c r="R452" t="s">
        <v>39</v>
      </c>
      <c r="S452" t="s">
        <v>33</v>
      </c>
    </row>
    <row r="453" spans="1:19" x14ac:dyDescent="0.25">
      <c r="A453" t="s">
        <v>543</v>
      </c>
      <c r="B453" s="2">
        <v>46065</v>
      </c>
      <c r="C453" t="s">
        <v>20</v>
      </c>
      <c r="D453" t="s">
        <v>21</v>
      </c>
      <c r="E453" t="s">
        <v>22</v>
      </c>
      <c r="F453" t="s">
        <v>56</v>
      </c>
      <c r="G453" t="s">
        <v>57</v>
      </c>
      <c r="H453">
        <v>313</v>
      </c>
      <c r="I453">
        <v>274</v>
      </c>
      <c r="J453">
        <v>19</v>
      </c>
      <c r="K453">
        <v>6.4</v>
      </c>
      <c r="L453">
        <v>97061.42</v>
      </c>
      <c r="M453">
        <v>10.66</v>
      </c>
      <c r="N453">
        <v>213.2</v>
      </c>
      <c r="O453">
        <v>366</v>
      </c>
      <c r="P453" s="2">
        <v>46072</v>
      </c>
      <c r="Q453" s="2">
        <v>46072</v>
      </c>
      <c r="R453" t="s">
        <v>25</v>
      </c>
      <c r="S453" t="s">
        <v>72</v>
      </c>
    </row>
    <row r="454" spans="1:19" x14ac:dyDescent="0.25">
      <c r="A454" t="s">
        <v>544</v>
      </c>
      <c r="B454" s="2">
        <v>46129</v>
      </c>
      <c r="C454" t="s">
        <v>80</v>
      </c>
      <c r="D454" t="s">
        <v>21</v>
      </c>
      <c r="E454" t="s">
        <v>22</v>
      </c>
      <c r="F454" t="s">
        <v>170</v>
      </c>
      <c r="G454" t="s">
        <v>32</v>
      </c>
      <c r="H454">
        <v>293</v>
      </c>
      <c r="I454">
        <v>312</v>
      </c>
      <c r="J454">
        <v>11</v>
      </c>
      <c r="K454">
        <v>4.5</v>
      </c>
      <c r="L454">
        <v>68368.37</v>
      </c>
      <c r="M454">
        <v>11.27</v>
      </c>
      <c r="N454">
        <v>247.94</v>
      </c>
      <c r="O454">
        <v>315</v>
      </c>
      <c r="P454" s="2">
        <v>46133</v>
      </c>
      <c r="Q454" s="2">
        <v>46135</v>
      </c>
      <c r="R454" t="s">
        <v>25</v>
      </c>
      <c r="S454" t="s">
        <v>72</v>
      </c>
    </row>
    <row r="455" spans="1:19" x14ac:dyDescent="0.25">
      <c r="A455" t="s">
        <v>545</v>
      </c>
      <c r="B455" s="2">
        <v>46127</v>
      </c>
      <c r="C455" t="s">
        <v>53</v>
      </c>
      <c r="D455" t="s">
        <v>54</v>
      </c>
      <c r="E455" t="s">
        <v>131</v>
      </c>
      <c r="F455" t="s">
        <v>197</v>
      </c>
      <c r="G455" t="s">
        <v>57</v>
      </c>
      <c r="H455">
        <v>87</v>
      </c>
      <c r="I455">
        <v>79</v>
      </c>
      <c r="J455">
        <v>5</v>
      </c>
      <c r="K455">
        <v>6.5</v>
      </c>
      <c r="L455">
        <v>10048.879999999999</v>
      </c>
      <c r="M455">
        <v>2.06</v>
      </c>
      <c r="N455">
        <v>49.44</v>
      </c>
      <c r="O455">
        <v>92</v>
      </c>
      <c r="P455" s="2">
        <v>46135</v>
      </c>
      <c r="Q455" s="2">
        <v>46133</v>
      </c>
      <c r="R455" t="s">
        <v>100</v>
      </c>
      <c r="S455" t="s">
        <v>51</v>
      </c>
    </row>
    <row r="456" spans="1:19" x14ac:dyDescent="0.25">
      <c r="A456" t="s">
        <v>546</v>
      </c>
      <c r="B456" s="2">
        <v>46170</v>
      </c>
      <c r="C456" t="s">
        <v>80</v>
      </c>
      <c r="D456" t="s">
        <v>21</v>
      </c>
      <c r="E456" t="s">
        <v>66</v>
      </c>
      <c r="F456" t="s">
        <v>38</v>
      </c>
      <c r="G456" t="s">
        <v>24</v>
      </c>
      <c r="H456">
        <v>262</v>
      </c>
      <c r="I456">
        <v>278</v>
      </c>
      <c r="J456">
        <v>23</v>
      </c>
      <c r="K456">
        <v>8.8000000000000007</v>
      </c>
      <c r="L456">
        <v>79423.78</v>
      </c>
      <c r="M456">
        <v>9.68</v>
      </c>
      <c r="N456">
        <v>212.96</v>
      </c>
      <c r="O456">
        <v>302</v>
      </c>
      <c r="P456" s="2">
        <v>46177</v>
      </c>
      <c r="Q456" s="2">
        <v>46175</v>
      </c>
      <c r="R456" t="s">
        <v>25</v>
      </c>
      <c r="S456" t="s">
        <v>26</v>
      </c>
    </row>
    <row r="457" spans="1:19" x14ac:dyDescent="0.25">
      <c r="A457" t="s">
        <v>547</v>
      </c>
      <c r="B457" s="2">
        <v>46060</v>
      </c>
      <c r="C457" t="s">
        <v>35</v>
      </c>
      <c r="D457" t="s">
        <v>36</v>
      </c>
      <c r="E457" t="s">
        <v>69</v>
      </c>
      <c r="F457" t="s">
        <v>137</v>
      </c>
      <c r="G457" t="s">
        <v>32</v>
      </c>
      <c r="H457">
        <v>244</v>
      </c>
      <c r="I457">
        <v>197</v>
      </c>
      <c r="J457">
        <v>10</v>
      </c>
      <c r="K457">
        <v>7.1</v>
      </c>
      <c r="L457">
        <v>20142.990000000002</v>
      </c>
      <c r="M457">
        <v>7.74</v>
      </c>
      <c r="N457">
        <v>185.76</v>
      </c>
      <c r="O457">
        <v>254</v>
      </c>
      <c r="P457" s="2">
        <v>46066</v>
      </c>
      <c r="Q457" s="2">
        <v>46065</v>
      </c>
      <c r="R457" t="s">
        <v>25</v>
      </c>
      <c r="S457" t="s">
        <v>72</v>
      </c>
    </row>
    <row r="458" spans="1:19" x14ac:dyDescent="0.25">
      <c r="A458" t="s">
        <v>548</v>
      </c>
      <c r="B458" s="2">
        <v>46055</v>
      </c>
      <c r="C458" t="s">
        <v>59</v>
      </c>
      <c r="D458" t="s">
        <v>49</v>
      </c>
      <c r="E458" t="s">
        <v>50</v>
      </c>
      <c r="F458" t="s">
        <v>85</v>
      </c>
      <c r="G458" t="s">
        <v>57</v>
      </c>
      <c r="H458">
        <v>103</v>
      </c>
      <c r="I458">
        <v>96</v>
      </c>
      <c r="J458">
        <v>3</v>
      </c>
      <c r="K458">
        <v>3.1</v>
      </c>
      <c r="L458">
        <v>15339.51</v>
      </c>
      <c r="M458">
        <v>3.78</v>
      </c>
      <c r="N458">
        <v>98.28</v>
      </c>
      <c r="O458">
        <v>129</v>
      </c>
      <c r="P458" s="2">
        <v>46060</v>
      </c>
      <c r="Q458" s="2">
        <v>46060</v>
      </c>
      <c r="R458" t="s">
        <v>100</v>
      </c>
      <c r="S458" t="s">
        <v>33</v>
      </c>
    </row>
    <row r="459" spans="1:19" x14ac:dyDescent="0.25">
      <c r="A459" t="s">
        <v>549</v>
      </c>
      <c r="B459" s="2">
        <v>46118</v>
      </c>
      <c r="C459" t="s">
        <v>59</v>
      </c>
      <c r="D459" t="s">
        <v>49</v>
      </c>
      <c r="E459" t="s">
        <v>60</v>
      </c>
      <c r="F459" t="s">
        <v>125</v>
      </c>
      <c r="G459" t="s">
        <v>32</v>
      </c>
      <c r="H459">
        <v>209</v>
      </c>
      <c r="I459">
        <v>182</v>
      </c>
      <c r="J459">
        <v>1</v>
      </c>
      <c r="K459">
        <v>5.9</v>
      </c>
      <c r="L459">
        <v>26001.53</v>
      </c>
      <c r="M459">
        <v>6.49</v>
      </c>
      <c r="N459">
        <v>155.76</v>
      </c>
      <c r="O459">
        <v>255</v>
      </c>
      <c r="P459" s="2">
        <v>46123</v>
      </c>
      <c r="Q459" s="2">
        <v>46123</v>
      </c>
      <c r="R459" t="s">
        <v>25</v>
      </c>
      <c r="S459" t="s">
        <v>26</v>
      </c>
    </row>
    <row r="460" spans="1:19" x14ac:dyDescent="0.25">
      <c r="A460" t="s">
        <v>550</v>
      </c>
      <c r="B460" s="2">
        <v>46195</v>
      </c>
      <c r="C460" t="s">
        <v>43</v>
      </c>
      <c r="D460" t="s">
        <v>44</v>
      </c>
      <c r="E460" t="s">
        <v>45</v>
      </c>
      <c r="F460" t="s">
        <v>88</v>
      </c>
      <c r="G460" t="s">
        <v>57</v>
      </c>
      <c r="H460">
        <v>176</v>
      </c>
      <c r="I460">
        <v>166</v>
      </c>
      <c r="J460">
        <v>4</v>
      </c>
      <c r="K460">
        <v>3</v>
      </c>
      <c r="L460">
        <v>21814.55</v>
      </c>
      <c r="M460">
        <v>4.43</v>
      </c>
      <c r="N460">
        <v>79.739999999999995</v>
      </c>
      <c r="O460">
        <v>173</v>
      </c>
      <c r="P460" s="2">
        <v>46203</v>
      </c>
      <c r="Q460" s="2">
        <v>46205</v>
      </c>
      <c r="R460" t="s">
        <v>25</v>
      </c>
      <c r="S460" t="s">
        <v>72</v>
      </c>
    </row>
    <row r="461" spans="1:19" x14ac:dyDescent="0.25">
      <c r="A461" t="s">
        <v>551</v>
      </c>
      <c r="B461" s="2">
        <v>46056</v>
      </c>
      <c r="C461" t="s">
        <v>53</v>
      </c>
      <c r="D461" t="s">
        <v>54</v>
      </c>
      <c r="E461" t="s">
        <v>55</v>
      </c>
      <c r="F461" t="s">
        <v>106</v>
      </c>
      <c r="G461" t="s">
        <v>32</v>
      </c>
      <c r="H461">
        <v>194</v>
      </c>
      <c r="I461">
        <v>146</v>
      </c>
      <c r="J461">
        <v>9</v>
      </c>
      <c r="K461">
        <v>3.6</v>
      </c>
      <c r="L461">
        <v>22892.73</v>
      </c>
      <c r="M461">
        <v>5.68</v>
      </c>
      <c r="N461">
        <v>147.68</v>
      </c>
      <c r="O461">
        <v>281</v>
      </c>
      <c r="P461" s="2">
        <v>46068</v>
      </c>
      <c r="Q461" s="2">
        <v>46070</v>
      </c>
      <c r="R461" t="s">
        <v>100</v>
      </c>
      <c r="S461" t="s">
        <v>72</v>
      </c>
    </row>
    <row r="462" spans="1:19" x14ac:dyDescent="0.25">
      <c r="A462" t="s">
        <v>552</v>
      </c>
      <c r="B462" s="2">
        <v>46064</v>
      </c>
      <c r="C462" t="s">
        <v>43</v>
      </c>
      <c r="D462" t="s">
        <v>44</v>
      </c>
      <c r="E462" t="s">
        <v>45</v>
      </c>
      <c r="F462" t="s">
        <v>91</v>
      </c>
      <c r="G462" t="s">
        <v>57</v>
      </c>
      <c r="H462">
        <v>112</v>
      </c>
      <c r="I462">
        <v>103</v>
      </c>
      <c r="J462">
        <v>4</v>
      </c>
      <c r="K462">
        <v>8.6999999999999993</v>
      </c>
      <c r="L462">
        <v>12252.21</v>
      </c>
      <c r="M462">
        <v>3.57</v>
      </c>
      <c r="N462">
        <v>85.68</v>
      </c>
      <c r="O462">
        <v>193</v>
      </c>
      <c r="P462" s="2">
        <v>46066</v>
      </c>
      <c r="Q462" s="2">
        <v>46066</v>
      </c>
      <c r="R462" t="s">
        <v>39</v>
      </c>
      <c r="S462" t="s">
        <v>26</v>
      </c>
    </row>
    <row r="463" spans="1:19" x14ac:dyDescent="0.25">
      <c r="A463" t="s">
        <v>553</v>
      </c>
      <c r="B463" s="2">
        <v>46127</v>
      </c>
      <c r="C463" t="s">
        <v>20</v>
      </c>
      <c r="D463" t="s">
        <v>21</v>
      </c>
      <c r="E463" t="s">
        <v>22</v>
      </c>
      <c r="F463" t="s">
        <v>77</v>
      </c>
      <c r="G463" t="s">
        <v>57</v>
      </c>
      <c r="H463">
        <v>174</v>
      </c>
      <c r="I463">
        <v>168</v>
      </c>
      <c r="J463">
        <v>1</v>
      </c>
      <c r="K463">
        <v>1.4</v>
      </c>
      <c r="L463">
        <v>58710.37</v>
      </c>
      <c r="M463">
        <v>4.25</v>
      </c>
      <c r="N463">
        <v>102</v>
      </c>
      <c r="O463">
        <v>141</v>
      </c>
      <c r="P463" s="2">
        <v>46131</v>
      </c>
      <c r="Q463" s="2">
        <v>46131</v>
      </c>
      <c r="R463" t="s">
        <v>39</v>
      </c>
      <c r="S463" t="s">
        <v>86</v>
      </c>
    </row>
    <row r="464" spans="1:19" x14ac:dyDescent="0.25">
      <c r="A464" t="s">
        <v>554</v>
      </c>
      <c r="B464" s="2">
        <v>46095</v>
      </c>
      <c r="C464" t="s">
        <v>28</v>
      </c>
      <c r="D464" t="s">
        <v>29</v>
      </c>
      <c r="E464" t="s">
        <v>63</v>
      </c>
      <c r="F464" t="s">
        <v>61</v>
      </c>
      <c r="G464" t="s">
        <v>24</v>
      </c>
      <c r="H464">
        <v>289</v>
      </c>
      <c r="I464">
        <v>299</v>
      </c>
      <c r="J464">
        <v>1</v>
      </c>
      <c r="K464">
        <v>4.9000000000000004</v>
      </c>
      <c r="L464">
        <v>50675.97</v>
      </c>
      <c r="M464">
        <v>8.83</v>
      </c>
      <c r="N464">
        <v>194.26</v>
      </c>
      <c r="O464">
        <v>364</v>
      </c>
      <c r="P464" s="2">
        <v>46102</v>
      </c>
      <c r="Q464" s="2">
        <v>46104</v>
      </c>
      <c r="R464" t="s">
        <v>100</v>
      </c>
      <c r="S464" t="s">
        <v>26</v>
      </c>
    </row>
    <row r="465" spans="1:19" x14ac:dyDescent="0.25">
      <c r="A465" t="s">
        <v>555</v>
      </c>
      <c r="B465" s="2">
        <v>46056</v>
      </c>
      <c r="C465" t="s">
        <v>43</v>
      </c>
      <c r="D465" t="s">
        <v>44</v>
      </c>
      <c r="E465" t="s">
        <v>45</v>
      </c>
      <c r="F465" t="s">
        <v>96</v>
      </c>
      <c r="G465" t="s">
        <v>24</v>
      </c>
      <c r="H465">
        <v>242</v>
      </c>
      <c r="I465">
        <v>222</v>
      </c>
      <c r="J465">
        <v>10</v>
      </c>
      <c r="K465">
        <v>4</v>
      </c>
      <c r="L465">
        <v>28137.66</v>
      </c>
      <c r="M465">
        <v>8.26</v>
      </c>
      <c r="N465">
        <v>214.76</v>
      </c>
      <c r="O465">
        <v>306</v>
      </c>
      <c r="P465" s="2">
        <v>46064</v>
      </c>
      <c r="Q465" s="2">
        <v>46064</v>
      </c>
      <c r="R465" t="s">
        <v>100</v>
      </c>
      <c r="S465" t="s">
        <v>33</v>
      </c>
    </row>
    <row r="466" spans="1:19" x14ac:dyDescent="0.25">
      <c r="A466" t="s">
        <v>556</v>
      </c>
      <c r="B466" s="2">
        <v>46194</v>
      </c>
      <c r="C466" t="s">
        <v>53</v>
      </c>
      <c r="D466" t="s">
        <v>54</v>
      </c>
      <c r="E466" t="s">
        <v>131</v>
      </c>
      <c r="F466" t="s">
        <v>85</v>
      </c>
      <c r="G466" t="s">
        <v>57</v>
      </c>
      <c r="H466">
        <v>245</v>
      </c>
      <c r="I466">
        <v>185</v>
      </c>
      <c r="J466">
        <v>3</v>
      </c>
      <c r="K466">
        <v>0.2</v>
      </c>
      <c r="L466">
        <v>29681.82</v>
      </c>
      <c r="M466">
        <v>4.7</v>
      </c>
      <c r="N466">
        <v>84.6</v>
      </c>
      <c r="O466">
        <v>226</v>
      </c>
      <c r="P466" s="2">
        <v>46199</v>
      </c>
      <c r="Q466" s="2">
        <v>46197</v>
      </c>
      <c r="R466" t="s">
        <v>39</v>
      </c>
      <c r="S466" t="s">
        <v>72</v>
      </c>
    </row>
    <row r="467" spans="1:19" x14ac:dyDescent="0.25">
      <c r="A467" t="s">
        <v>557</v>
      </c>
      <c r="B467" s="2">
        <v>46151</v>
      </c>
      <c r="C467" t="s">
        <v>80</v>
      </c>
      <c r="D467" t="s">
        <v>21</v>
      </c>
      <c r="E467" t="s">
        <v>22</v>
      </c>
      <c r="F467" t="s">
        <v>114</v>
      </c>
      <c r="G467" t="s">
        <v>57</v>
      </c>
      <c r="H467">
        <v>248</v>
      </c>
      <c r="I467">
        <v>278</v>
      </c>
      <c r="J467">
        <v>5</v>
      </c>
      <c r="K467">
        <v>0.2</v>
      </c>
      <c r="L467">
        <v>76218.740000000005</v>
      </c>
      <c r="M467">
        <v>9.7100000000000009</v>
      </c>
      <c r="N467">
        <v>252.46</v>
      </c>
      <c r="O467">
        <v>321</v>
      </c>
      <c r="P467" s="2">
        <v>46154</v>
      </c>
      <c r="Q467" s="2">
        <v>46155</v>
      </c>
      <c r="R467" t="s">
        <v>100</v>
      </c>
      <c r="S467" t="s">
        <v>72</v>
      </c>
    </row>
    <row r="468" spans="1:19" x14ac:dyDescent="0.25">
      <c r="A468" t="s">
        <v>558</v>
      </c>
      <c r="B468" s="2">
        <v>46028</v>
      </c>
      <c r="C468" t="s">
        <v>48</v>
      </c>
      <c r="D468" t="s">
        <v>49</v>
      </c>
      <c r="E468" t="s">
        <v>76</v>
      </c>
      <c r="F468" t="s">
        <v>197</v>
      </c>
      <c r="G468" t="s">
        <v>57</v>
      </c>
      <c r="H468">
        <v>126</v>
      </c>
      <c r="I468">
        <v>113</v>
      </c>
      <c r="J468">
        <v>9</v>
      </c>
      <c r="K468">
        <v>2.9</v>
      </c>
      <c r="L468">
        <v>18498.97</v>
      </c>
      <c r="M468">
        <v>2.2999999999999998</v>
      </c>
      <c r="N468">
        <v>46</v>
      </c>
      <c r="O468">
        <v>159</v>
      </c>
      <c r="P468" s="2">
        <v>46032</v>
      </c>
      <c r="Q468" s="2">
        <v>46032</v>
      </c>
      <c r="R468" t="s">
        <v>25</v>
      </c>
      <c r="S468" t="s">
        <v>51</v>
      </c>
    </row>
    <row r="469" spans="1:19" x14ac:dyDescent="0.25">
      <c r="A469" t="s">
        <v>559</v>
      </c>
      <c r="B469" s="2">
        <v>46101</v>
      </c>
      <c r="C469" t="s">
        <v>35</v>
      </c>
      <c r="D469" t="s">
        <v>36</v>
      </c>
      <c r="E469" t="s">
        <v>37</v>
      </c>
      <c r="F469" t="s">
        <v>64</v>
      </c>
      <c r="G469" t="s">
        <v>57</v>
      </c>
      <c r="H469">
        <v>95</v>
      </c>
      <c r="I469">
        <v>93</v>
      </c>
      <c r="J469">
        <v>3</v>
      </c>
      <c r="K469">
        <v>0.2</v>
      </c>
      <c r="L469">
        <v>6989.78</v>
      </c>
      <c r="M469">
        <v>2.39</v>
      </c>
      <c r="N469">
        <v>57.36</v>
      </c>
      <c r="O469">
        <v>137</v>
      </c>
      <c r="P469" s="2">
        <v>46107</v>
      </c>
      <c r="Q469" s="2">
        <v>46109</v>
      </c>
      <c r="R469" t="s">
        <v>25</v>
      </c>
      <c r="S469" t="s">
        <v>51</v>
      </c>
    </row>
    <row r="470" spans="1:19" x14ac:dyDescent="0.25">
      <c r="A470" t="s">
        <v>560</v>
      </c>
      <c r="B470" s="2">
        <v>46175</v>
      </c>
      <c r="C470" t="s">
        <v>28</v>
      </c>
      <c r="D470" t="s">
        <v>29</v>
      </c>
      <c r="E470" t="s">
        <v>95</v>
      </c>
      <c r="F470" t="s">
        <v>122</v>
      </c>
      <c r="G470" t="s">
        <v>24</v>
      </c>
      <c r="H470">
        <v>210</v>
      </c>
      <c r="I470">
        <v>219</v>
      </c>
      <c r="J470">
        <v>8</v>
      </c>
      <c r="K470">
        <v>1</v>
      </c>
      <c r="L470">
        <v>41747.86</v>
      </c>
      <c r="M470">
        <v>6.08</v>
      </c>
      <c r="N470">
        <v>145.91999999999999</v>
      </c>
      <c r="O470">
        <v>177</v>
      </c>
      <c r="P470" s="2">
        <v>46183</v>
      </c>
      <c r="Q470" s="2">
        <v>46183</v>
      </c>
      <c r="R470" t="s">
        <v>25</v>
      </c>
      <c r="S470" t="s">
        <v>26</v>
      </c>
    </row>
    <row r="471" spans="1:19" x14ac:dyDescent="0.25">
      <c r="A471" t="s">
        <v>561</v>
      </c>
      <c r="B471" s="2">
        <v>46195</v>
      </c>
      <c r="C471" t="s">
        <v>20</v>
      </c>
      <c r="D471" t="s">
        <v>21</v>
      </c>
      <c r="E471" t="s">
        <v>22</v>
      </c>
      <c r="F471" t="s">
        <v>137</v>
      </c>
      <c r="G471" t="s">
        <v>32</v>
      </c>
      <c r="H471">
        <v>275</v>
      </c>
      <c r="I471">
        <v>263</v>
      </c>
      <c r="J471">
        <v>19</v>
      </c>
      <c r="K471">
        <v>2.7</v>
      </c>
      <c r="L471">
        <v>73143.94</v>
      </c>
      <c r="M471">
        <v>8.75</v>
      </c>
      <c r="N471">
        <v>175</v>
      </c>
      <c r="O471">
        <v>271</v>
      </c>
      <c r="P471" s="2">
        <v>46202</v>
      </c>
      <c r="Q471" s="2">
        <v>46202</v>
      </c>
      <c r="R471" t="s">
        <v>25</v>
      </c>
      <c r="S471" t="s">
        <v>26</v>
      </c>
    </row>
    <row r="472" spans="1:19" x14ac:dyDescent="0.25">
      <c r="A472" t="s">
        <v>562</v>
      </c>
      <c r="B472" s="2">
        <v>46138</v>
      </c>
      <c r="C472" t="s">
        <v>80</v>
      </c>
      <c r="D472" t="s">
        <v>21</v>
      </c>
      <c r="E472" t="s">
        <v>22</v>
      </c>
      <c r="F472" t="s">
        <v>91</v>
      </c>
      <c r="G472" t="s">
        <v>24</v>
      </c>
      <c r="H472">
        <v>288</v>
      </c>
      <c r="I472">
        <v>264</v>
      </c>
      <c r="J472">
        <v>21</v>
      </c>
      <c r="K472">
        <v>2.6</v>
      </c>
      <c r="L472">
        <v>71360.17</v>
      </c>
      <c r="M472">
        <v>10.67</v>
      </c>
      <c r="N472">
        <v>256.08</v>
      </c>
      <c r="O472">
        <v>317</v>
      </c>
      <c r="P472" s="2">
        <v>46149</v>
      </c>
      <c r="Q472" s="2">
        <v>46149</v>
      </c>
      <c r="R472" t="s">
        <v>100</v>
      </c>
      <c r="S472" t="s">
        <v>51</v>
      </c>
    </row>
    <row r="473" spans="1:19" x14ac:dyDescent="0.25">
      <c r="A473" t="s">
        <v>563</v>
      </c>
      <c r="B473" s="2">
        <v>46172</v>
      </c>
      <c r="C473" t="s">
        <v>59</v>
      </c>
      <c r="D473" t="s">
        <v>49</v>
      </c>
      <c r="E473" t="s">
        <v>50</v>
      </c>
      <c r="F473" t="s">
        <v>85</v>
      </c>
      <c r="G473" t="s">
        <v>32</v>
      </c>
      <c r="H473">
        <v>121</v>
      </c>
      <c r="I473">
        <v>125</v>
      </c>
      <c r="J473">
        <v>6</v>
      </c>
      <c r="K473">
        <v>2.7</v>
      </c>
      <c r="L473">
        <v>18885.23</v>
      </c>
      <c r="M473">
        <v>2.67</v>
      </c>
      <c r="N473">
        <v>69.42</v>
      </c>
      <c r="O473">
        <v>152</v>
      </c>
      <c r="P473" s="2">
        <v>46180</v>
      </c>
      <c r="Q473" s="2">
        <v>46180</v>
      </c>
      <c r="R473" t="s">
        <v>39</v>
      </c>
      <c r="S473" t="s">
        <v>86</v>
      </c>
    </row>
    <row r="474" spans="1:19" x14ac:dyDescent="0.25">
      <c r="A474" t="s">
        <v>564</v>
      </c>
      <c r="B474" s="2">
        <v>46185</v>
      </c>
      <c r="C474" t="s">
        <v>59</v>
      </c>
      <c r="D474" t="s">
        <v>49</v>
      </c>
      <c r="E474" t="s">
        <v>60</v>
      </c>
      <c r="F474" t="s">
        <v>38</v>
      </c>
      <c r="G474" t="s">
        <v>57</v>
      </c>
      <c r="H474">
        <v>195</v>
      </c>
      <c r="I474">
        <v>163</v>
      </c>
      <c r="J474">
        <v>10</v>
      </c>
      <c r="K474">
        <v>2.9</v>
      </c>
      <c r="L474">
        <v>28631.91</v>
      </c>
      <c r="M474">
        <v>4.22</v>
      </c>
      <c r="N474">
        <v>84.4</v>
      </c>
      <c r="O474">
        <v>155</v>
      </c>
      <c r="P474" s="2">
        <v>46196</v>
      </c>
      <c r="Q474" s="2">
        <v>46200</v>
      </c>
      <c r="R474" t="s">
        <v>25</v>
      </c>
      <c r="S474" t="s">
        <v>51</v>
      </c>
    </row>
    <row r="475" spans="1:19" x14ac:dyDescent="0.25">
      <c r="A475" t="s">
        <v>565</v>
      </c>
      <c r="B475" s="2">
        <v>46128</v>
      </c>
      <c r="C475" t="s">
        <v>53</v>
      </c>
      <c r="D475" t="s">
        <v>54</v>
      </c>
      <c r="E475" t="s">
        <v>131</v>
      </c>
      <c r="F475" t="s">
        <v>91</v>
      </c>
      <c r="G475" t="s">
        <v>32</v>
      </c>
      <c r="H475">
        <v>217</v>
      </c>
      <c r="I475">
        <v>163</v>
      </c>
      <c r="J475">
        <v>13</v>
      </c>
      <c r="K475">
        <v>5.9</v>
      </c>
      <c r="L475">
        <v>26094.3</v>
      </c>
      <c r="M475">
        <v>6.13</v>
      </c>
      <c r="N475">
        <v>147.12</v>
      </c>
      <c r="O475">
        <v>208</v>
      </c>
      <c r="P475" s="2">
        <v>46135</v>
      </c>
      <c r="Q475" s="2">
        <v>46137</v>
      </c>
      <c r="R475" t="s">
        <v>39</v>
      </c>
      <c r="S475" t="s">
        <v>51</v>
      </c>
    </row>
    <row r="476" spans="1:19" x14ac:dyDescent="0.25">
      <c r="A476" t="s">
        <v>566</v>
      </c>
      <c r="B476" s="2">
        <v>46201</v>
      </c>
      <c r="C476" t="s">
        <v>80</v>
      </c>
      <c r="D476" t="s">
        <v>21</v>
      </c>
      <c r="E476" t="s">
        <v>22</v>
      </c>
      <c r="F476" t="s">
        <v>23</v>
      </c>
      <c r="G476" t="s">
        <v>32</v>
      </c>
      <c r="H476">
        <v>198</v>
      </c>
      <c r="I476">
        <v>174</v>
      </c>
      <c r="J476">
        <v>3</v>
      </c>
      <c r="K476">
        <v>0.1</v>
      </c>
      <c r="L476">
        <v>53959.33</v>
      </c>
      <c r="M476">
        <v>5.97</v>
      </c>
      <c r="N476">
        <v>131.34</v>
      </c>
      <c r="O476">
        <v>207</v>
      </c>
      <c r="P476" s="2">
        <v>46204</v>
      </c>
      <c r="Q476" s="2">
        <v>46204</v>
      </c>
      <c r="R476" t="s">
        <v>25</v>
      </c>
      <c r="S476" t="s">
        <v>86</v>
      </c>
    </row>
    <row r="477" spans="1:19" x14ac:dyDescent="0.25">
      <c r="A477" t="s">
        <v>567</v>
      </c>
      <c r="B477" s="2">
        <v>46032</v>
      </c>
      <c r="C477" t="s">
        <v>59</v>
      </c>
      <c r="D477" t="s">
        <v>49</v>
      </c>
      <c r="E477" t="s">
        <v>76</v>
      </c>
      <c r="F477" t="s">
        <v>31</v>
      </c>
      <c r="G477" t="s">
        <v>24</v>
      </c>
      <c r="H477">
        <v>311</v>
      </c>
      <c r="I477">
        <v>318</v>
      </c>
      <c r="J477">
        <v>18</v>
      </c>
      <c r="K477">
        <v>0.1</v>
      </c>
      <c r="L477">
        <v>67628.55</v>
      </c>
      <c r="M477">
        <v>6.57</v>
      </c>
      <c r="N477">
        <v>144.54</v>
      </c>
      <c r="O477">
        <v>399</v>
      </c>
      <c r="P477" s="2">
        <v>46041</v>
      </c>
      <c r="Q477" s="2">
        <v>46041</v>
      </c>
      <c r="R477" t="s">
        <v>39</v>
      </c>
      <c r="S477" t="s">
        <v>26</v>
      </c>
    </row>
    <row r="478" spans="1:19" x14ac:dyDescent="0.25">
      <c r="A478" t="s">
        <v>568</v>
      </c>
      <c r="B478" s="2">
        <v>46195</v>
      </c>
      <c r="C478" t="s">
        <v>43</v>
      </c>
      <c r="D478" t="s">
        <v>44</v>
      </c>
      <c r="E478" t="s">
        <v>93</v>
      </c>
      <c r="F478" t="s">
        <v>104</v>
      </c>
      <c r="G478" t="s">
        <v>32</v>
      </c>
      <c r="H478">
        <v>230</v>
      </c>
      <c r="I478">
        <v>178</v>
      </c>
      <c r="J478">
        <v>1</v>
      </c>
      <c r="K478">
        <v>2.2999999999999998</v>
      </c>
      <c r="L478">
        <v>19875.57</v>
      </c>
      <c r="M478">
        <v>5.44</v>
      </c>
      <c r="N478">
        <v>119.68</v>
      </c>
      <c r="O478">
        <v>239</v>
      </c>
      <c r="P478" s="2">
        <v>46207</v>
      </c>
      <c r="Q478" s="2">
        <v>46205</v>
      </c>
      <c r="R478" t="s">
        <v>39</v>
      </c>
      <c r="S478" t="s">
        <v>26</v>
      </c>
    </row>
    <row r="479" spans="1:19" x14ac:dyDescent="0.25">
      <c r="A479" t="s">
        <v>569</v>
      </c>
      <c r="B479" s="2">
        <v>46139</v>
      </c>
      <c r="C479" t="s">
        <v>80</v>
      </c>
      <c r="D479" t="s">
        <v>21</v>
      </c>
      <c r="E479" t="s">
        <v>90</v>
      </c>
      <c r="F479" t="s">
        <v>85</v>
      </c>
      <c r="G479" t="s">
        <v>57</v>
      </c>
      <c r="H479">
        <v>244</v>
      </c>
      <c r="I479">
        <v>246</v>
      </c>
      <c r="J479">
        <v>15</v>
      </c>
      <c r="K479">
        <v>7.7</v>
      </c>
      <c r="L479">
        <v>67090.39</v>
      </c>
      <c r="M479">
        <v>6.83</v>
      </c>
      <c r="N479">
        <v>122.94</v>
      </c>
      <c r="O479">
        <v>336</v>
      </c>
      <c r="P479" s="2">
        <v>46148</v>
      </c>
      <c r="Q479" s="2">
        <v>46152</v>
      </c>
      <c r="R479" t="s">
        <v>25</v>
      </c>
      <c r="S479" t="s">
        <v>51</v>
      </c>
    </row>
    <row r="480" spans="1:19" x14ac:dyDescent="0.25">
      <c r="A480" t="s">
        <v>570</v>
      </c>
      <c r="B480" s="2">
        <v>46035</v>
      </c>
      <c r="C480" t="s">
        <v>59</v>
      </c>
      <c r="D480" t="s">
        <v>49</v>
      </c>
      <c r="E480" t="s">
        <v>76</v>
      </c>
      <c r="F480" t="s">
        <v>244</v>
      </c>
      <c r="G480" t="s">
        <v>32</v>
      </c>
      <c r="H480">
        <v>216</v>
      </c>
      <c r="I480">
        <v>197</v>
      </c>
      <c r="J480">
        <v>1</v>
      </c>
      <c r="K480">
        <v>1.8</v>
      </c>
      <c r="L480">
        <v>29783.94</v>
      </c>
      <c r="M480">
        <v>3.67</v>
      </c>
      <c r="N480">
        <v>73.400000000000006</v>
      </c>
      <c r="O480">
        <v>284</v>
      </c>
      <c r="P480" s="2">
        <v>46038</v>
      </c>
      <c r="Q480" s="2">
        <v>46038</v>
      </c>
      <c r="R480" t="s">
        <v>25</v>
      </c>
      <c r="S480" t="s">
        <v>86</v>
      </c>
    </row>
    <row r="481" spans="1:19" x14ac:dyDescent="0.25">
      <c r="A481" t="s">
        <v>571</v>
      </c>
      <c r="B481" s="2">
        <v>46039</v>
      </c>
      <c r="C481" t="s">
        <v>20</v>
      </c>
      <c r="D481" t="s">
        <v>21</v>
      </c>
      <c r="E481" t="s">
        <v>22</v>
      </c>
      <c r="F481" t="s">
        <v>85</v>
      </c>
      <c r="G481" t="s">
        <v>57</v>
      </c>
      <c r="H481">
        <v>202</v>
      </c>
      <c r="I481">
        <v>182</v>
      </c>
      <c r="J481">
        <v>1</v>
      </c>
      <c r="K481">
        <v>7.2</v>
      </c>
      <c r="L481">
        <v>74386.64</v>
      </c>
      <c r="M481">
        <v>4.3600000000000003</v>
      </c>
      <c r="N481">
        <v>104.64</v>
      </c>
      <c r="O481">
        <v>223</v>
      </c>
      <c r="P481" s="2">
        <v>46046</v>
      </c>
      <c r="Q481" s="2">
        <v>46044</v>
      </c>
      <c r="R481" t="s">
        <v>25</v>
      </c>
      <c r="S481" t="s">
        <v>33</v>
      </c>
    </row>
    <row r="482" spans="1:19" x14ac:dyDescent="0.25">
      <c r="A482" t="s">
        <v>572</v>
      </c>
      <c r="B482" s="2">
        <v>46176</v>
      </c>
      <c r="C482" t="s">
        <v>53</v>
      </c>
      <c r="D482" t="s">
        <v>54</v>
      </c>
      <c r="E482" t="s">
        <v>55</v>
      </c>
      <c r="F482" t="s">
        <v>125</v>
      </c>
      <c r="G482" t="s">
        <v>24</v>
      </c>
      <c r="H482">
        <v>240</v>
      </c>
      <c r="I482">
        <v>218</v>
      </c>
      <c r="J482">
        <v>3</v>
      </c>
      <c r="K482">
        <v>8.8000000000000007</v>
      </c>
      <c r="L482">
        <v>34643.589999999997</v>
      </c>
      <c r="M482">
        <v>8.58</v>
      </c>
      <c r="N482">
        <v>154.44</v>
      </c>
      <c r="O482">
        <v>232</v>
      </c>
      <c r="P482" s="2">
        <v>46178</v>
      </c>
      <c r="Q482" s="2">
        <v>46182</v>
      </c>
      <c r="R482" t="s">
        <v>25</v>
      </c>
      <c r="S482" t="s">
        <v>72</v>
      </c>
    </row>
    <row r="483" spans="1:19" x14ac:dyDescent="0.25">
      <c r="A483" t="s">
        <v>573</v>
      </c>
      <c r="B483" s="2">
        <v>46039</v>
      </c>
      <c r="C483" t="s">
        <v>20</v>
      </c>
      <c r="D483" t="s">
        <v>21</v>
      </c>
      <c r="E483" t="s">
        <v>66</v>
      </c>
      <c r="F483" t="s">
        <v>83</v>
      </c>
      <c r="G483" t="s">
        <v>32</v>
      </c>
      <c r="H483">
        <v>94</v>
      </c>
      <c r="I483">
        <v>90</v>
      </c>
      <c r="J483">
        <v>2</v>
      </c>
      <c r="K483">
        <v>3.4</v>
      </c>
      <c r="L483">
        <v>26585.66</v>
      </c>
      <c r="M483">
        <v>2.12</v>
      </c>
      <c r="N483">
        <v>55.12</v>
      </c>
      <c r="O483">
        <v>56</v>
      </c>
      <c r="P483" s="2">
        <v>46048</v>
      </c>
      <c r="Q483" s="2">
        <v>46050</v>
      </c>
      <c r="R483" t="s">
        <v>100</v>
      </c>
      <c r="S483" t="s">
        <v>26</v>
      </c>
    </row>
    <row r="484" spans="1:19" x14ac:dyDescent="0.25">
      <c r="A484" t="s">
        <v>574</v>
      </c>
      <c r="B484" s="2">
        <v>46181</v>
      </c>
      <c r="C484" t="s">
        <v>20</v>
      </c>
      <c r="D484" t="s">
        <v>21</v>
      </c>
      <c r="E484" t="s">
        <v>90</v>
      </c>
      <c r="F484" t="s">
        <v>170</v>
      </c>
      <c r="G484" t="s">
        <v>24</v>
      </c>
      <c r="H484">
        <v>246</v>
      </c>
      <c r="I484">
        <v>276</v>
      </c>
      <c r="J484">
        <v>20</v>
      </c>
      <c r="K484">
        <v>4.0999999999999996</v>
      </c>
      <c r="L484">
        <v>76950.720000000001</v>
      </c>
      <c r="M484">
        <v>5.65</v>
      </c>
      <c r="N484">
        <v>146.9</v>
      </c>
      <c r="O484">
        <v>223</v>
      </c>
      <c r="P484" s="2">
        <v>46192</v>
      </c>
      <c r="Q484" s="2">
        <v>46192</v>
      </c>
      <c r="R484" t="s">
        <v>39</v>
      </c>
      <c r="S484" t="s">
        <v>26</v>
      </c>
    </row>
    <row r="485" spans="1:19" x14ac:dyDescent="0.25">
      <c r="A485" t="s">
        <v>575</v>
      </c>
      <c r="B485" s="2">
        <v>46088</v>
      </c>
      <c r="C485" t="s">
        <v>48</v>
      </c>
      <c r="D485" t="s">
        <v>49</v>
      </c>
      <c r="E485" t="s">
        <v>76</v>
      </c>
      <c r="F485" t="s">
        <v>114</v>
      </c>
      <c r="G485" t="s">
        <v>24</v>
      </c>
      <c r="H485">
        <v>203</v>
      </c>
      <c r="I485">
        <v>209</v>
      </c>
      <c r="J485">
        <v>9</v>
      </c>
      <c r="K485">
        <v>2.2000000000000002</v>
      </c>
      <c r="L485">
        <v>40830.480000000003</v>
      </c>
      <c r="M485">
        <v>5.33</v>
      </c>
      <c r="N485">
        <v>127.92</v>
      </c>
      <c r="O485">
        <v>294</v>
      </c>
      <c r="P485" s="2">
        <v>46100</v>
      </c>
      <c r="Q485" s="2">
        <v>46101</v>
      </c>
      <c r="R485" t="s">
        <v>25</v>
      </c>
      <c r="S485" t="s">
        <v>51</v>
      </c>
    </row>
    <row r="486" spans="1:19" x14ac:dyDescent="0.25">
      <c r="A486" t="s">
        <v>576</v>
      </c>
      <c r="B486" s="2">
        <v>46060</v>
      </c>
      <c r="C486" t="s">
        <v>53</v>
      </c>
      <c r="D486" t="s">
        <v>54</v>
      </c>
      <c r="E486" t="s">
        <v>131</v>
      </c>
      <c r="F486" t="s">
        <v>31</v>
      </c>
      <c r="G486" t="s">
        <v>24</v>
      </c>
      <c r="H486">
        <v>234</v>
      </c>
      <c r="I486">
        <v>202</v>
      </c>
      <c r="J486">
        <v>7</v>
      </c>
      <c r="K486">
        <v>0.1</v>
      </c>
      <c r="L486">
        <v>31179.360000000001</v>
      </c>
      <c r="M486">
        <v>3.91</v>
      </c>
      <c r="N486">
        <v>101.66</v>
      </c>
      <c r="O486">
        <v>207</v>
      </c>
      <c r="P486" s="2">
        <v>46068</v>
      </c>
      <c r="Q486" s="2">
        <v>46069</v>
      </c>
      <c r="R486" t="s">
        <v>25</v>
      </c>
      <c r="S486" t="s">
        <v>51</v>
      </c>
    </row>
    <row r="487" spans="1:19" x14ac:dyDescent="0.25">
      <c r="A487" t="s">
        <v>577</v>
      </c>
      <c r="B487" s="2">
        <v>46040</v>
      </c>
      <c r="C487" t="s">
        <v>48</v>
      </c>
      <c r="D487" t="s">
        <v>49</v>
      </c>
      <c r="E487" t="s">
        <v>50</v>
      </c>
      <c r="F487" t="s">
        <v>71</v>
      </c>
      <c r="G487" t="s">
        <v>32</v>
      </c>
      <c r="H487">
        <v>250</v>
      </c>
      <c r="I487">
        <v>231</v>
      </c>
      <c r="J487">
        <v>15</v>
      </c>
      <c r="K487">
        <v>4.2</v>
      </c>
      <c r="L487">
        <v>54062.39</v>
      </c>
      <c r="M487">
        <v>7.3</v>
      </c>
      <c r="N487">
        <v>160.6</v>
      </c>
      <c r="O487">
        <v>286</v>
      </c>
      <c r="P487" s="2">
        <v>46048</v>
      </c>
      <c r="Q487" s="2">
        <v>46049</v>
      </c>
      <c r="R487" t="s">
        <v>25</v>
      </c>
      <c r="S487" t="s">
        <v>33</v>
      </c>
    </row>
    <row r="488" spans="1:19" x14ac:dyDescent="0.25">
      <c r="A488" t="s">
        <v>578</v>
      </c>
      <c r="B488" s="2">
        <v>46149</v>
      </c>
      <c r="C488" t="s">
        <v>28</v>
      </c>
      <c r="D488" t="s">
        <v>29</v>
      </c>
      <c r="E488" t="s">
        <v>63</v>
      </c>
      <c r="F488" t="s">
        <v>61</v>
      </c>
      <c r="G488" t="s">
        <v>57</v>
      </c>
      <c r="H488">
        <v>243</v>
      </c>
      <c r="I488">
        <v>198</v>
      </c>
      <c r="J488">
        <v>5</v>
      </c>
      <c r="K488">
        <v>5.6</v>
      </c>
      <c r="L488">
        <v>43585.77</v>
      </c>
      <c r="M488">
        <v>8.09</v>
      </c>
      <c r="N488">
        <v>177.98</v>
      </c>
      <c r="O488">
        <v>299</v>
      </c>
      <c r="P488" s="2">
        <v>46154</v>
      </c>
      <c r="Q488" s="2">
        <v>46156</v>
      </c>
      <c r="R488" t="s">
        <v>25</v>
      </c>
      <c r="S488" t="s">
        <v>86</v>
      </c>
    </row>
    <row r="489" spans="1:19" x14ac:dyDescent="0.25">
      <c r="A489" t="s">
        <v>579</v>
      </c>
      <c r="B489" s="2">
        <v>46025</v>
      </c>
      <c r="C489" t="s">
        <v>20</v>
      </c>
      <c r="D489" t="s">
        <v>21</v>
      </c>
      <c r="E489" t="s">
        <v>90</v>
      </c>
      <c r="F489" t="s">
        <v>23</v>
      </c>
      <c r="G489" t="s">
        <v>32</v>
      </c>
      <c r="H489">
        <v>87</v>
      </c>
      <c r="I489">
        <v>83</v>
      </c>
      <c r="J489">
        <v>1</v>
      </c>
      <c r="K489">
        <v>4</v>
      </c>
      <c r="L489">
        <v>31260.74</v>
      </c>
      <c r="M489">
        <v>2.21</v>
      </c>
      <c r="N489">
        <v>39.78</v>
      </c>
      <c r="O489">
        <v>100</v>
      </c>
      <c r="P489" s="2">
        <v>46030</v>
      </c>
      <c r="Q489" s="2">
        <v>46030</v>
      </c>
      <c r="R489" t="s">
        <v>25</v>
      </c>
      <c r="S489" t="s">
        <v>51</v>
      </c>
    </row>
    <row r="490" spans="1:19" x14ac:dyDescent="0.25">
      <c r="A490" t="s">
        <v>580</v>
      </c>
      <c r="B490" s="2">
        <v>46109</v>
      </c>
      <c r="C490" t="s">
        <v>28</v>
      </c>
      <c r="D490" t="s">
        <v>29</v>
      </c>
      <c r="E490" t="s">
        <v>63</v>
      </c>
      <c r="F490" t="s">
        <v>23</v>
      </c>
      <c r="G490" t="s">
        <v>32</v>
      </c>
      <c r="H490">
        <v>130</v>
      </c>
      <c r="I490">
        <v>94</v>
      </c>
      <c r="J490">
        <v>7</v>
      </c>
      <c r="K490">
        <v>8.1999999999999993</v>
      </c>
      <c r="L490">
        <v>18627.7</v>
      </c>
      <c r="M490">
        <v>2.5499999999999998</v>
      </c>
      <c r="N490">
        <v>45.9</v>
      </c>
      <c r="O490">
        <v>176</v>
      </c>
      <c r="P490" s="2">
        <v>46114</v>
      </c>
      <c r="Q490" s="2">
        <v>46114</v>
      </c>
      <c r="R490" t="s">
        <v>100</v>
      </c>
      <c r="S490" t="s">
        <v>86</v>
      </c>
    </row>
    <row r="491" spans="1:19" x14ac:dyDescent="0.25">
      <c r="A491" t="s">
        <v>581</v>
      </c>
      <c r="B491" s="2">
        <v>46192</v>
      </c>
      <c r="C491" t="s">
        <v>43</v>
      </c>
      <c r="D491" t="s">
        <v>44</v>
      </c>
      <c r="E491" t="s">
        <v>45</v>
      </c>
      <c r="F491" t="s">
        <v>96</v>
      </c>
      <c r="G491" t="s">
        <v>24</v>
      </c>
      <c r="H491">
        <v>284</v>
      </c>
      <c r="I491">
        <v>326</v>
      </c>
      <c r="J491">
        <v>27</v>
      </c>
      <c r="K491">
        <v>7.9</v>
      </c>
      <c r="L491">
        <v>29229.63</v>
      </c>
      <c r="M491">
        <v>13.1</v>
      </c>
      <c r="N491">
        <v>262</v>
      </c>
      <c r="O491">
        <v>293</v>
      </c>
      <c r="P491" s="2">
        <v>46202</v>
      </c>
      <c r="Q491" s="2">
        <v>46204</v>
      </c>
      <c r="R491" t="s">
        <v>25</v>
      </c>
      <c r="S491" t="s">
        <v>72</v>
      </c>
    </row>
    <row r="492" spans="1:19" x14ac:dyDescent="0.25">
      <c r="A492" t="s">
        <v>582</v>
      </c>
      <c r="B492" s="2">
        <v>46185</v>
      </c>
      <c r="C492" t="s">
        <v>28</v>
      </c>
      <c r="D492" t="s">
        <v>29</v>
      </c>
      <c r="E492" t="s">
        <v>63</v>
      </c>
      <c r="F492" t="s">
        <v>112</v>
      </c>
      <c r="G492" t="s">
        <v>57</v>
      </c>
      <c r="H492">
        <v>275</v>
      </c>
      <c r="I492">
        <v>270</v>
      </c>
      <c r="J492">
        <v>5</v>
      </c>
      <c r="K492">
        <v>4.8</v>
      </c>
      <c r="L492">
        <v>65012.37</v>
      </c>
      <c r="M492">
        <v>5.21</v>
      </c>
      <c r="N492">
        <v>114.62</v>
      </c>
      <c r="O492">
        <v>267</v>
      </c>
      <c r="P492" s="2">
        <v>46195</v>
      </c>
      <c r="Q492" s="2">
        <v>46199</v>
      </c>
      <c r="R492" t="s">
        <v>25</v>
      </c>
      <c r="S492" t="s">
        <v>72</v>
      </c>
    </row>
    <row r="493" spans="1:19" x14ac:dyDescent="0.25">
      <c r="A493" t="s">
        <v>583</v>
      </c>
      <c r="B493" s="2">
        <v>46192</v>
      </c>
      <c r="C493" t="s">
        <v>20</v>
      </c>
      <c r="D493" t="s">
        <v>21</v>
      </c>
      <c r="E493" t="s">
        <v>22</v>
      </c>
      <c r="F493" t="s">
        <v>122</v>
      </c>
      <c r="G493" t="s">
        <v>24</v>
      </c>
      <c r="H493">
        <v>210</v>
      </c>
      <c r="I493">
        <v>186</v>
      </c>
      <c r="J493">
        <v>15</v>
      </c>
      <c r="K493">
        <v>6.8</v>
      </c>
      <c r="L493">
        <v>57800.43</v>
      </c>
      <c r="M493">
        <v>4.1500000000000004</v>
      </c>
      <c r="N493">
        <v>91.3</v>
      </c>
      <c r="O493">
        <v>304</v>
      </c>
      <c r="P493" s="2">
        <v>46201</v>
      </c>
      <c r="Q493" s="2">
        <v>46205</v>
      </c>
      <c r="R493" t="s">
        <v>100</v>
      </c>
      <c r="S493" t="s">
        <v>72</v>
      </c>
    </row>
    <row r="494" spans="1:19" x14ac:dyDescent="0.25">
      <c r="A494" t="s">
        <v>584</v>
      </c>
      <c r="B494" s="2">
        <v>46186</v>
      </c>
      <c r="C494" t="s">
        <v>80</v>
      </c>
      <c r="D494" t="s">
        <v>21</v>
      </c>
      <c r="E494" t="s">
        <v>22</v>
      </c>
      <c r="F494" t="s">
        <v>197</v>
      </c>
      <c r="G494" t="s">
        <v>57</v>
      </c>
      <c r="H494">
        <v>136</v>
      </c>
      <c r="I494">
        <v>150</v>
      </c>
      <c r="J494">
        <v>6</v>
      </c>
      <c r="K494">
        <v>2.1</v>
      </c>
      <c r="L494">
        <v>35230.589999999997</v>
      </c>
      <c r="M494">
        <v>4.0599999999999996</v>
      </c>
      <c r="N494">
        <v>81.2</v>
      </c>
      <c r="O494">
        <v>191</v>
      </c>
      <c r="P494" s="2">
        <v>46192</v>
      </c>
      <c r="Q494" s="2">
        <v>46191</v>
      </c>
      <c r="R494" t="s">
        <v>25</v>
      </c>
      <c r="S494" t="s">
        <v>86</v>
      </c>
    </row>
    <row r="495" spans="1:19" x14ac:dyDescent="0.25">
      <c r="A495" t="s">
        <v>585</v>
      </c>
      <c r="B495" s="2">
        <v>46136</v>
      </c>
      <c r="C495" t="s">
        <v>48</v>
      </c>
      <c r="D495" t="s">
        <v>49</v>
      </c>
      <c r="E495" t="s">
        <v>50</v>
      </c>
      <c r="F495" t="s">
        <v>244</v>
      </c>
      <c r="G495" t="s">
        <v>32</v>
      </c>
      <c r="H495">
        <v>229</v>
      </c>
      <c r="I495">
        <v>168</v>
      </c>
      <c r="J495">
        <v>8</v>
      </c>
      <c r="K495">
        <v>3</v>
      </c>
      <c r="L495">
        <v>32416.720000000001</v>
      </c>
      <c r="M495">
        <v>4.51</v>
      </c>
      <c r="N495">
        <v>108.24</v>
      </c>
      <c r="O495">
        <v>270</v>
      </c>
      <c r="P495" s="2">
        <v>46142</v>
      </c>
      <c r="Q495" s="2">
        <v>46144</v>
      </c>
      <c r="R495" t="s">
        <v>25</v>
      </c>
      <c r="S495" t="s">
        <v>51</v>
      </c>
    </row>
    <row r="496" spans="1:19" x14ac:dyDescent="0.25">
      <c r="A496" t="s">
        <v>586</v>
      </c>
      <c r="B496" s="2">
        <v>46090</v>
      </c>
      <c r="C496" t="s">
        <v>20</v>
      </c>
      <c r="D496" t="s">
        <v>21</v>
      </c>
      <c r="E496" t="s">
        <v>90</v>
      </c>
      <c r="F496" t="s">
        <v>137</v>
      </c>
      <c r="G496" t="s">
        <v>57</v>
      </c>
      <c r="H496">
        <v>310</v>
      </c>
      <c r="I496">
        <v>234</v>
      </c>
      <c r="J496">
        <v>18</v>
      </c>
      <c r="K496">
        <v>4.5999999999999996</v>
      </c>
      <c r="L496">
        <v>85799.63</v>
      </c>
      <c r="M496">
        <v>9.42</v>
      </c>
      <c r="N496">
        <v>169.56</v>
      </c>
      <c r="O496">
        <v>300</v>
      </c>
      <c r="P496" s="2">
        <v>46093</v>
      </c>
      <c r="Q496" s="2">
        <v>46094</v>
      </c>
      <c r="R496" t="s">
        <v>25</v>
      </c>
      <c r="S496" t="s">
        <v>86</v>
      </c>
    </row>
    <row r="497" spans="1:19" x14ac:dyDescent="0.25">
      <c r="A497" t="s">
        <v>587</v>
      </c>
      <c r="B497" s="2">
        <v>46073</v>
      </c>
      <c r="C497" t="s">
        <v>48</v>
      </c>
      <c r="D497" t="s">
        <v>49</v>
      </c>
      <c r="E497" t="s">
        <v>76</v>
      </c>
      <c r="F497" t="s">
        <v>61</v>
      </c>
      <c r="G497" t="s">
        <v>32</v>
      </c>
      <c r="H497">
        <v>157</v>
      </c>
      <c r="I497">
        <v>163</v>
      </c>
      <c r="J497">
        <v>12</v>
      </c>
      <c r="K497">
        <v>7.6</v>
      </c>
      <c r="L497">
        <v>29779.95</v>
      </c>
      <c r="M497">
        <v>3.47</v>
      </c>
      <c r="N497">
        <v>90.22</v>
      </c>
      <c r="O497">
        <v>183</v>
      </c>
      <c r="P497" s="2">
        <v>46075</v>
      </c>
      <c r="Q497" s="2">
        <v>46075</v>
      </c>
      <c r="R497" t="s">
        <v>25</v>
      </c>
      <c r="S497" t="s">
        <v>72</v>
      </c>
    </row>
    <row r="498" spans="1:19" x14ac:dyDescent="0.25">
      <c r="A498" t="s">
        <v>588</v>
      </c>
      <c r="B498" s="2">
        <v>46126</v>
      </c>
      <c r="C498" t="s">
        <v>80</v>
      </c>
      <c r="D498" t="s">
        <v>21</v>
      </c>
      <c r="E498" t="s">
        <v>90</v>
      </c>
      <c r="F498" t="s">
        <v>96</v>
      </c>
      <c r="G498" t="s">
        <v>57</v>
      </c>
      <c r="H498">
        <v>247</v>
      </c>
      <c r="I498">
        <v>232</v>
      </c>
      <c r="J498">
        <v>17</v>
      </c>
      <c r="K498">
        <v>1.3</v>
      </c>
      <c r="L498">
        <v>55234.85</v>
      </c>
      <c r="M498">
        <v>8.35</v>
      </c>
      <c r="N498">
        <v>200.4</v>
      </c>
      <c r="O498">
        <v>266</v>
      </c>
      <c r="P498" s="2">
        <v>46136</v>
      </c>
      <c r="Q498" s="2">
        <v>46140</v>
      </c>
      <c r="R498" t="s">
        <v>100</v>
      </c>
      <c r="S498" t="s">
        <v>86</v>
      </c>
    </row>
    <row r="499" spans="1:19" x14ac:dyDescent="0.25">
      <c r="A499" t="s">
        <v>589</v>
      </c>
      <c r="B499" s="2">
        <v>46071</v>
      </c>
      <c r="C499" t="s">
        <v>35</v>
      </c>
      <c r="D499" t="s">
        <v>36</v>
      </c>
      <c r="E499" t="s">
        <v>69</v>
      </c>
      <c r="F499" t="s">
        <v>23</v>
      </c>
      <c r="G499" t="s">
        <v>32</v>
      </c>
      <c r="H499">
        <v>133</v>
      </c>
      <c r="I499">
        <v>120</v>
      </c>
      <c r="J499">
        <v>9</v>
      </c>
      <c r="K499">
        <v>0.3</v>
      </c>
      <c r="L499">
        <v>10574.73</v>
      </c>
      <c r="M499">
        <v>3.04</v>
      </c>
      <c r="N499">
        <v>54.72</v>
      </c>
      <c r="O499">
        <v>220</v>
      </c>
      <c r="P499" s="2">
        <v>46083</v>
      </c>
      <c r="Q499" s="2">
        <v>46084</v>
      </c>
      <c r="R499" t="s">
        <v>25</v>
      </c>
      <c r="S499" t="s">
        <v>72</v>
      </c>
    </row>
    <row r="500" spans="1:19" x14ac:dyDescent="0.25">
      <c r="A500" t="s">
        <v>590</v>
      </c>
      <c r="B500" s="2">
        <v>46198</v>
      </c>
      <c r="C500" t="s">
        <v>35</v>
      </c>
      <c r="D500" t="s">
        <v>36</v>
      </c>
      <c r="E500" t="s">
        <v>69</v>
      </c>
      <c r="F500" t="s">
        <v>88</v>
      </c>
      <c r="G500" t="s">
        <v>24</v>
      </c>
      <c r="H500">
        <v>163</v>
      </c>
      <c r="I500">
        <v>158</v>
      </c>
      <c r="J500">
        <v>8</v>
      </c>
      <c r="K500">
        <v>0.3</v>
      </c>
      <c r="L500">
        <v>14275.17</v>
      </c>
      <c r="M500">
        <v>6.61</v>
      </c>
      <c r="N500">
        <v>171.86</v>
      </c>
      <c r="O500">
        <v>223</v>
      </c>
      <c r="P500" s="2">
        <v>46206</v>
      </c>
      <c r="Q500" s="2">
        <v>46206</v>
      </c>
      <c r="R500" t="s">
        <v>100</v>
      </c>
      <c r="S500" t="s">
        <v>72</v>
      </c>
    </row>
    <row r="501" spans="1:19" x14ac:dyDescent="0.25">
      <c r="A501" t="s">
        <v>591</v>
      </c>
      <c r="B501" s="2">
        <v>46071</v>
      </c>
      <c r="C501" t="s">
        <v>53</v>
      </c>
      <c r="D501" t="s">
        <v>54</v>
      </c>
      <c r="E501" t="s">
        <v>55</v>
      </c>
      <c r="F501" t="s">
        <v>88</v>
      </c>
      <c r="G501" t="s">
        <v>32</v>
      </c>
      <c r="H501">
        <v>164</v>
      </c>
      <c r="I501">
        <v>158</v>
      </c>
      <c r="J501">
        <v>7</v>
      </c>
      <c r="K501">
        <v>8.1</v>
      </c>
      <c r="L501">
        <v>17227.47</v>
      </c>
      <c r="M501">
        <v>4.9400000000000004</v>
      </c>
      <c r="N501">
        <v>88.92</v>
      </c>
      <c r="O501">
        <v>249</v>
      </c>
      <c r="P501" s="2">
        <v>46073</v>
      </c>
      <c r="Q501" s="2">
        <v>46073</v>
      </c>
      <c r="R501" t="s">
        <v>25</v>
      </c>
      <c r="S501" t="s">
        <v>86</v>
      </c>
    </row>
    <row r="502" spans="1:19" x14ac:dyDescent="0.25">
      <c r="A502" t="s">
        <v>592</v>
      </c>
      <c r="B502" s="2">
        <v>46075</v>
      </c>
      <c r="C502" t="s">
        <v>28</v>
      </c>
      <c r="D502" t="s">
        <v>29</v>
      </c>
      <c r="E502" t="s">
        <v>95</v>
      </c>
      <c r="F502" t="s">
        <v>77</v>
      </c>
      <c r="G502" t="s">
        <v>32</v>
      </c>
      <c r="H502">
        <v>248</v>
      </c>
      <c r="I502">
        <v>234</v>
      </c>
      <c r="J502">
        <v>10</v>
      </c>
      <c r="K502">
        <v>3.3</v>
      </c>
      <c r="L502">
        <v>42032.41</v>
      </c>
      <c r="M502">
        <v>9.32</v>
      </c>
      <c r="N502">
        <v>223.68</v>
      </c>
      <c r="O502">
        <v>248</v>
      </c>
      <c r="P502" s="2">
        <v>46078</v>
      </c>
      <c r="Q502" s="2">
        <v>46078</v>
      </c>
      <c r="R502" t="s">
        <v>39</v>
      </c>
      <c r="S502" t="s">
        <v>33</v>
      </c>
    </row>
    <row r="503" spans="1:19" x14ac:dyDescent="0.25">
      <c r="A503" t="s">
        <v>593</v>
      </c>
      <c r="B503" s="2">
        <v>46122</v>
      </c>
      <c r="C503" t="s">
        <v>28</v>
      </c>
      <c r="D503" t="s">
        <v>29</v>
      </c>
      <c r="E503" t="s">
        <v>63</v>
      </c>
      <c r="F503" t="s">
        <v>31</v>
      </c>
      <c r="G503" t="s">
        <v>57</v>
      </c>
      <c r="H503">
        <v>302</v>
      </c>
      <c r="I503">
        <v>244</v>
      </c>
      <c r="J503">
        <v>10</v>
      </c>
      <c r="K503">
        <v>6.4</v>
      </c>
      <c r="L503">
        <v>56806.59</v>
      </c>
      <c r="M503">
        <v>9.89</v>
      </c>
      <c r="N503">
        <v>257.14</v>
      </c>
      <c r="O503">
        <v>313</v>
      </c>
      <c r="P503" s="2">
        <v>46132</v>
      </c>
      <c r="Q503" s="2">
        <v>46136</v>
      </c>
      <c r="R503" t="s">
        <v>25</v>
      </c>
      <c r="S503" t="s">
        <v>51</v>
      </c>
    </row>
    <row r="504" spans="1:19" x14ac:dyDescent="0.25">
      <c r="A504" t="s">
        <v>594</v>
      </c>
      <c r="B504" s="2">
        <v>46137</v>
      </c>
      <c r="C504" t="s">
        <v>20</v>
      </c>
      <c r="D504" t="s">
        <v>21</v>
      </c>
      <c r="E504" t="s">
        <v>90</v>
      </c>
      <c r="F504" t="s">
        <v>106</v>
      </c>
      <c r="G504" t="s">
        <v>24</v>
      </c>
      <c r="H504">
        <v>234</v>
      </c>
      <c r="I504">
        <v>249</v>
      </c>
      <c r="J504">
        <v>13</v>
      </c>
      <c r="K504">
        <v>8.1999999999999993</v>
      </c>
      <c r="L504">
        <v>90671.53</v>
      </c>
      <c r="M504">
        <v>7.92</v>
      </c>
      <c r="N504">
        <v>142.56</v>
      </c>
      <c r="O504">
        <v>267</v>
      </c>
      <c r="P504" s="2">
        <v>46149</v>
      </c>
      <c r="Q504" s="2">
        <v>46153</v>
      </c>
      <c r="R504" t="s">
        <v>25</v>
      </c>
      <c r="S504" t="s">
        <v>86</v>
      </c>
    </row>
    <row r="505" spans="1:19" x14ac:dyDescent="0.25">
      <c r="A505" t="s">
        <v>595</v>
      </c>
      <c r="B505" s="2">
        <v>46123</v>
      </c>
      <c r="C505" t="s">
        <v>43</v>
      </c>
      <c r="D505" t="s">
        <v>44</v>
      </c>
      <c r="E505" t="s">
        <v>161</v>
      </c>
      <c r="F505" t="s">
        <v>122</v>
      </c>
      <c r="G505" t="s">
        <v>24</v>
      </c>
      <c r="H505">
        <v>143</v>
      </c>
      <c r="I505">
        <v>114</v>
      </c>
      <c r="J505">
        <v>6</v>
      </c>
      <c r="K505">
        <v>3.9</v>
      </c>
      <c r="L505">
        <v>13382.77</v>
      </c>
      <c r="M505">
        <v>3.96</v>
      </c>
      <c r="N505">
        <v>71.28</v>
      </c>
      <c r="O505">
        <v>203</v>
      </c>
      <c r="P505" s="2">
        <v>46125</v>
      </c>
      <c r="Q505" s="2">
        <v>46125</v>
      </c>
      <c r="R505" t="s">
        <v>25</v>
      </c>
      <c r="S505" t="s">
        <v>26</v>
      </c>
    </row>
    <row r="506" spans="1:19" x14ac:dyDescent="0.25">
      <c r="A506" t="s">
        <v>596</v>
      </c>
      <c r="B506" s="2">
        <v>46097</v>
      </c>
      <c r="C506" t="s">
        <v>20</v>
      </c>
      <c r="D506" t="s">
        <v>21</v>
      </c>
      <c r="E506" t="s">
        <v>66</v>
      </c>
      <c r="F506" t="s">
        <v>74</v>
      </c>
      <c r="G506" t="s">
        <v>57</v>
      </c>
      <c r="H506">
        <v>265</v>
      </c>
      <c r="I506">
        <v>273</v>
      </c>
      <c r="J506">
        <v>6</v>
      </c>
      <c r="K506">
        <v>4.4000000000000004</v>
      </c>
      <c r="L506">
        <v>105554.74</v>
      </c>
      <c r="M506">
        <v>11.44</v>
      </c>
      <c r="N506">
        <v>205.92</v>
      </c>
      <c r="O506">
        <v>251</v>
      </c>
      <c r="P506" s="2">
        <v>46107</v>
      </c>
      <c r="Q506" s="2">
        <v>46108</v>
      </c>
      <c r="R506" t="s">
        <v>100</v>
      </c>
      <c r="S506" t="s">
        <v>86</v>
      </c>
    </row>
    <row r="507" spans="1:19" x14ac:dyDescent="0.25">
      <c r="A507" t="s">
        <v>597</v>
      </c>
      <c r="B507" s="2">
        <v>46076</v>
      </c>
      <c r="C507" t="s">
        <v>80</v>
      </c>
      <c r="D507" t="s">
        <v>21</v>
      </c>
      <c r="E507" t="s">
        <v>90</v>
      </c>
      <c r="F507" t="s">
        <v>106</v>
      </c>
      <c r="G507" t="s">
        <v>57</v>
      </c>
      <c r="H507">
        <v>86</v>
      </c>
      <c r="I507">
        <v>64</v>
      </c>
      <c r="J507">
        <v>4</v>
      </c>
      <c r="K507">
        <v>6.7</v>
      </c>
      <c r="L507">
        <v>17414.37</v>
      </c>
      <c r="M507">
        <v>2.4700000000000002</v>
      </c>
      <c r="N507">
        <v>59.28</v>
      </c>
      <c r="O507">
        <v>59</v>
      </c>
      <c r="P507" s="2">
        <v>46078</v>
      </c>
      <c r="Q507" s="2">
        <v>46078</v>
      </c>
      <c r="R507" t="s">
        <v>25</v>
      </c>
      <c r="S507" t="s">
        <v>86</v>
      </c>
    </row>
    <row r="508" spans="1:19" x14ac:dyDescent="0.25">
      <c r="A508" t="s">
        <v>598</v>
      </c>
      <c r="B508" s="2">
        <v>46194</v>
      </c>
      <c r="C508" t="s">
        <v>53</v>
      </c>
      <c r="D508" t="s">
        <v>54</v>
      </c>
      <c r="E508" t="s">
        <v>131</v>
      </c>
      <c r="F508" t="s">
        <v>125</v>
      </c>
      <c r="G508" t="s">
        <v>57</v>
      </c>
      <c r="H508">
        <v>198</v>
      </c>
      <c r="I508">
        <v>148</v>
      </c>
      <c r="J508">
        <v>8</v>
      </c>
      <c r="K508">
        <v>2.2000000000000002</v>
      </c>
      <c r="L508">
        <v>22204.77</v>
      </c>
      <c r="M508">
        <v>5.58</v>
      </c>
      <c r="N508">
        <v>111.6</v>
      </c>
      <c r="O508">
        <v>201</v>
      </c>
      <c r="P508" s="2">
        <v>46196</v>
      </c>
      <c r="Q508" s="2">
        <v>46195</v>
      </c>
      <c r="R508" t="s">
        <v>25</v>
      </c>
      <c r="S508" t="s">
        <v>26</v>
      </c>
    </row>
    <row r="509" spans="1:19" x14ac:dyDescent="0.25">
      <c r="A509" t="s">
        <v>599</v>
      </c>
      <c r="B509" s="2">
        <v>46123</v>
      </c>
      <c r="C509" t="s">
        <v>43</v>
      </c>
      <c r="D509" t="s">
        <v>44</v>
      </c>
      <c r="E509" t="s">
        <v>93</v>
      </c>
      <c r="F509" t="s">
        <v>110</v>
      </c>
      <c r="G509" t="s">
        <v>24</v>
      </c>
      <c r="H509">
        <v>251</v>
      </c>
      <c r="I509">
        <v>263</v>
      </c>
      <c r="J509">
        <v>17</v>
      </c>
      <c r="K509">
        <v>1.4</v>
      </c>
      <c r="L509">
        <v>27093.72</v>
      </c>
      <c r="M509">
        <v>4.95</v>
      </c>
      <c r="N509">
        <v>128.69999999999999</v>
      </c>
      <c r="O509">
        <v>266</v>
      </c>
      <c r="P509" s="2">
        <v>46132</v>
      </c>
      <c r="Q509" s="2">
        <v>46130</v>
      </c>
      <c r="R509" t="s">
        <v>39</v>
      </c>
      <c r="S509" t="s">
        <v>33</v>
      </c>
    </row>
    <row r="510" spans="1:19" x14ac:dyDescent="0.25">
      <c r="A510" t="s">
        <v>600</v>
      </c>
      <c r="B510" s="2">
        <v>46122</v>
      </c>
      <c r="C510" t="s">
        <v>59</v>
      </c>
      <c r="D510" t="s">
        <v>49</v>
      </c>
      <c r="E510" t="s">
        <v>76</v>
      </c>
      <c r="F510" t="s">
        <v>135</v>
      </c>
      <c r="G510" t="s">
        <v>32</v>
      </c>
      <c r="H510">
        <v>93</v>
      </c>
      <c r="I510">
        <v>90</v>
      </c>
      <c r="J510">
        <v>0</v>
      </c>
      <c r="K510">
        <v>3.4</v>
      </c>
      <c r="L510">
        <v>13088.67</v>
      </c>
      <c r="M510">
        <v>3.58</v>
      </c>
      <c r="N510">
        <v>71.599999999999994</v>
      </c>
      <c r="O510">
        <v>76</v>
      </c>
      <c r="P510" s="2">
        <v>46124</v>
      </c>
      <c r="Q510" s="2">
        <v>46126</v>
      </c>
      <c r="R510" t="s">
        <v>25</v>
      </c>
      <c r="S510" t="s">
        <v>51</v>
      </c>
    </row>
    <row r="511" spans="1:19" x14ac:dyDescent="0.25">
      <c r="A511" t="s">
        <v>601</v>
      </c>
      <c r="B511" s="2">
        <v>46197</v>
      </c>
      <c r="C511" t="s">
        <v>20</v>
      </c>
      <c r="D511" t="s">
        <v>21</v>
      </c>
      <c r="E511" t="s">
        <v>22</v>
      </c>
      <c r="F511" t="s">
        <v>31</v>
      </c>
      <c r="G511" t="s">
        <v>24</v>
      </c>
      <c r="H511">
        <v>305</v>
      </c>
      <c r="I511">
        <v>232</v>
      </c>
      <c r="J511">
        <v>18</v>
      </c>
      <c r="K511">
        <v>6</v>
      </c>
      <c r="L511">
        <v>71280.679999999993</v>
      </c>
      <c r="M511">
        <v>7.03</v>
      </c>
      <c r="N511">
        <v>154.66</v>
      </c>
      <c r="O511">
        <v>347</v>
      </c>
      <c r="P511" s="2">
        <v>46207</v>
      </c>
      <c r="Q511" s="2">
        <v>46207</v>
      </c>
      <c r="R511" t="s">
        <v>39</v>
      </c>
      <c r="S511" t="s">
        <v>72</v>
      </c>
    </row>
    <row r="512" spans="1:19" x14ac:dyDescent="0.25">
      <c r="A512" t="s">
        <v>602</v>
      </c>
      <c r="B512" s="2">
        <v>46132</v>
      </c>
      <c r="C512" t="s">
        <v>20</v>
      </c>
      <c r="D512" t="s">
        <v>21</v>
      </c>
      <c r="E512" t="s">
        <v>22</v>
      </c>
      <c r="F512" t="s">
        <v>91</v>
      </c>
      <c r="G512" t="s">
        <v>57</v>
      </c>
      <c r="H512">
        <v>134</v>
      </c>
      <c r="I512">
        <v>102</v>
      </c>
      <c r="J512">
        <v>3</v>
      </c>
      <c r="K512">
        <v>0.1</v>
      </c>
      <c r="L512">
        <v>30308.95</v>
      </c>
      <c r="M512">
        <v>2.36</v>
      </c>
      <c r="N512">
        <v>47.2</v>
      </c>
      <c r="O512">
        <v>110</v>
      </c>
      <c r="P512" s="2">
        <v>46144</v>
      </c>
      <c r="Q512" s="2">
        <v>46144</v>
      </c>
      <c r="R512" t="s">
        <v>39</v>
      </c>
      <c r="S512" t="s">
        <v>33</v>
      </c>
    </row>
    <row r="513" spans="1:19" x14ac:dyDescent="0.25">
      <c r="A513" t="s">
        <v>603</v>
      </c>
      <c r="B513" s="2">
        <v>46078</v>
      </c>
      <c r="C513" t="s">
        <v>35</v>
      </c>
      <c r="D513" t="s">
        <v>36</v>
      </c>
      <c r="E513" t="s">
        <v>69</v>
      </c>
      <c r="F513" t="s">
        <v>41</v>
      </c>
      <c r="G513" t="s">
        <v>24</v>
      </c>
      <c r="H513">
        <v>276</v>
      </c>
      <c r="I513">
        <v>269</v>
      </c>
      <c r="J513">
        <v>25</v>
      </c>
      <c r="K513">
        <v>0.9</v>
      </c>
      <c r="L513">
        <v>28385.8</v>
      </c>
      <c r="M513">
        <v>10.33</v>
      </c>
      <c r="N513">
        <v>206.6</v>
      </c>
      <c r="O513">
        <v>300</v>
      </c>
      <c r="P513" s="2">
        <v>46081</v>
      </c>
      <c r="Q513" s="2">
        <v>46082</v>
      </c>
      <c r="R513" t="s">
        <v>100</v>
      </c>
      <c r="S513" t="s">
        <v>51</v>
      </c>
    </row>
    <row r="514" spans="1:19" x14ac:dyDescent="0.25">
      <c r="A514" t="s">
        <v>604</v>
      </c>
      <c r="B514" s="2">
        <v>46108</v>
      </c>
      <c r="C514" t="s">
        <v>43</v>
      </c>
      <c r="D514" t="s">
        <v>44</v>
      </c>
      <c r="E514" t="s">
        <v>45</v>
      </c>
      <c r="F514" t="s">
        <v>114</v>
      </c>
      <c r="G514" t="s">
        <v>24</v>
      </c>
      <c r="H514">
        <v>274</v>
      </c>
      <c r="I514">
        <v>301</v>
      </c>
      <c r="J514">
        <v>10</v>
      </c>
      <c r="K514">
        <v>7.7</v>
      </c>
      <c r="L514">
        <v>33581.58</v>
      </c>
      <c r="M514">
        <v>9.81</v>
      </c>
      <c r="N514">
        <v>255.06</v>
      </c>
      <c r="O514">
        <v>348</v>
      </c>
      <c r="P514" s="2">
        <v>46116</v>
      </c>
      <c r="Q514" s="2">
        <v>46116</v>
      </c>
      <c r="R514" t="s">
        <v>39</v>
      </c>
      <c r="S514" t="s">
        <v>33</v>
      </c>
    </row>
    <row r="515" spans="1:19" x14ac:dyDescent="0.25">
      <c r="A515" t="s">
        <v>605</v>
      </c>
      <c r="B515" s="2">
        <v>46082</v>
      </c>
      <c r="C515" t="s">
        <v>80</v>
      </c>
      <c r="D515" t="s">
        <v>21</v>
      </c>
      <c r="E515" t="s">
        <v>66</v>
      </c>
      <c r="F515" t="s">
        <v>46</v>
      </c>
      <c r="G515" t="s">
        <v>57</v>
      </c>
      <c r="H515">
        <v>274</v>
      </c>
      <c r="I515">
        <v>302</v>
      </c>
      <c r="J515">
        <v>9</v>
      </c>
      <c r="K515">
        <v>6.6</v>
      </c>
      <c r="L515">
        <v>90824.06</v>
      </c>
      <c r="M515">
        <v>5.87</v>
      </c>
      <c r="N515">
        <v>129.13999999999999</v>
      </c>
      <c r="O515">
        <v>361</v>
      </c>
      <c r="P515" s="2">
        <v>46088</v>
      </c>
      <c r="Q515" s="2">
        <v>46088</v>
      </c>
      <c r="R515" t="s">
        <v>25</v>
      </c>
      <c r="S515" t="s">
        <v>33</v>
      </c>
    </row>
    <row r="516" spans="1:19" x14ac:dyDescent="0.25">
      <c r="A516" t="s">
        <v>606</v>
      </c>
      <c r="B516" s="2">
        <v>46083</v>
      </c>
      <c r="C516" t="s">
        <v>53</v>
      </c>
      <c r="D516" t="s">
        <v>54</v>
      </c>
      <c r="E516" t="s">
        <v>131</v>
      </c>
      <c r="F516" t="s">
        <v>23</v>
      </c>
      <c r="G516" t="s">
        <v>57</v>
      </c>
      <c r="H516">
        <v>114</v>
      </c>
      <c r="I516">
        <v>95</v>
      </c>
      <c r="J516">
        <v>5</v>
      </c>
      <c r="K516">
        <v>6.8</v>
      </c>
      <c r="L516">
        <v>15423.52</v>
      </c>
      <c r="M516">
        <v>3.19</v>
      </c>
      <c r="N516">
        <v>70.180000000000007</v>
      </c>
      <c r="O516">
        <v>80</v>
      </c>
      <c r="P516" s="2">
        <v>46088</v>
      </c>
      <c r="Q516" s="2">
        <v>46089</v>
      </c>
      <c r="R516" t="s">
        <v>25</v>
      </c>
      <c r="S516" t="s">
        <v>26</v>
      </c>
    </row>
    <row r="517" spans="1:19" x14ac:dyDescent="0.25">
      <c r="A517" t="s">
        <v>607</v>
      </c>
      <c r="B517" s="2">
        <v>46036</v>
      </c>
      <c r="C517" t="s">
        <v>28</v>
      </c>
      <c r="D517" t="s">
        <v>29</v>
      </c>
      <c r="E517" t="s">
        <v>30</v>
      </c>
      <c r="F517" t="s">
        <v>31</v>
      </c>
      <c r="G517" t="s">
        <v>57</v>
      </c>
      <c r="H517">
        <v>258</v>
      </c>
      <c r="I517">
        <v>265</v>
      </c>
      <c r="J517">
        <v>15</v>
      </c>
      <c r="K517">
        <v>3.4</v>
      </c>
      <c r="L517">
        <v>55814.41</v>
      </c>
      <c r="M517">
        <v>4.8099999999999996</v>
      </c>
      <c r="N517">
        <v>115.44</v>
      </c>
      <c r="O517">
        <v>235</v>
      </c>
      <c r="P517" s="2">
        <v>46041</v>
      </c>
      <c r="Q517" s="2">
        <v>46039</v>
      </c>
      <c r="R517" t="s">
        <v>25</v>
      </c>
      <c r="S517" t="s">
        <v>33</v>
      </c>
    </row>
    <row r="518" spans="1:19" x14ac:dyDescent="0.25">
      <c r="A518" t="s">
        <v>608</v>
      </c>
      <c r="B518" s="2">
        <v>46067</v>
      </c>
      <c r="C518" t="s">
        <v>28</v>
      </c>
      <c r="D518" t="s">
        <v>29</v>
      </c>
      <c r="E518" t="s">
        <v>63</v>
      </c>
      <c r="F518" t="s">
        <v>122</v>
      </c>
      <c r="G518" t="s">
        <v>32</v>
      </c>
      <c r="H518">
        <v>209</v>
      </c>
      <c r="I518">
        <v>157</v>
      </c>
      <c r="J518">
        <v>11</v>
      </c>
      <c r="K518">
        <v>2.8</v>
      </c>
      <c r="L518">
        <v>36107.879999999997</v>
      </c>
      <c r="M518">
        <v>3.49</v>
      </c>
      <c r="N518">
        <v>69.8</v>
      </c>
      <c r="O518">
        <v>246</v>
      </c>
      <c r="P518" s="2">
        <v>46073</v>
      </c>
      <c r="Q518" s="2">
        <v>46077</v>
      </c>
      <c r="R518" t="s">
        <v>25</v>
      </c>
      <c r="S518" t="s">
        <v>33</v>
      </c>
    </row>
    <row r="519" spans="1:19" x14ac:dyDescent="0.25">
      <c r="A519" t="s">
        <v>609</v>
      </c>
      <c r="B519" s="2">
        <v>46115</v>
      </c>
      <c r="C519" t="s">
        <v>35</v>
      </c>
      <c r="D519" t="s">
        <v>36</v>
      </c>
      <c r="E519" t="s">
        <v>69</v>
      </c>
      <c r="F519" t="s">
        <v>197</v>
      </c>
      <c r="G519" t="s">
        <v>32</v>
      </c>
      <c r="H519">
        <v>122</v>
      </c>
      <c r="I519">
        <v>112</v>
      </c>
      <c r="J519">
        <v>4</v>
      </c>
      <c r="K519">
        <v>5.5</v>
      </c>
      <c r="L519">
        <v>9137.98</v>
      </c>
      <c r="M519">
        <v>4.58</v>
      </c>
      <c r="N519">
        <v>109.92</v>
      </c>
      <c r="O519">
        <v>87</v>
      </c>
      <c r="P519" s="2">
        <v>46123</v>
      </c>
      <c r="Q519" s="2">
        <v>46125</v>
      </c>
      <c r="R519" t="s">
        <v>25</v>
      </c>
      <c r="S519" t="s">
        <v>26</v>
      </c>
    </row>
    <row r="520" spans="1:19" x14ac:dyDescent="0.25">
      <c r="A520" t="s">
        <v>610</v>
      </c>
      <c r="B520" s="2">
        <v>46160</v>
      </c>
      <c r="C520" t="s">
        <v>43</v>
      </c>
      <c r="D520" t="s">
        <v>44</v>
      </c>
      <c r="E520" t="s">
        <v>45</v>
      </c>
      <c r="F520" t="s">
        <v>67</v>
      </c>
      <c r="G520" t="s">
        <v>57</v>
      </c>
      <c r="H520">
        <v>266</v>
      </c>
      <c r="J520">
        <v>8</v>
      </c>
      <c r="K520">
        <v>2.8</v>
      </c>
      <c r="L520">
        <v>23233.05</v>
      </c>
      <c r="M520">
        <v>6.23</v>
      </c>
      <c r="N520">
        <v>137.06</v>
      </c>
      <c r="O520">
        <v>260</v>
      </c>
      <c r="P520" s="2">
        <v>46169</v>
      </c>
      <c r="Q520" s="2">
        <v>46169</v>
      </c>
      <c r="R520" t="s">
        <v>25</v>
      </c>
      <c r="S520" t="s">
        <v>33</v>
      </c>
    </row>
    <row r="521" spans="1:19" x14ac:dyDescent="0.25">
      <c r="A521" t="s">
        <v>611</v>
      </c>
      <c r="B521" s="2">
        <v>46026</v>
      </c>
      <c r="C521" t="s">
        <v>48</v>
      </c>
      <c r="D521" t="s">
        <v>49</v>
      </c>
      <c r="E521" t="s">
        <v>76</v>
      </c>
      <c r="F521" t="s">
        <v>46</v>
      </c>
      <c r="G521" t="s">
        <v>24</v>
      </c>
      <c r="H521">
        <v>183</v>
      </c>
      <c r="I521">
        <v>204</v>
      </c>
      <c r="J521">
        <v>18</v>
      </c>
      <c r="K521">
        <v>8.6999999999999993</v>
      </c>
      <c r="L521">
        <v>38832.69</v>
      </c>
      <c r="M521">
        <v>6.81</v>
      </c>
      <c r="N521">
        <v>177.06</v>
      </c>
      <c r="O521">
        <v>161</v>
      </c>
      <c r="P521" s="2">
        <v>46034</v>
      </c>
      <c r="Q521" s="2">
        <v>46032</v>
      </c>
      <c r="R521" t="s">
        <v>25</v>
      </c>
      <c r="S521" t="s">
        <v>51</v>
      </c>
    </row>
    <row r="522" spans="1:19" x14ac:dyDescent="0.25">
      <c r="A522" t="s">
        <v>612</v>
      </c>
      <c r="B522" s="2">
        <v>46072</v>
      </c>
      <c r="C522" t="s">
        <v>35</v>
      </c>
      <c r="D522" t="s">
        <v>36</v>
      </c>
      <c r="E522" t="s">
        <v>69</v>
      </c>
      <c r="F522" t="s">
        <v>64</v>
      </c>
      <c r="G522" t="s">
        <v>32</v>
      </c>
      <c r="H522">
        <v>277</v>
      </c>
      <c r="I522">
        <v>308</v>
      </c>
      <c r="J522">
        <v>21</v>
      </c>
      <c r="K522">
        <v>4.5999999999999996</v>
      </c>
      <c r="L522">
        <v>29668.12</v>
      </c>
      <c r="M522">
        <v>10.69</v>
      </c>
      <c r="N522">
        <v>256.56</v>
      </c>
      <c r="O522">
        <v>345</v>
      </c>
      <c r="P522" s="2">
        <v>46077</v>
      </c>
      <c r="Q522" s="2">
        <v>46077</v>
      </c>
      <c r="R522" t="s">
        <v>100</v>
      </c>
      <c r="S522" t="s">
        <v>33</v>
      </c>
    </row>
    <row r="523" spans="1:19" x14ac:dyDescent="0.25">
      <c r="A523" t="s">
        <v>613</v>
      </c>
      <c r="B523" s="2">
        <v>46201</v>
      </c>
      <c r="C523" t="s">
        <v>43</v>
      </c>
      <c r="D523" t="s">
        <v>44</v>
      </c>
      <c r="E523" t="s">
        <v>161</v>
      </c>
      <c r="F523" t="s">
        <v>106</v>
      </c>
      <c r="G523" t="s">
        <v>24</v>
      </c>
      <c r="H523">
        <v>234</v>
      </c>
      <c r="I523">
        <v>214</v>
      </c>
      <c r="J523">
        <v>14</v>
      </c>
      <c r="K523">
        <v>2.2999999999999998</v>
      </c>
      <c r="L523">
        <v>29216.55</v>
      </c>
      <c r="M523">
        <v>8.17</v>
      </c>
      <c r="N523">
        <v>147.06</v>
      </c>
      <c r="O523">
        <v>223</v>
      </c>
      <c r="P523" s="2">
        <v>46204</v>
      </c>
      <c r="Q523" s="2">
        <v>46206</v>
      </c>
      <c r="R523" t="s">
        <v>100</v>
      </c>
      <c r="S523" t="s">
        <v>33</v>
      </c>
    </row>
    <row r="524" spans="1:19" x14ac:dyDescent="0.25">
      <c r="A524" t="s">
        <v>614</v>
      </c>
      <c r="B524" s="2">
        <v>46155</v>
      </c>
      <c r="C524" t="s">
        <v>28</v>
      </c>
      <c r="D524" t="s">
        <v>29</v>
      </c>
      <c r="E524" t="s">
        <v>95</v>
      </c>
      <c r="F524" t="s">
        <v>197</v>
      </c>
      <c r="G524" t="s">
        <v>32</v>
      </c>
      <c r="H524">
        <v>122</v>
      </c>
      <c r="I524">
        <v>131</v>
      </c>
      <c r="J524">
        <v>3</v>
      </c>
      <c r="K524">
        <v>2.7</v>
      </c>
      <c r="L524">
        <v>36473.129999999997</v>
      </c>
      <c r="M524">
        <v>3.56</v>
      </c>
      <c r="N524">
        <v>78.319999999999993</v>
      </c>
      <c r="O524">
        <v>187</v>
      </c>
      <c r="P524" s="2">
        <v>46158</v>
      </c>
      <c r="Q524" s="2">
        <v>46157</v>
      </c>
      <c r="R524" t="s">
        <v>39</v>
      </c>
      <c r="S524" t="s">
        <v>51</v>
      </c>
    </row>
    <row r="525" spans="1:19" x14ac:dyDescent="0.25">
      <c r="A525" t="s">
        <v>615</v>
      </c>
      <c r="B525" s="2">
        <v>46091</v>
      </c>
      <c r="C525" t="s">
        <v>28</v>
      </c>
      <c r="D525" t="s">
        <v>29</v>
      </c>
      <c r="E525" t="s">
        <v>30</v>
      </c>
      <c r="F525" t="s">
        <v>244</v>
      </c>
      <c r="G525" t="s">
        <v>57</v>
      </c>
      <c r="H525">
        <v>181</v>
      </c>
      <c r="I525">
        <v>184</v>
      </c>
      <c r="J525">
        <v>1</v>
      </c>
      <c r="K525">
        <v>1.5</v>
      </c>
      <c r="L525">
        <v>37411.040000000001</v>
      </c>
      <c r="M525">
        <v>6.73</v>
      </c>
      <c r="N525">
        <v>161.52000000000001</v>
      </c>
      <c r="O525">
        <v>275</v>
      </c>
      <c r="P525" s="2">
        <v>46099</v>
      </c>
      <c r="Q525" s="2">
        <v>46099</v>
      </c>
      <c r="R525" t="s">
        <v>100</v>
      </c>
      <c r="S525" t="s">
        <v>86</v>
      </c>
    </row>
    <row r="526" spans="1:19" x14ac:dyDescent="0.25">
      <c r="A526" t="s">
        <v>616</v>
      </c>
      <c r="B526" s="2">
        <v>46070</v>
      </c>
      <c r="C526" t="s">
        <v>43</v>
      </c>
      <c r="D526" t="s">
        <v>44</v>
      </c>
      <c r="E526" t="s">
        <v>93</v>
      </c>
      <c r="F526" t="s">
        <v>110</v>
      </c>
      <c r="G526" t="s">
        <v>24</v>
      </c>
      <c r="H526">
        <v>204</v>
      </c>
      <c r="I526">
        <v>162</v>
      </c>
      <c r="J526">
        <v>14</v>
      </c>
      <c r="K526">
        <v>4.0999999999999996</v>
      </c>
      <c r="L526">
        <v>19401.84</v>
      </c>
      <c r="M526">
        <v>3.15</v>
      </c>
      <c r="N526">
        <v>63</v>
      </c>
      <c r="O526">
        <v>213</v>
      </c>
      <c r="P526" s="2">
        <v>46076</v>
      </c>
      <c r="Q526" s="2">
        <v>46078</v>
      </c>
      <c r="R526" t="s">
        <v>100</v>
      </c>
      <c r="S526" t="s">
        <v>33</v>
      </c>
    </row>
    <row r="527" spans="1:19" x14ac:dyDescent="0.25">
      <c r="A527" t="s">
        <v>617</v>
      </c>
      <c r="B527" s="2">
        <v>46185</v>
      </c>
      <c r="C527" t="s">
        <v>43</v>
      </c>
      <c r="D527" t="s">
        <v>44</v>
      </c>
      <c r="E527" t="s">
        <v>93</v>
      </c>
      <c r="F527" t="s">
        <v>41</v>
      </c>
      <c r="G527" t="s">
        <v>24</v>
      </c>
      <c r="H527">
        <v>155</v>
      </c>
      <c r="I527">
        <v>117</v>
      </c>
      <c r="J527">
        <v>1</v>
      </c>
      <c r="K527">
        <v>0.6</v>
      </c>
      <c r="L527">
        <v>10606.67</v>
      </c>
      <c r="M527">
        <v>3.47</v>
      </c>
      <c r="N527">
        <v>62.46</v>
      </c>
      <c r="O527">
        <v>117</v>
      </c>
      <c r="P527" s="2">
        <v>46187</v>
      </c>
      <c r="Q527" s="2">
        <v>46187</v>
      </c>
      <c r="R527" t="s">
        <v>25</v>
      </c>
      <c r="S527" t="s">
        <v>33</v>
      </c>
    </row>
    <row r="528" spans="1:19" x14ac:dyDescent="0.25">
      <c r="A528" t="s">
        <v>618</v>
      </c>
      <c r="B528" s="2">
        <v>46047</v>
      </c>
      <c r="C528" t="s">
        <v>28</v>
      </c>
      <c r="D528" t="s">
        <v>29</v>
      </c>
      <c r="E528" t="s">
        <v>30</v>
      </c>
      <c r="F528" t="s">
        <v>96</v>
      </c>
      <c r="G528" t="s">
        <v>57</v>
      </c>
      <c r="H528">
        <v>282</v>
      </c>
      <c r="I528">
        <v>203</v>
      </c>
      <c r="J528">
        <v>12</v>
      </c>
      <c r="K528">
        <v>8.9</v>
      </c>
      <c r="L528">
        <v>56645.9</v>
      </c>
      <c r="M528">
        <v>5.96</v>
      </c>
      <c r="N528">
        <v>131.12</v>
      </c>
      <c r="O528">
        <v>351</v>
      </c>
      <c r="P528" s="2">
        <v>46054</v>
      </c>
      <c r="Q528" s="2">
        <v>46055</v>
      </c>
      <c r="R528" t="s">
        <v>25</v>
      </c>
      <c r="S528" t="s">
        <v>86</v>
      </c>
    </row>
    <row r="529" spans="1:19" x14ac:dyDescent="0.25">
      <c r="A529" t="s">
        <v>619</v>
      </c>
      <c r="B529" s="2">
        <v>46193</v>
      </c>
      <c r="C529" t="s">
        <v>35</v>
      </c>
      <c r="D529" t="s">
        <v>36</v>
      </c>
      <c r="E529" t="s">
        <v>69</v>
      </c>
      <c r="F529" t="s">
        <v>122</v>
      </c>
      <c r="G529" t="s">
        <v>24</v>
      </c>
      <c r="H529">
        <v>236</v>
      </c>
      <c r="I529">
        <v>175</v>
      </c>
      <c r="J529">
        <v>6</v>
      </c>
      <c r="K529">
        <v>3</v>
      </c>
      <c r="L529">
        <v>13634.77</v>
      </c>
      <c r="M529">
        <v>6.08</v>
      </c>
      <c r="N529">
        <v>121.6</v>
      </c>
      <c r="O529">
        <v>202</v>
      </c>
      <c r="P529" s="2">
        <v>46204</v>
      </c>
      <c r="Q529" s="2">
        <v>46203</v>
      </c>
      <c r="R529" t="s">
        <v>39</v>
      </c>
      <c r="S529" t="s">
        <v>51</v>
      </c>
    </row>
    <row r="530" spans="1:19" x14ac:dyDescent="0.25">
      <c r="A530" t="s">
        <v>620</v>
      </c>
      <c r="B530" s="2">
        <v>46117</v>
      </c>
      <c r="C530" t="s">
        <v>53</v>
      </c>
      <c r="D530" t="s">
        <v>54</v>
      </c>
      <c r="E530" t="s">
        <v>131</v>
      </c>
      <c r="F530" t="s">
        <v>104</v>
      </c>
      <c r="G530" t="s">
        <v>32</v>
      </c>
      <c r="H530">
        <v>211</v>
      </c>
      <c r="I530">
        <v>189</v>
      </c>
      <c r="J530">
        <v>4</v>
      </c>
      <c r="K530">
        <v>8.9</v>
      </c>
      <c r="L530">
        <v>34083.550000000003</v>
      </c>
      <c r="M530">
        <v>3.48</v>
      </c>
      <c r="N530">
        <v>76.56</v>
      </c>
      <c r="O530">
        <v>182</v>
      </c>
      <c r="P530" s="2">
        <v>46124</v>
      </c>
      <c r="Q530" s="2">
        <v>46128</v>
      </c>
      <c r="R530" t="s">
        <v>25</v>
      </c>
      <c r="S530" t="s">
        <v>72</v>
      </c>
    </row>
    <row r="531" spans="1:19" x14ac:dyDescent="0.25">
      <c r="A531" t="s">
        <v>621</v>
      </c>
      <c r="B531" s="2">
        <v>46179</v>
      </c>
      <c r="C531" t="s">
        <v>20</v>
      </c>
      <c r="D531" t="s">
        <v>21</v>
      </c>
      <c r="E531" t="s">
        <v>90</v>
      </c>
      <c r="F531" t="s">
        <v>56</v>
      </c>
      <c r="G531" t="s">
        <v>24</v>
      </c>
      <c r="H531">
        <v>189</v>
      </c>
      <c r="I531">
        <v>212</v>
      </c>
      <c r="J531">
        <v>19</v>
      </c>
      <c r="K531">
        <v>4.3</v>
      </c>
      <c r="L531">
        <v>76445.649999999994</v>
      </c>
      <c r="M531">
        <v>4.33</v>
      </c>
      <c r="N531">
        <v>103.92</v>
      </c>
      <c r="O531">
        <v>224</v>
      </c>
      <c r="P531" s="2">
        <v>46190</v>
      </c>
      <c r="Q531" s="2">
        <v>46190</v>
      </c>
      <c r="R531" t="s">
        <v>25</v>
      </c>
      <c r="S531" t="s">
        <v>26</v>
      </c>
    </row>
    <row r="532" spans="1:19" x14ac:dyDescent="0.25">
      <c r="A532" t="s">
        <v>622</v>
      </c>
      <c r="B532" s="2">
        <v>46152</v>
      </c>
      <c r="C532" t="s">
        <v>80</v>
      </c>
      <c r="D532" t="s">
        <v>21</v>
      </c>
      <c r="E532" t="s">
        <v>22</v>
      </c>
      <c r="F532" t="s">
        <v>31</v>
      </c>
      <c r="G532" t="s">
        <v>57</v>
      </c>
      <c r="H532">
        <v>207</v>
      </c>
      <c r="I532">
        <v>219</v>
      </c>
      <c r="J532">
        <v>7</v>
      </c>
      <c r="K532">
        <v>6.1</v>
      </c>
      <c r="L532">
        <v>65395.5</v>
      </c>
      <c r="M532">
        <v>4.83</v>
      </c>
      <c r="N532">
        <v>115.92</v>
      </c>
      <c r="O532">
        <v>196</v>
      </c>
      <c r="P532" s="2">
        <v>46161</v>
      </c>
      <c r="Q532" s="2">
        <v>46161</v>
      </c>
      <c r="R532" t="s">
        <v>25</v>
      </c>
      <c r="S532" t="s">
        <v>33</v>
      </c>
    </row>
    <row r="533" spans="1:19" x14ac:dyDescent="0.25">
      <c r="A533" t="s">
        <v>623</v>
      </c>
      <c r="B533" s="2">
        <v>46050</v>
      </c>
      <c r="C533" t="s">
        <v>35</v>
      </c>
      <c r="D533" t="s">
        <v>36</v>
      </c>
      <c r="E533" t="s">
        <v>37</v>
      </c>
      <c r="F533" t="s">
        <v>83</v>
      </c>
      <c r="G533" t="s">
        <v>24</v>
      </c>
      <c r="H533">
        <v>121</v>
      </c>
      <c r="I533">
        <v>135</v>
      </c>
      <c r="J533">
        <v>4</v>
      </c>
      <c r="K533">
        <v>3.5</v>
      </c>
      <c r="L533">
        <v>12118.95</v>
      </c>
      <c r="M533">
        <v>4.59</v>
      </c>
      <c r="N533">
        <v>82.62</v>
      </c>
      <c r="O533">
        <v>115</v>
      </c>
      <c r="P533" s="2">
        <v>46060</v>
      </c>
      <c r="Q533" s="2">
        <v>46064</v>
      </c>
      <c r="R533" t="s">
        <v>25</v>
      </c>
      <c r="S533" t="s">
        <v>86</v>
      </c>
    </row>
    <row r="534" spans="1:19" x14ac:dyDescent="0.25">
      <c r="A534" t="s">
        <v>624</v>
      </c>
      <c r="B534" s="2">
        <v>46080</v>
      </c>
      <c r="C534" t="s">
        <v>20</v>
      </c>
      <c r="D534" t="s">
        <v>21</v>
      </c>
      <c r="E534" t="s">
        <v>66</v>
      </c>
      <c r="F534" t="s">
        <v>125</v>
      </c>
      <c r="G534" t="s">
        <v>57</v>
      </c>
      <c r="H534">
        <v>167</v>
      </c>
      <c r="I534">
        <v>147</v>
      </c>
      <c r="J534">
        <v>10</v>
      </c>
      <c r="K534">
        <v>6.6</v>
      </c>
      <c r="L534">
        <v>47311.58</v>
      </c>
      <c r="M534">
        <v>4.63</v>
      </c>
      <c r="N534">
        <v>111.12</v>
      </c>
      <c r="O534">
        <v>186</v>
      </c>
      <c r="P534" s="2">
        <v>46085</v>
      </c>
      <c r="Q534" s="2">
        <v>46085</v>
      </c>
      <c r="R534" t="s">
        <v>25</v>
      </c>
      <c r="S534" t="s">
        <v>33</v>
      </c>
    </row>
    <row r="535" spans="1:19" x14ac:dyDescent="0.25">
      <c r="A535" t="s">
        <v>625</v>
      </c>
      <c r="B535" s="2">
        <v>46045</v>
      </c>
      <c r="C535" t="s">
        <v>48</v>
      </c>
      <c r="D535" t="s">
        <v>49</v>
      </c>
      <c r="E535" t="s">
        <v>60</v>
      </c>
      <c r="F535" t="s">
        <v>137</v>
      </c>
      <c r="G535" t="s">
        <v>57</v>
      </c>
      <c r="H535">
        <v>231</v>
      </c>
      <c r="I535">
        <v>259</v>
      </c>
      <c r="J535">
        <v>18</v>
      </c>
      <c r="K535">
        <v>1</v>
      </c>
      <c r="L535">
        <v>54006.89</v>
      </c>
      <c r="M535">
        <v>10.59</v>
      </c>
      <c r="N535">
        <v>275.33999999999997</v>
      </c>
      <c r="O535">
        <v>191</v>
      </c>
      <c r="P535" s="2">
        <v>46051</v>
      </c>
      <c r="Q535" s="2">
        <v>46049</v>
      </c>
      <c r="R535" t="s">
        <v>39</v>
      </c>
      <c r="S535" t="s">
        <v>72</v>
      </c>
    </row>
    <row r="536" spans="1:19" x14ac:dyDescent="0.25">
      <c r="A536" t="s">
        <v>626</v>
      </c>
      <c r="B536" s="2">
        <v>46131</v>
      </c>
      <c r="C536" t="s">
        <v>48</v>
      </c>
      <c r="D536" t="s">
        <v>49</v>
      </c>
      <c r="E536" t="s">
        <v>76</v>
      </c>
      <c r="F536" t="s">
        <v>61</v>
      </c>
      <c r="G536" t="s">
        <v>57</v>
      </c>
      <c r="H536">
        <v>284</v>
      </c>
      <c r="I536">
        <v>287</v>
      </c>
      <c r="J536">
        <v>22</v>
      </c>
      <c r="K536">
        <v>4.7</v>
      </c>
      <c r="L536">
        <v>55080.68</v>
      </c>
      <c r="M536">
        <v>7.89</v>
      </c>
      <c r="N536">
        <v>205.14</v>
      </c>
      <c r="O536">
        <v>361</v>
      </c>
      <c r="P536" s="2">
        <v>46138</v>
      </c>
      <c r="Q536" s="2">
        <v>46138</v>
      </c>
      <c r="R536" t="s">
        <v>25</v>
      </c>
      <c r="S536" t="s">
        <v>72</v>
      </c>
    </row>
    <row r="537" spans="1:19" x14ac:dyDescent="0.25">
      <c r="A537" t="s">
        <v>627</v>
      </c>
      <c r="B537" s="2">
        <v>46197</v>
      </c>
      <c r="C537" t="s">
        <v>53</v>
      </c>
      <c r="D537" t="s">
        <v>54</v>
      </c>
      <c r="E537" t="s">
        <v>55</v>
      </c>
      <c r="F537" t="s">
        <v>119</v>
      </c>
      <c r="G537" t="s">
        <v>32</v>
      </c>
      <c r="H537">
        <v>233</v>
      </c>
      <c r="I537">
        <v>196</v>
      </c>
      <c r="J537">
        <v>14</v>
      </c>
      <c r="K537">
        <v>7.6</v>
      </c>
      <c r="L537">
        <v>27404.71</v>
      </c>
      <c r="M537">
        <v>5.03</v>
      </c>
      <c r="N537">
        <v>130.78</v>
      </c>
      <c r="O537">
        <v>224</v>
      </c>
      <c r="P537" s="2">
        <v>46203</v>
      </c>
      <c r="Q537" s="2">
        <v>46207</v>
      </c>
      <c r="R537" t="s">
        <v>25</v>
      </c>
      <c r="S537" t="s">
        <v>72</v>
      </c>
    </row>
    <row r="538" spans="1:19" x14ac:dyDescent="0.25">
      <c r="A538" t="s">
        <v>628</v>
      </c>
      <c r="B538" s="2">
        <v>46038</v>
      </c>
      <c r="C538" t="s">
        <v>48</v>
      </c>
      <c r="D538" t="s">
        <v>49</v>
      </c>
      <c r="E538" t="s">
        <v>50</v>
      </c>
      <c r="F538" t="s">
        <v>135</v>
      </c>
      <c r="G538" t="s">
        <v>24</v>
      </c>
      <c r="H538">
        <v>291</v>
      </c>
      <c r="I538">
        <v>299</v>
      </c>
      <c r="J538">
        <v>24</v>
      </c>
      <c r="K538">
        <v>8.4</v>
      </c>
      <c r="L538">
        <v>57288.83</v>
      </c>
      <c r="M538">
        <v>12.01</v>
      </c>
      <c r="N538">
        <v>240.2</v>
      </c>
      <c r="O538">
        <v>375</v>
      </c>
      <c r="P538" s="2">
        <v>46046</v>
      </c>
      <c r="Q538" s="2">
        <v>46046</v>
      </c>
      <c r="R538" t="s">
        <v>25</v>
      </c>
      <c r="S538" t="s">
        <v>72</v>
      </c>
    </row>
    <row r="539" spans="1:19" x14ac:dyDescent="0.25">
      <c r="A539" t="s">
        <v>629</v>
      </c>
      <c r="B539" s="2">
        <v>46109</v>
      </c>
      <c r="C539" t="s">
        <v>35</v>
      </c>
      <c r="D539" t="s">
        <v>36</v>
      </c>
      <c r="E539" t="s">
        <v>69</v>
      </c>
      <c r="F539" t="s">
        <v>197</v>
      </c>
      <c r="G539" t="s">
        <v>24</v>
      </c>
      <c r="H539">
        <v>169</v>
      </c>
      <c r="I539">
        <v>176</v>
      </c>
      <c r="J539">
        <v>7</v>
      </c>
      <c r="K539">
        <v>4.8</v>
      </c>
      <c r="L539">
        <v>15724.9</v>
      </c>
      <c r="M539">
        <v>3.99</v>
      </c>
      <c r="N539">
        <v>103.74</v>
      </c>
      <c r="O539">
        <v>229</v>
      </c>
      <c r="P539" s="2">
        <v>46112</v>
      </c>
      <c r="Q539" s="2">
        <v>46112</v>
      </c>
      <c r="R539" t="s">
        <v>25</v>
      </c>
      <c r="S539" t="s">
        <v>33</v>
      </c>
    </row>
    <row r="540" spans="1:19" x14ac:dyDescent="0.25">
      <c r="A540" t="s">
        <v>630</v>
      </c>
      <c r="B540" s="2">
        <v>46100</v>
      </c>
      <c r="C540" t="s">
        <v>53</v>
      </c>
      <c r="D540" t="s">
        <v>54</v>
      </c>
      <c r="E540" t="s">
        <v>55</v>
      </c>
      <c r="F540" t="s">
        <v>46</v>
      </c>
      <c r="G540" t="s">
        <v>32</v>
      </c>
      <c r="H540">
        <v>227</v>
      </c>
      <c r="I540">
        <v>176</v>
      </c>
      <c r="J540">
        <v>11</v>
      </c>
      <c r="K540">
        <v>2.6</v>
      </c>
      <c r="L540">
        <v>20275.849999999999</v>
      </c>
      <c r="M540">
        <v>6.33</v>
      </c>
      <c r="N540">
        <v>113.94</v>
      </c>
      <c r="O540">
        <v>279</v>
      </c>
      <c r="P540" s="2">
        <v>46111</v>
      </c>
      <c r="Q540" s="2">
        <v>46110</v>
      </c>
      <c r="R540" t="s">
        <v>25</v>
      </c>
      <c r="S540" t="s">
        <v>51</v>
      </c>
    </row>
    <row r="541" spans="1:19" x14ac:dyDescent="0.25">
      <c r="A541" t="s">
        <v>631</v>
      </c>
      <c r="B541" s="2">
        <v>46037</v>
      </c>
      <c r="C541" t="s">
        <v>20</v>
      </c>
      <c r="D541" t="s">
        <v>21</v>
      </c>
      <c r="E541" t="s">
        <v>90</v>
      </c>
      <c r="F541" t="s">
        <v>46</v>
      </c>
      <c r="G541" t="s">
        <v>32</v>
      </c>
      <c r="H541">
        <v>201</v>
      </c>
      <c r="I541">
        <v>160</v>
      </c>
      <c r="J541">
        <v>1</v>
      </c>
      <c r="K541">
        <v>8.8000000000000007</v>
      </c>
      <c r="L541">
        <v>55981.43</v>
      </c>
      <c r="M541">
        <v>6.6</v>
      </c>
      <c r="N541">
        <v>158.4</v>
      </c>
      <c r="O541">
        <v>223</v>
      </c>
      <c r="P541" s="2">
        <v>46039</v>
      </c>
      <c r="Q541" s="2">
        <v>46038</v>
      </c>
      <c r="R541" t="s">
        <v>25</v>
      </c>
      <c r="S541" t="s">
        <v>86</v>
      </c>
    </row>
    <row r="542" spans="1:19" x14ac:dyDescent="0.25">
      <c r="A542" t="s">
        <v>632</v>
      </c>
      <c r="B542" s="2">
        <v>46199</v>
      </c>
      <c r="C542" t="s">
        <v>43</v>
      </c>
      <c r="D542" t="s">
        <v>44</v>
      </c>
      <c r="E542" t="s">
        <v>45</v>
      </c>
      <c r="F542" t="s">
        <v>135</v>
      </c>
      <c r="G542" t="s">
        <v>57</v>
      </c>
      <c r="H542">
        <v>270</v>
      </c>
      <c r="I542">
        <v>237</v>
      </c>
      <c r="J542">
        <v>15</v>
      </c>
      <c r="K542">
        <v>7.2</v>
      </c>
      <c r="L542">
        <v>31618.65</v>
      </c>
      <c r="M542">
        <v>9.19</v>
      </c>
      <c r="N542">
        <v>220.56</v>
      </c>
      <c r="O542">
        <v>300</v>
      </c>
      <c r="P542" s="2">
        <v>46211</v>
      </c>
      <c r="Q542" s="2">
        <v>46215</v>
      </c>
      <c r="R542" t="s">
        <v>25</v>
      </c>
      <c r="S542" t="s">
        <v>33</v>
      </c>
    </row>
    <row r="543" spans="1:19" x14ac:dyDescent="0.25">
      <c r="A543" t="s">
        <v>633</v>
      </c>
      <c r="B543" s="2">
        <v>46044</v>
      </c>
      <c r="C543" t="s">
        <v>20</v>
      </c>
      <c r="D543" t="s">
        <v>21</v>
      </c>
      <c r="E543" t="s">
        <v>90</v>
      </c>
      <c r="F543" t="s">
        <v>125</v>
      </c>
      <c r="G543" t="s">
        <v>24</v>
      </c>
      <c r="H543">
        <v>244</v>
      </c>
      <c r="I543">
        <v>245</v>
      </c>
      <c r="J543">
        <v>12</v>
      </c>
      <c r="K543">
        <v>0.2</v>
      </c>
      <c r="L543">
        <v>83011.19</v>
      </c>
      <c r="M543">
        <v>6.02</v>
      </c>
      <c r="N543">
        <v>108.36</v>
      </c>
      <c r="O543">
        <v>250</v>
      </c>
      <c r="P543" s="2">
        <v>46052</v>
      </c>
      <c r="Q543" s="2">
        <v>46056</v>
      </c>
      <c r="R543" t="s">
        <v>100</v>
      </c>
      <c r="S543" t="s">
        <v>51</v>
      </c>
    </row>
    <row r="544" spans="1:19" x14ac:dyDescent="0.25">
      <c r="A544" t="s">
        <v>634</v>
      </c>
      <c r="B544" s="2">
        <v>46048</v>
      </c>
      <c r="C544" t="s">
        <v>48</v>
      </c>
      <c r="D544" t="s">
        <v>49</v>
      </c>
      <c r="E544" t="s">
        <v>50</v>
      </c>
      <c r="F544" t="s">
        <v>61</v>
      </c>
      <c r="G544" t="s">
        <v>24</v>
      </c>
      <c r="H544">
        <v>262</v>
      </c>
      <c r="I544">
        <v>291</v>
      </c>
      <c r="J544">
        <v>22</v>
      </c>
      <c r="K544">
        <v>1.7</v>
      </c>
      <c r="L544">
        <v>56436.57</v>
      </c>
      <c r="M544">
        <v>9.1199999999999992</v>
      </c>
      <c r="N544">
        <v>237.12</v>
      </c>
      <c r="O544">
        <v>357</v>
      </c>
      <c r="P544" s="2">
        <v>46057</v>
      </c>
      <c r="Q544" s="2">
        <v>46056</v>
      </c>
      <c r="R544" t="s">
        <v>39</v>
      </c>
      <c r="S544" t="s">
        <v>26</v>
      </c>
    </row>
    <row r="545" spans="1:19" x14ac:dyDescent="0.25">
      <c r="A545" t="s">
        <v>635</v>
      </c>
      <c r="B545" s="2">
        <v>46189</v>
      </c>
      <c r="C545" t="s">
        <v>20</v>
      </c>
      <c r="D545" t="s">
        <v>21</v>
      </c>
      <c r="E545" t="s">
        <v>22</v>
      </c>
      <c r="F545" t="s">
        <v>88</v>
      </c>
      <c r="G545" t="s">
        <v>24</v>
      </c>
      <c r="H545">
        <v>248</v>
      </c>
      <c r="I545">
        <v>274</v>
      </c>
      <c r="J545">
        <v>5</v>
      </c>
      <c r="K545">
        <v>5.4</v>
      </c>
      <c r="L545">
        <v>79660.820000000007</v>
      </c>
      <c r="M545">
        <v>10.199999999999999</v>
      </c>
      <c r="N545">
        <v>183.6</v>
      </c>
      <c r="O545">
        <v>218</v>
      </c>
      <c r="P545" s="2">
        <v>46193</v>
      </c>
      <c r="Q545" s="2">
        <v>46193</v>
      </c>
      <c r="R545" t="s">
        <v>25</v>
      </c>
      <c r="S545" t="s">
        <v>86</v>
      </c>
    </row>
    <row r="546" spans="1:19" x14ac:dyDescent="0.25">
      <c r="A546" t="s">
        <v>636</v>
      </c>
      <c r="B546" s="2">
        <v>46031</v>
      </c>
      <c r="C546" t="s">
        <v>20</v>
      </c>
      <c r="D546" t="s">
        <v>21</v>
      </c>
      <c r="E546" t="s">
        <v>22</v>
      </c>
      <c r="F546" t="s">
        <v>114</v>
      </c>
      <c r="G546" t="s">
        <v>32</v>
      </c>
      <c r="H546">
        <v>209</v>
      </c>
      <c r="I546">
        <v>177</v>
      </c>
      <c r="J546">
        <v>16</v>
      </c>
      <c r="K546">
        <v>1.5</v>
      </c>
      <c r="L546">
        <v>70010.789999999994</v>
      </c>
      <c r="M546">
        <v>4.24</v>
      </c>
      <c r="N546">
        <v>76.319999999999993</v>
      </c>
      <c r="O546">
        <v>301</v>
      </c>
      <c r="P546" s="2">
        <v>46037</v>
      </c>
      <c r="Q546" s="2">
        <v>46041</v>
      </c>
      <c r="R546" t="s">
        <v>25</v>
      </c>
      <c r="S546" t="s">
        <v>86</v>
      </c>
    </row>
    <row r="547" spans="1:19" x14ac:dyDescent="0.25">
      <c r="A547" t="s">
        <v>637</v>
      </c>
      <c r="B547" s="2">
        <v>46156</v>
      </c>
      <c r="C547" t="s">
        <v>48</v>
      </c>
      <c r="D547" t="s">
        <v>49</v>
      </c>
      <c r="E547" t="s">
        <v>60</v>
      </c>
      <c r="F547" t="s">
        <v>91</v>
      </c>
      <c r="G547" t="s">
        <v>32</v>
      </c>
      <c r="H547">
        <v>217</v>
      </c>
      <c r="I547">
        <v>203</v>
      </c>
      <c r="J547">
        <v>13</v>
      </c>
      <c r="K547">
        <v>6</v>
      </c>
      <c r="L547">
        <v>29739.47</v>
      </c>
      <c r="M547">
        <v>4.34</v>
      </c>
      <c r="N547">
        <v>86.8</v>
      </c>
      <c r="O547">
        <v>211</v>
      </c>
      <c r="P547" s="2">
        <v>46167</v>
      </c>
      <c r="Q547" s="2">
        <v>46167</v>
      </c>
      <c r="R547" t="s">
        <v>39</v>
      </c>
      <c r="S547" t="s">
        <v>51</v>
      </c>
    </row>
    <row r="548" spans="1:19" x14ac:dyDescent="0.25">
      <c r="A548" t="s">
        <v>638</v>
      </c>
      <c r="B548" s="2">
        <v>46182</v>
      </c>
      <c r="C548" t="s">
        <v>35</v>
      </c>
      <c r="D548" t="s">
        <v>36</v>
      </c>
      <c r="E548" t="s">
        <v>37</v>
      </c>
      <c r="F548" t="s">
        <v>110</v>
      </c>
      <c r="G548" t="s">
        <v>24</v>
      </c>
      <c r="H548">
        <v>220</v>
      </c>
      <c r="I548">
        <v>182</v>
      </c>
      <c r="J548">
        <v>7</v>
      </c>
      <c r="K548">
        <v>8.1</v>
      </c>
      <c r="L548">
        <v>14352.35</v>
      </c>
      <c r="M548">
        <v>4.3899999999999997</v>
      </c>
      <c r="N548">
        <v>105.36</v>
      </c>
      <c r="O548">
        <v>216</v>
      </c>
      <c r="P548" s="2">
        <v>46192</v>
      </c>
      <c r="Q548" s="2">
        <v>46192</v>
      </c>
      <c r="R548" t="s">
        <v>25</v>
      </c>
      <c r="S548" t="s">
        <v>86</v>
      </c>
    </row>
    <row r="549" spans="1:19" x14ac:dyDescent="0.25">
      <c r="A549" t="s">
        <v>639</v>
      </c>
      <c r="B549" s="2">
        <v>46185</v>
      </c>
      <c r="C549" t="s">
        <v>28</v>
      </c>
      <c r="D549" t="s">
        <v>29</v>
      </c>
      <c r="E549" t="s">
        <v>30</v>
      </c>
      <c r="F549" t="s">
        <v>122</v>
      </c>
      <c r="G549" t="s">
        <v>57</v>
      </c>
      <c r="H549">
        <v>175</v>
      </c>
      <c r="I549">
        <v>168</v>
      </c>
      <c r="J549">
        <v>10</v>
      </c>
      <c r="K549">
        <v>4.5999999999999996</v>
      </c>
      <c r="L549">
        <v>36666.31</v>
      </c>
      <c r="M549">
        <v>4.3</v>
      </c>
      <c r="N549">
        <v>103.2</v>
      </c>
      <c r="O549">
        <v>232</v>
      </c>
      <c r="P549" s="2">
        <v>46187</v>
      </c>
      <c r="Q549" s="2">
        <v>46187</v>
      </c>
      <c r="R549" t="s">
        <v>25</v>
      </c>
      <c r="S549" t="s">
        <v>26</v>
      </c>
    </row>
    <row r="550" spans="1:19" x14ac:dyDescent="0.25">
      <c r="A550" t="s">
        <v>640</v>
      </c>
      <c r="B550" s="2">
        <v>46051</v>
      </c>
      <c r="C550" t="s">
        <v>35</v>
      </c>
      <c r="D550" t="s">
        <v>36</v>
      </c>
      <c r="E550" t="s">
        <v>37</v>
      </c>
      <c r="F550" t="s">
        <v>71</v>
      </c>
      <c r="G550" t="s">
        <v>57</v>
      </c>
      <c r="H550">
        <v>164</v>
      </c>
      <c r="I550">
        <v>163</v>
      </c>
      <c r="J550">
        <v>6</v>
      </c>
      <c r="K550">
        <v>3</v>
      </c>
      <c r="L550">
        <v>15144.18</v>
      </c>
      <c r="M550">
        <v>3.82</v>
      </c>
      <c r="N550">
        <v>68.760000000000005</v>
      </c>
      <c r="O550">
        <v>149</v>
      </c>
      <c r="P550" s="2">
        <v>46059</v>
      </c>
      <c r="Q550" s="2">
        <v>46059</v>
      </c>
      <c r="R550" t="s">
        <v>100</v>
      </c>
      <c r="S550" t="s">
        <v>51</v>
      </c>
    </row>
    <row r="551" spans="1:19" x14ac:dyDescent="0.25">
      <c r="A551" t="s">
        <v>641</v>
      </c>
      <c r="B551" s="2">
        <v>46157</v>
      </c>
      <c r="C551" t="s">
        <v>59</v>
      </c>
      <c r="D551" t="s">
        <v>49</v>
      </c>
      <c r="E551" t="s">
        <v>60</v>
      </c>
      <c r="F551" t="s">
        <v>244</v>
      </c>
      <c r="G551" t="s">
        <v>32</v>
      </c>
      <c r="H551">
        <v>290</v>
      </c>
      <c r="I551">
        <v>309</v>
      </c>
      <c r="J551">
        <v>4</v>
      </c>
      <c r="K551">
        <v>3.1</v>
      </c>
      <c r="L551">
        <v>52129.79</v>
      </c>
      <c r="M551">
        <v>7.57</v>
      </c>
      <c r="N551">
        <v>136.26</v>
      </c>
      <c r="O551">
        <v>262</v>
      </c>
      <c r="P551" s="2">
        <v>46161</v>
      </c>
      <c r="Q551" s="2">
        <v>46162</v>
      </c>
      <c r="R551" t="s">
        <v>100</v>
      </c>
      <c r="S551" t="s">
        <v>26</v>
      </c>
    </row>
    <row r="552" spans="1:19" x14ac:dyDescent="0.25">
      <c r="A552" t="s">
        <v>642</v>
      </c>
      <c r="B552" s="2">
        <v>46164</v>
      </c>
      <c r="C552" t="s">
        <v>35</v>
      </c>
      <c r="D552" t="s">
        <v>36</v>
      </c>
      <c r="E552" t="s">
        <v>69</v>
      </c>
      <c r="F552" t="s">
        <v>41</v>
      </c>
      <c r="G552" t="s">
        <v>24</v>
      </c>
      <c r="H552">
        <v>231</v>
      </c>
      <c r="I552">
        <v>178</v>
      </c>
      <c r="J552">
        <v>1</v>
      </c>
      <c r="K552">
        <v>4.5999999999999996</v>
      </c>
      <c r="L552">
        <v>12920.63</v>
      </c>
      <c r="M552">
        <v>4.82</v>
      </c>
      <c r="N552">
        <v>106.04</v>
      </c>
      <c r="O552">
        <v>204</v>
      </c>
      <c r="P552" s="2">
        <v>46176</v>
      </c>
      <c r="Q552" s="2">
        <v>46177</v>
      </c>
      <c r="R552" t="s">
        <v>25</v>
      </c>
      <c r="S552" t="s">
        <v>72</v>
      </c>
    </row>
    <row r="553" spans="1:19" x14ac:dyDescent="0.25">
      <c r="A553" t="s">
        <v>643</v>
      </c>
      <c r="B553" s="2">
        <v>46140</v>
      </c>
      <c r="C553" t="s">
        <v>43</v>
      </c>
      <c r="D553" t="s">
        <v>44</v>
      </c>
      <c r="E553" t="s">
        <v>161</v>
      </c>
      <c r="F553" t="s">
        <v>77</v>
      </c>
      <c r="G553" t="s">
        <v>32</v>
      </c>
      <c r="H553">
        <v>170</v>
      </c>
      <c r="I553">
        <v>180</v>
      </c>
      <c r="J553">
        <v>9</v>
      </c>
      <c r="K553">
        <v>2.5</v>
      </c>
      <c r="L553">
        <v>23030.93</v>
      </c>
      <c r="M553">
        <v>7.05</v>
      </c>
      <c r="N553">
        <v>141</v>
      </c>
      <c r="O553">
        <v>208</v>
      </c>
      <c r="P553" s="2">
        <v>46152</v>
      </c>
      <c r="Q553" s="2">
        <v>46151</v>
      </c>
      <c r="R553" t="s">
        <v>25</v>
      </c>
      <c r="S553" t="s">
        <v>33</v>
      </c>
    </row>
    <row r="554" spans="1:19" x14ac:dyDescent="0.25">
      <c r="A554" t="s">
        <v>644</v>
      </c>
      <c r="B554" s="2">
        <v>46185</v>
      </c>
      <c r="C554" t="s">
        <v>20</v>
      </c>
      <c r="D554" t="s">
        <v>21</v>
      </c>
      <c r="E554" t="s">
        <v>22</v>
      </c>
      <c r="F554" t="s">
        <v>119</v>
      </c>
      <c r="G554" t="s">
        <v>24</v>
      </c>
      <c r="H554">
        <v>266</v>
      </c>
      <c r="I554">
        <v>218</v>
      </c>
      <c r="J554">
        <v>2</v>
      </c>
      <c r="K554">
        <v>5.2</v>
      </c>
      <c r="L554">
        <v>56598.98</v>
      </c>
      <c r="M554">
        <v>8.7899999999999991</v>
      </c>
      <c r="N554">
        <v>158.22</v>
      </c>
      <c r="O554">
        <v>334</v>
      </c>
      <c r="P554" s="2">
        <v>46197</v>
      </c>
      <c r="Q554" s="2">
        <v>46197</v>
      </c>
      <c r="R554" t="s">
        <v>100</v>
      </c>
      <c r="S554" t="s">
        <v>26</v>
      </c>
    </row>
    <row r="555" spans="1:19" x14ac:dyDescent="0.25">
      <c r="A555" t="s">
        <v>645</v>
      </c>
      <c r="B555" s="2">
        <v>46201</v>
      </c>
      <c r="C555" t="s">
        <v>20</v>
      </c>
      <c r="D555" t="s">
        <v>21</v>
      </c>
      <c r="E555" t="s">
        <v>90</v>
      </c>
      <c r="F555" t="s">
        <v>41</v>
      </c>
      <c r="G555" t="s">
        <v>24</v>
      </c>
      <c r="H555">
        <v>83</v>
      </c>
      <c r="I555">
        <v>81</v>
      </c>
      <c r="J555">
        <v>7</v>
      </c>
      <c r="K555">
        <v>6.7</v>
      </c>
      <c r="L555">
        <v>29786.69</v>
      </c>
      <c r="M555">
        <v>2.92</v>
      </c>
      <c r="N555">
        <v>58.4</v>
      </c>
      <c r="O555">
        <v>60</v>
      </c>
      <c r="P555" s="2">
        <v>46212</v>
      </c>
      <c r="Q555" s="2">
        <v>46216</v>
      </c>
      <c r="R555" t="s">
        <v>25</v>
      </c>
      <c r="S555" t="s">
        <v>51</v>
      </c>
    </row>
    <row r="556" spans="1:19" x14ac:dyDescent="0.25">
      <c r="A556" t="s">
        <v>646</v>
      </c>
      <c r="B556" s="2">
        <v>46067</v>
      </c>
      <c r="C556" t="s">
        <v>20</v>
      </c>
      <c r="D556" t="s">
        <v>21</v>
      </c>
      <c r="E556" t="s">
        <v>90</v>
      </c>
      <c r="F556" t="s">
        <v>125</v>
      </c>
      <c r="G556" t="s">
        <v>32</v>
      </c>
      <c r="H556">
        <v>294</v>
      </c>
      <c r="I556">
        <v>228</v>
      </c>
      <c r="J556">
        <v>8</v>
      </c>
      <c r="K556">
        <v>0.5</v>
      </c>
      <c r="L556">
        <v>67215.179999999993</v>
      </c>
      <c r="M556">
        <v>9.41</v>
      </c>
      <c r="N556">
        <v>207.02</v>
      </c>
      <c r="O556">
        <v>317</v>
      </c>
      <c r="P556" s="2">
        <v>46077</v>
      </c>
      <c r="Q556" s="2">
        <v>46076</v>
      </c>
      <c r="R556" t="s">
        <v>25</v>
      </c>
      <c r="S556" t="s">
        <v>86</v>
      </c>
    </row>
    <row r="557" spans="1:19" x14ac:dyDescent="0.25">
      <c r="A557" t="s">
        <v>647</v>
      </c>
      <c r="B557" s="2">
        <v>46090</v>
      </c>
      <c r="C557" t="s">
        <v>28</v>
      </c>
      <c r="D557" t="s">
        <v>29</v>
      </c>
      <c r="E557" t="s">
        <v>63</v>
      </c>
      <c r="F557" t="s">
        <v>91</v>
      </c>
      <c r="G557" t="s">
        <v>57</v>
      </c>
      <c r="H557">
        <v>268</v>
      </c>
      <c r="I557">
        <v>265</v>
      </c>
      <c r="J557">
        <v>10</v>
      </c>
      <c r="K557">
        <v>8.3000000000000007</v>
      </c>
      <c r="L557">
        <v>78533.740000000005</v>
      </c>
      <c r="M557">
        <v>8.0500000000000007</v>
      </c>
      <c r="N557">
        <v>144.9</v>
      </c>
      <c r="O557">
        <v>346</v>
      </c>
      <c r="P557" s="2">
        <v>46101</v>
      </c>
      <c r="Q557" s="2">
        <v>46105</v>
      </c>
      <c r="R557" t="s">
        <v>25</v>
      </c>
      <c r="S557" t="s">
        <v>26</v>
      </c>
    </row>
    <row r="558" spans="1:19" x14ac:dyDescent="0.25">
      <c r="A558" t="s">
        <v>648</v>
      </c>
      <c r="B558" s="2">
        <v>46140</v>
      </c>
      <c r="C558" t="s">
        <v>48</v>
      </c>
      <c r="D558" t="s">
        <v>49</v>
      </c>
      <c r="E558" t="s">
        <v>76</v>
      </c>
      <c r="F558" t="s">
        <v>71</v>
      </c>
      <c r="G558" t="s">
        <v>32</v>
      </c>
      <c r="H558">
        <v>170</v>
      </c>
      <c r="I558">
        <v>130</v>
      </c>
      <c r="J558">
        <v>4</v>
      </c>
      <c r="K558">
        <v>6.5</v>
      </c>
      <c r="L558">
        <v>21787.99</v>
      </c>
      <c r="M558">
        <v>3.68</v>
      </c>
      <c r="N558">
        <v>73.599999999999994</v>
      </c>
      <c r="O558">
        <v>151</v>
      </c>
      <c r="P558" s="2">
        <v>46150</v>
      </c>
      <c r="Q558" s="2">
        <v>46150</v>
      </c>
      <c r="R558" t="s">
        <v>100</v>
      </c>
      <c r="S558" t="s">
        <v>33</v>
      </c>
    </row>
    <row r="559" spans="1:19" x14ac:dyDescent="0.25">
      <c r="A559" t="s">
        <v>649</v>
      </c>
      <c r="B559" s="2">
        <v>46062</v>
      </c>
      <c r="C559" t="s">
        <v>59</v>
      </c>
      <c r="D559" t="s">
        <v>49</v>
      </c>
      <c r="E559" t="s">
        <v>50</v>
      </c>
      <c r="F559" t="s">
        <v>112</v>
      </c>
      <c r="G559" t="s">
        <v>32</v>
      </c>
      <c r="H559">
        <v>200</v>
      </c>
      <c r="I559">
        <v>178</v>
      </c>
      <c r="J559">
        <v>5</v>
      </c>
      <c r="K559">
        <v>3.9</v>
      </c>
      <c r="L559">
        <v>29822.77</v>
      </c>
      <c r="M559">
        <v>3.67</v>
      </c>
      <c r="N559">
        <v>88.08</v>
      </c>
      <c r="O559">
        <v>272</v>
      </c>
      <c r="P559" s="2">
        <v>46066</v>
      </c>
      <c r="Q559" s="2">
        <v>46066</v>
      </c>
      <c r="R559" t="s">
        <v>25</v>
      </c>
      <c r="S559" t="s">
        <v>33</v>
      </c>
    </row>
    <row r="560" spans="1:19" x14ac:dyDescent="0.25">
      <c r="A560" t="s">
        <v>650</v>
      </c>
      <c r="B560" s="2">
        <v>46114</v>
      </c>
      <c r="C560" t="s">
        <v>28</v>
      </c>
      <c r="D560" t="s">
        <v>29</v>
      </c>
      <c r="E560" t="s">
        <v>63</v>
      </c>
      <c r="F560" t="s">
        <v>137</v>
      </c>
      <c r="G560" t="s">
        <v>32</v>
      </c>
      <c r="H560">
        <v>128</v>
      </c>
      <c r="I560">
        <v>107</v>
      </c>
      <c r="J560">
        <v>1</v>
      </c>
      <c r="K560">
        <v>3.8</v>
      </c>
      <c r="L560">
        <v>20093.07</v>
      </c>
      <c r="M560">
        <v>3.64</v>
      </c>
      <c r="N560">
        <v>87.36</v>
      </c>
      <c r="O560">
        <v>156</v>
      </c>
      <c r="P560" s="2">
        <v>46117</v>
      </c>
      <c r="Q560" s="2">
        <v>46119</v>
      </c>
      <c r="R560" t="s">
        <v>100</v>
      </c>
      <c r="S560" t="s">
        <v>51</v>
      </c>
    </row>
    <row r="561" spans="1:19" x14ac:dyDescent="0.25">
      <c r="A561" t="s">
        <v>651</v>
      </c>
      <c r="B561" s="2">
        <v>46106</v>
      </c>
      <c r="C561" t="s">
        <v>35</v>
      </c>
      <c r="D561" t="s">
        <v>36</v>
      </c>
      <c r="E561" t="s">
        <v>69</v>
      </c>
      <c r="F561" t="s">
        <v>104</v>
      </c>
      <c r="G561" t="s">
        <v>24</v>
      </c>
      <c r="H561">
        <v>113</v>
      </c>
      <c r="I561">
        <v>86</v>
      </c>
      <c r="J561">
        <v>1</v>
      </c>
      <c r="K561">
        <v>0.2</v>
      </c>
      <c r="L561">
        <v>6936.53</v>
      </c>
      <c r="M561">
        <v>3.13</v>
      </c>
      <c r="N561">
        <v>62.6</v>
      </c>
      <c r="O561">
        <v>86</v>
      </c>
      <c r="P561" s="2">
        <v>46118</v>
      </c>
      <c r="Q561" s="2">
        <v>46119</v>
      </c>
      <c r="R561" t="s">
        <v>100</v>
      </c>
      <c r="S561" t="s">
        <v>33</v>
      </c>
    </row>
    <row r="562" spans="1:19" x14ac:dyDescent="0.25">
      <c r="A562" t="s">
        <v>652</v>
      </c>
      <c r="B562" s="2">
        <v>46134</v>
      </c>
      <c r="C562" t="s">
        <v>53</v>
      </c>
      <c r="D562" t="s">
        <v>54</v>
      </c>
      <c r="E562" t="s">
        <v>131</v>
      </c>
      <c r="F562" t="s">
        <v>119</v>
      </c>
      <c r="G562" t="s">
        <v>24</v>
      </c>
      <c r="H562">
        <v>152</v>
      </c>
      <c r="I562">
        <v>141</v>
      </c>
      <c r="J562">
        <v>10</v>
      </c>
      <c r="K562">
        <v>2.2000000000000002</v>
      </c>
      <c r="L562">
        <v>17678.189999999999</v>
      </c>
      <c r="M562">
        <v>3.38</v>
      </c>
      <c r="N562">
        <v>60.84</v>
      </c>
      <c r="O562">
        <v>179</v>
      </c>
      <c r="P562" s="2">
        <v>46139</v>
      </c>
      <c r="Q562" s="2">
        <v>46141</v>
      </c>
      <c r="R562" t="s">
        <v>25</v>
      </c>
      <c r="S562" t="s">
        <v>33</v>
      </c>
    </row>
    <row r="563" spans="1:19" x14ac:dyDescent="0.25">
      <c r="A563" t="s">
        <v>653</v>
      </c>
      <c r="B563" s="2">
        <v>46202</v>
      </c>
      <c r="C563" t="s">
        <v>43</v>
      </c>
      <c r="D563" t="s">
        <v>44</v>
      </c>
      <c r="E563" t="s">
        <v>93</v>
      </c>
      <c r="F563" t="s">
        <v>56</v>
      </c>
      <c r="G563" t="s">
        <v>57</v>
      </c>
      <c r="H563">
        <v>298</v>
      </c>
      <c r="I563">
        <v>290</v>
      </c>
      <c r="J563">
        <v>18</v>
      </c>
      <c r="K563">
        <v>2.1</v>
      </c>
      <c r="L563">
        <v>25905.09</v>
      </c>
      <c r="M563">
        <v>12.11</v>
      </c>
      <c r="N563">
        <v>242.2</v>
      </c>
      <c r="O563">
        <v>367</v>
      </c>
      <c r="P563" s="2">
        <v>46204</v>
      </c>
      <c r="Q563" s="2">
        <v>46204</v>
      </c>
      <c r="R563" t="s">
        <v>25</v>
      </c>
      <c r="S563" t="s">
        <v>72</v>
      </c>
    </row>
    <row r="564" spans="1:19" x14ac:dyDescent="0.25">
      <c r="A564" t="s">
        <v>654</v>
      </c>
      <c r="B564" s="2">
        <v>46127</v>
      </c>
      <c r="C564" t="s">
        <v>59</v>
      </c>
      <c r="D564" t="s">
        <v>49</v>
      </c>
      <c r="E564" t="s">
        <v>60</v>
      </c>
      <c r="F564" t="s">
        <v>106</v>
      </c>
      <c r="G564" t="s">
        <v>32</v>
      </c>
      <c r="H564">
        <v>242</v>
      </c>
      <c r="I564">
        <v>276</v>
      </c>
      <c r="J564">
        <v>6</v>
      </c>
      <c r="K564">
        <v>3.8</v>
      </c>
      <c r="L564">
        <v>39793.21</v>
      </c>
      <c r="M564">
        <v>5.31</v>
      </c>
      <c r="N564">
        <v>95.58</v>
      </c>
      <c r="O564">
        <v>270</v>
      </c>
      <c r="P564" s="2">
        <v>46134</v>
      </c>
      <c r="Q564" s="2">
        <v>46134</v>
      </c>
      <c r="R564" t="s">
        <v>25</v>
      </c>
      <c r="S564" t="s">
        <v>51</v>
      </c>
    </row>
    <row r="565" spans="1:19" x14ac:dyDescent="0.25">
      <c r="A565" t="s">
        <v>655</v>
      </c>
      <c r="B565" s="2">
        <v>46104</v>
      </c>
      <c r="C565" t="s">
        <v>80</v>
      </c>
      <c r="D565" t="s">
        <v>21</v>
      </c>
      <c r="E565" t="s">
        <v>22</v>
      </c>
      <c r="F565" t="s">
        <v>96</v>
      </c>
      <c r="G565" t="s">
        <v>32</v>
      </c>
      <c r="H565">
        <v>90</v>
      </c>
      <c r="I565">
        <v>64</v>
      </c>
      <c r="J565">
        <v>4</v>
      </c>
      <c r="K565">
        <v>2.9</v>
      </c>
      <c r="L565">
        <v>14822.68</v>
      </c>
      <c r="M565">
        <v>2.08</v>
      </c>
      <c r="N565">
        <v>49.92</v>
      </c>
      <c r="O565">
        <v>97</v>
      </c>
      <c r="P565" s="2">
        <v>46110</v>
      </c>
      <c r="Q565" s="2">
        <v>46114</v>
      </c>
      <c r="R565" t="s">
        <v>25</v>
      </c>
      <c r="S565" t="s">
        <v>33</v>
      </c>
    </row>
    <row r="566" spans="1:19" x14ac:dyDescent="0.25">
      <c r="A566" t="s">
        <v>656</v>
      </c>
      <c r="B566" s="2">
        <v>46047</v>
      </c>
      <c r="C566" t="s">
        <v>80</v>
      </c>
      <c r="D566" t="s">
        <v>21</v>
      </c>
      <c r="E566" t="s">
        <v>66</v>
      </c>
      <c r="F566" t="s">
        <v>114</v>
      </c>
      <c r="G566" t="s">
        <v>32</v>
      </c>
      <c r="H566">
        <v>221</v>
      </c>
      <c r="I566">
        <v>232</v>
      </c>
      <c r="J566">
        <v>3</v>
      </c>
      <c r="K566">
        <v>3.2</v>
      </c>
      <c r="L566">
        <v>73253.63</v>
      </c>
      <c r="M566">
        <v>7.46</v>
      </c>
      <c r="N566">
        <v>193.96</v>
      </c>
      <c r="O566">
        <v>276</v>
      </c>
      <c r="P566" s="2">
        <v>46052</v>
      </c>
      <c r="Q566" s="2">
        <v>46052</v>
      </c>
      <c r="R566" t="s">
        <v>25</v>
      </c>
      <c r="S566" t="s">
        <v>33</v>
      </c>
    </row>
    <row r="567" spans="1:19" x14ac:dyDescent="0.25">
      <c r="A567" t="s">
        <v>657</v>
      </c>
      <c r="B567" s="2">
        <v>46050</v>
      </c>
      <c r="C567" t="s">
        <v>43</v>
      </c>
      <c r="D567" t="s">
        <v>44</v>
      </c>
      <c r="E567" t="s">
        <v>45</v>
      </c>
      <c r="F567" t="s">
        <v>112</v>
      </c>
      <c r="G567" t="s">
        <v>32</v>
      </c>
      <c r="H567">
        <v>270</v>
      </c>
      <c r="I567">
        <v>264</v>
      </c>
      <c r="J567">
        <v>2</v>
      </c>
      <c r="K567">
        <v>8.6999999999999993</v>
      </c>
      <c r="L567">
        <v>38300.89</v>
      </c>
      <c r="M567">
        <v>5.97</v>
      </c>
      <c r="N567">
        <v>143.28</v>
      </c>
      <c r="O567">
        <v>255</v>
      </c>
      <c r="P567" s="2">
        <v>46053</v>
      </c>
      <c r="Q567" s="2">
        <v>46054</v>
      </c>
      <c r="R567" t="s">
        <v>25</v>
      </c>
      <c r="S567" t="s">
        <v>51</v>
      </c>
    </row>
    <row r="568" spans="1:19" x14ac:dyDescent="0.25">
      <c r="A568" t="s">
        <v>658</v>
      </c>
      <c r="B568" s="2">
        <v>46159</v>
      </c>
      <c r="C568" t="s">
        <v>43</v>
      </c>
      <c r="D568" t="s">
        <v>44</v>
      </c>
      <c r="E568" t="s">
        <v>93</v>
      </c>
      <c r="F568" t="s">
        <v>88</v>
      </c>
      <c r="G568" t="s">
        <v>32</v>
      </c>
      <c r="H568">
        <v>112</v>
      </c>
      <c r="I568">
        <v>89</v>
      </c>
      <c r="J568">
        <v>4</v>
      </c>
      <c r="K568">
        <v>2.2999999999999998</v>
      </c>
      <c r="L568">
        <v>12998.13</v>
      </c>
      <c r="M568">
        <v>3.54</v>
      </c>
      <c r="N568">
        <v>77.88</v>
      </c>
      <c r="O568">
        <v>165</v>
      </c>
      <c r="P568" s="2">
        <v>46168</v>
      </c>
      <c r="Q568" s="2">
        <v>46167</v>
      </c>
      <c r="R568" t="s">
        <v>100</v>
      </c>
      <c r="S568" t="s">
        <v>72</v>
      </c>
    </row>
    <row r="569" spans="1:19" x14ac:dyDescent="0.25">
      <c r="A569" t="s">
        <v>659</v>
      </c>
      <c r="B569" s="2">
        <v>46157</v>
      </c>
      <c r="C569" t="s">
        <v>80</v>
      </c>
      <c r="D569" t="s">
        <v>21</v>
      </c>
      <c r="E569" t="s">
        <v>22</v>
      </c>
      <c r="F569" t="s">
        <v>74</v>
      </c>
      <c r="G569" t="s">
        <v>24</v>
      </c>
      <c r="H569">
        <v>233</v>
      </c>
      <c r="I569">
        <v>195</v>
      </c>
      <c r="J569">
        <v>17</v>
      </c>
      <c r="K569">
        <v>2.6</v>
      </c>
      <c r="L569">
        <v>53421.71</v>
      </c>
      <c r="M569">
        <v>8.06</v>
      </c>
      <c r="N569">
        <v>161.19999999999999</v>
      </c>
      <c r="O569">
        <v>294</v>
      </c>
      <c r="P569" s="2">
        <v>46166</v>
      </c>
      <c r="Q569" s="2">
        <v>46165</v>
      </c>
      <c r="R569" t="s">
        <v>25</v>
      </c>
      <c r="S569" t="s">
        <v>72</v>
      </c>
    </row>
    <row r="570" spans="1:19" x14ac:dyDescent="0.25">
      <c r="A570" t="s">
        <v>660</v>
      </c>
      <c r="B570" s="2">
        <v>46166</v>
      </c>
      <c r="C570" t="s">
        <v>35</v>
      </c>
      <c r="D570" t="s">
        <v>36</v>
      </c>
      <c r="E570" t="s">
        <v>69</v>
      </c>
      <c r="F570" t="s">
        <v>56</v>
      </c>
      <c r="G570" t="s">
        <v>406</v>
      </c>
      <c r="H570">
        <v>235</v>
      </c>
      <c r="I570">
        <v>196</v>
      </c>
      <c r="J570">
        <v>4</v>
      </c>
      <c r="K570">
        <v>1.4</v>
      </c>
      <c r="L570">
        <v>17067.240000000002</v>
      </c>
      <c r="M570">
        <v>7.66</v>
      </c>
      <c r="N570">
        <v>199.16</v>
      </c>
      <c r="O570">
        <v>311</v>
      </c>
      <c r="P570" s="2">
        <v>46176</v>
      </c>
      <c r="Q570" s="2">
        <v>46176</v>
      </c>
      <c r="R570" t="s">
        <v>25</v>
      </c>
      <c r="S570" t="s">
        <v>86</v>
      </c>
    </row>
    <row r="571" spans="1:19" x14ac:dyDescent="0.25">
      <c r="A571" t="s">
        <v>661</v>
      </c>
      <c r="B571" s="2">
        <v>46091</v>
      </c>
      <c r="C571" t="s">
        <v>20</v>
      </c>
      <c r="D571" t="s">
        <v>21</v>
      </c>
      <c r="E571" t="s">
        <v>22</v>
      </c>
      <c r="F571" t="s">
        <v>137</v>
      </c>
      <c r="G571" t="s">
        <v>57</v>
      </c>
      <c r="H571">
        <v>137</v>
      </c>
      <c r="I571">
        <v>101</v>
      </c>
      <c r="J571">
        <v>2</v>
      </c>
      <c r="K571">
        <v>0.4</v>
      </c>
      <c r="L571">
        <v>31499.22</v>
      </c>
      <c r="M571">
        <v>4.07</v>
      </c>
      <c r="N571">
        <v>89.54</v>
      </c>
      <c r="O571">
        <v>110</v>
      </c>
      <c r="P571" s="2">
        <v>46103</v>
      </c>
      <c r="Q571" s="2">
        <v>46103</v>
      </c>
      <c r="R571" t="s">
        <v>25</v>
      </c>
      <c r="S571" t="s">
        <v>33</v>
      </c>
    </row>
    <row r="572" spans="1:19" x14ac:dyDescent="0.25">
      <c r="A572" t="s">
        <v>662</v>
      </c>
      <c r="B572" s="2">
        <v>46189</v>
      </c>
      <c r="C572" t="s">
        <v>48</v>
      </c>
      <c r="D572" t="s">
        <v>49</v>
      </c>
      <c r="E572" t="s">
        <v>60</v>
      </c>
      <c r="F572" t="s">
        <v>61</v>
      </c>
      <c r="G572" t="s">
        <v>32</v>
      </c>
      <c r="H572">
        <v>234</v>
      </c>
      <c r="I572">
        <v>266</v>
      </c>
      <c r="J572">
        <v>9</v>
      </c>
      <c r="K572">
        <v>8.5</v>
      </c>
      <c r="L572">
        <v>56735.94</v>
      </c>
      <c r="M572">
        <v>5.64</v>
      </c>
      <c r="N572">
        <v>146.63999999999999</v>
      </c>
      <c r="O572">
        <v>269</v>
      </c>
      <c r="P572" s="2">
        <v>46196</v>
      </c>
      <c r="Q572" s="2">
        <v>46194</v>
      </c>
      <c r="R572" t="s">
        <v>25</v>
      </c>
      <c r="S572" t="s">
        <v>51</v>
      </c>
    </row>
    <row r="573" spans="1:19" x14ac:dyDescent="0.25">
      <c r="A573" t="s">
        <v>663</v>
      </c>
      <c r="B573" s="2">
        <v>46094</v>
      </c>
      <c r="C573" t="s">
        <v>43</v>
      </c>
      <c r="D573" t="s">
        <v>44</v>
      </c>
      <c r="E573" t="s">
        <v>161</v>
      </c>
      <c r="F573" t="s">
        <v>23</v>
      </c>
      <c r="G573" t="s">
        <v>32</v>
      </c>
      <c r="H573">
        <v>84</v>
      </c>
      <c r="I573">
        <v>79</v>
      </c>
      <c r="J573">
        <v>7</v>
      </c>
      <c r="K573">
        <v>7</v>
      </c>
      <c r="L573">
        <v>9141.16</v>
      </c>
      <c r="M573">
        <v>2.84</v>
      </c>
      <c r="N573">
        <v>68.16</v>
      </c>
      <c r="O573">
        <v>115</v>
      </c>
      <c r="P573" s="2">
        <v>46106</v>
      </c>
      <c r="Q573" s="2">
        <v>46106</v>
      </c>
      <c r="R573" t="s">
        <v>100</v>
      </c>
      <c r="S573" t="s">
        <v>86</v>
      </c>
    </row>
    <row r="574" spans="1:19" x14ac:dyDescent="0.25">
      <c r="A574" t="s">
        <v>664</v>
      </c>
      <c r="B574" s="2">
        <v>46075</v>
      </c>
      <c r="C574" t="s">
        <v>35</v>
      </c>
      <c r="D574" t="s">
        <v>36</v>
      </c>
      <c r="E574" t="s">
        <v>37</v>
      </c>
      <c r="F574" t="s">
        <v>110</v>
      </c>
      <c r="G574" t="s">
        <v>32</v>
      </c>
      <c r="H574">
        <v>194</v>
      </c>
      <c r="I574">
        <v>159</v>
      </c>
      <c r="J574">
        <v>11</v>
      </c>
      <c r="K574">
        <v>3.3</v>
      </c>
      <c r="L574">
        <v>14936.48</v>
      </c>
      <c r="M574">
        <v>3.55</v>
      </c>
      <c r="N574">
        <v>71</v>
      </c>
      <c r="O574">
        <v>199</v>
      </c>
      <c r="P574" s="2">
        <v>46080</v>
      </c>
      <c r="Q574" s="2">
        <v>46084</v>
      </c>
      <c r="R574" t="s">
        <v>25</v>
      </c>
      <c r="S574" t="s">
        <v>33</v>
      </c>
    </row>
    <row r="575" spans="1:19" x14ac:dyDescent="0.25">
      <c r="A575" t="s">
        <v>665</v>
      </c>
      <c r="B575" s="2">
        <v>46102</v>
      </c>
      <c r="C575" t="s">
        <v>43</v>
      </c>
      <c r="D575" t="s">
        <v>44</v>
      </c>
      <c r="E575" t="s">
        <v>93</v>
      </c>
      <c r="F575" t="s">
        <v>104</v>
      </c>
      <c r="G575" t="s">
        <v>57</v>
      </c>
      <c r="H575">
        <v>289</v>
      </c>
      <c r="I575">
        <v>257</v>
      </c>
      <c r="J575">
        <v>15</v>
      </c>
      <c r="K575">
        <v>0.6</v>
      </c>
      <c r="L575">
        <v>23797.96</v>
      </c>
      <c r="M575">
        <v>10.23</v>
      </c>
      <c r="N575">
        <v>245.52</v>
      </c>
      <c r="O575">
        <v>274</v>
      </c>
      <c r="P575" s="2">
        <v>46112</v>
      </c>
      <c r="Q575" s="2">
        <v>46112</v>
      </c>
      <c r="R575" t="s">
        <v>25</v>
      </c>
      <c r="S575" t="s">
        <v>72</v>
      </c>
    </row>
    <row r="576" spans="1:19" x14ac:dyDescent="0.25">
      <c r="A576" t="s">
        <v>666</v>
      </c>
      <c r="B576" s="2">
        <v>46121</v>
      </c>
      <c r="C576" t="s">
        <v>80</v>
      </c>
      <c r="D576" t="s">
        <v>21</v>
      </c>
      <c r="E576" t="s">
        <v>22</v>
      </c>
      <c r="F576" t="s">
        <v>112</v>
      </c>
      <c r="G576" t="s">
        <v>32</v>
      </c>
      <c r="H576">
        <v>291</v>
      </c>
      <c r="I576">
        <v>211</v>
      </c>
      <c r="J576">
        <v>16</v>
      </c>
      <c r="K576">
        <v>8.4</v>
      </c>
      <c r="L576">
        <v>52352.76</v>
      </c>
      <c r="M576">
        <v>5.15</v>
      </c>
      <c r="N576">
        <v>133.9</v>
      </c>
      <c r="O576">
        <v>254</v>
      </c>
      <c r="P576" s="2">
        <v>46123</v>
      </c>
      <c r="Q576" s="2">
        <v>46122</v>
      </c>
      <c r="R576" t="s">
        <v>39</v>
      </c>
      <c r="S576" t="s">
        <v>33</v>
      </c>
    </row>
    <row r="577" spans="1:19" x14ac:dyDescent="0.25">
      <c r="A577" t="s">
        <v>667</v>
      </c>
      <c r="B577" s="2">
        <v>46074</v>
      </c>
      <c r="C577" t="s">
        <v>43</v>
      </c>
      <c r="D577" t="s">
        <v>44</v>
      </c>
      <c r="E577" t="s">
        <v>161</v>
      </c>
      <c r="F577" t="s">
        <v>71</v>
      </c>
      <c r="G577" t="s">
        <v>24</v>
      </c>
      <c r="H577">
        <v>274</v>
      </c>
      <c r="I577">
        <v>263</v>
      </c>
      <c r="J577">
        <v>11</v>
      </c>
      <c r="K577">
        <v>1.5</v>
      </c>
      <c r="L577">
        <v>26340.07</v>
      </c>
      <c r="M577">
        <v>5.09</v>
      </c>
      <c r="N577">
        <v>111.98</v>
      </c>
      <c r="O577">
        <v>373</v>
      </c>
      <c r="P577" s="2">
        <v>46077</v>
      </c>
      <c r="Q577" s="2">
        <v>46075</v>
      </c>
      <c r="R577" t="s">
        <v>25</v>
      </c>
      <c r="S577" t="s">
        <v>86</v>
      </c>
    </row>
    <row r="578" spans="1:19" x14ac:dyDescent="0.25">
      <c r="A578" t="s">
        <v>668</v>
      </c>
      <c r="B578" s="2">
        <v>46049</v>
      </c>
      <c r="C578" t="s">
        <v>35</v>
      </c>
      <c r="D578" t="s">
        <v>36</v>
      </c>
      <c r="E578" t="s">
        <v>37</v>
      </c>
      <c r="F578" t="s">
        <v>23</v>
      </c>
      <c r="G578" t="s">
        <v>57</v>
      </c>
      <c r="H578">
        <v>80</v>
      </c>
      <c r="I578">
        <v>88</v>
      </c>
      <c r="J578">
        <v>0</v>
      </c>
      <c r="K578">
        <v>3.8</v>
      </c>
      <c r="L578">
        <v>7368.25</v>
      </c>
      <c r="M578">
        <v>2.06</v>
      </c>
      <c r="N578">
        <v>49.44</v>
      </c>
      <c r="O578">
        <v>78</v>
      </c>
      <c r="P578" s="2">
        <v>46058</v>
      </c>
      <c r="Q578" s="2">
        <v>46058</v>
      </c>
      <c r="S578" t="s">
        <v>86</v>
      </c>
    </row>
    <row r="579" spans="1:19" x14ac:dyDescent="0.25">
      <c r="A579" t="s">
        <v>669</v>
      </c>
      <c r="B579" s="2">
        <v>46114</v>
      </c>
      <c r="C579" t="s">
        <v>20</v>
      </c>
      <c r="D579" t="s">
        <v>21</v>
      </c>
      <c r="E579" t="s">
        <v>66</v>
      </c>
      <c r="F579" t="s">
        <v>170</v>
      </c>
      <c r="G579" t="s">
        <v>24</v>
      </c>
      <c r="H579">
        <v>165</v>
      </c>
      <c r="I579">
        <v>127</v>
      </c>
      <c r="J579">
        <v>11</v>
      </c>
      <c r="K579">
        <v>8.3000000000000007</v>
      </c>
      <c r="L579">
        <v>48300.75</v>
      </c>
      <c r="M579">
        <v>2.83</v>
      </c>
      <c r="N579">
        <v>73.58</v>
      </c>
      <c r="O579">
        <v>210</v>
      </c>
      <c r="P579" s="2">
        <v>46125</v>
      </c>
      <c r="Q579" s="2">
        <v>46125</v>
      </c>
      <c r="R579" t="s">
        <v>100</v>
      </c>
      <c r="S579" t="s">
        <v>86</v>
      </c>
    </row>
    <row r="580" spans="1:19" x14ac:dyDescent="0.25">
      <c r="A580" t="s">
        <v>670</v>
      </c>
      <c r="B580" s="2">
        <v>46182</v>
      </c>
      <c r="C580" t="s">
        <v>59</v>
      </c>
      <c r="D580" t="s">
        <v>49</v>
      </c>
      <c r="E580" t="s">
        <v>76</v>
      </c>
      <c r="F580" t="s">
        <v>170</v>
      </c>
      <c r="G580" t="s">
        <v>32</v>
      </c>
      <c r="H580">
        <v>304</v>
      </c>
      <c r="I580">
        <v>232</v>
      </c>
      <c r="J580">
        <v>20</v>
      </c>
      <c r="K580">
        <v>6</v>
      </c>
      <c r="L580">
        <v>50721.69</v>
      </c>
      <c r="M580">
        <v>8.14</v>
      </c>
      <c r="N580">
        <v>146.52000000000001</v>
      </c>
      <c r="O580">
        <v>264</v>
      </c>
      <c r="P580" s="2">
        <v>46186</v>
      </c>
      <c r="Q580" s="2">
        <v>46186</v>
      </c>
      <c r="R580" t="s">
        <v>25</v>
      </c>
      <c r="S580" t="s">
        <v>72</v>
      </c>
    </row>
    <row r="581" spans="1:19" x14ac:dyDescent="0.25">
      <c r="A581" t="s">
        <v>671</v>
      </c>
      <c r="B581" s="2">
        <v>46145</v>
      </c>
      <c r="C581" t="s">
        <v>20</v>
      </c>
      <c r="D581" t="s">
        <v>21</v>
      </c>
      <c r="E581" t="s">
        <v>22</v>
      </c>
      <c r="F581" t="s">
        <v>106</v>
      </c>
      <c r="G581" t="s">
        <v>32</v>
      </c>
      <c r="H581">
        <v>227</v>
      </c>
      <c r="I581">
        <v>205</v>
      </c>
      <c r="J581">
        <v>14</v>
      </c>
      <c r="K581">
        <v>1.3</v>
      </c>
      <c r="L581">
        <v>55961.91</v>
      </c>
      <c r="M581">
        <v>7.47</v>
      </c>
      <c r="N581">
        <v>164.34</v>
      </c>
      <c r="O581">
        <v>268</v>
      </c>
      <c r="P581" s="2">
        <v>46154</v>
      </c>
      <c r="Q581" s="2">
        <v>46156</v>
      </c>
      <c r="R581" t="s">
        <v>100</v>
      </c>
      <c r="S581" t="s">
        <v>26</v>
      </c>
    </row>
    <row r="582" spans="1:19" x14ac:dyDescent="0.25">
      <c r="A582" t="s">
        <v>672</v>
      </c>
      <c r="B582" s="2">
        <v>46185</v>
      </c>
      <c r="C582" t="s">
        <v>48</v>
      </c>
      <c r="D582" t="s">
        <v>49</v>
      </c>
      <c r="E582" t="s">
        <v>50</v>
      </c>
      <c r="F582" t="s">
        <v>106</v>
      </c>
      <c r="G582" t="s">
        <v>32</v>
      </c>
      <c r="H582">
        <v>285</v>
      </c>
      <c r="I582">
        <v>320</v>
      </c>
      <c r="J582">
        <v>28</v>
      </c>
      <c r="K582">
        <v>3.4</v>
      </c>
      <c r="L582">
        <v>65820.679999999993</v>
      </c>
      <c r="M582">
        <v>9.5399999999999991</v>
      </c>
      <c r="N582">
        <v>248.04</v>
      </c>
      <c r="O582">
        <v>303</v>
      </c>
      <c r="P582" s="2">
        <v>46193</v>
      </c>
      <c r="Q582" s="2">
        <v>46192</v>
      </c>
      <c r="R582" t="s">
        <v>39</v>
      </c>
      <c r="S582" t="s">
        <v>26</v>
      </c>
    </row>
    <row r="583" spans="1:19" x14ac:dyDescent="0.25">
      <c r="A583" t="s">
        <v>673</v>
      </c>
      <c r="B583" s="2">
        <v>46170</v>
      </c>
      <c r="C583" t="s">
        <v>28</v>
      </c>
      <c r="D583" t="s">
        <v>29</v>
      </c>
      <c r="E583" t="s">
        <v>30</v>
      </c>
      <c r="F583" t="s">
        <v>125</v>
      </c>
      <c r="G583" t="s">
        <v>32</v>
      </c>
      <c r="H583">
        <v>102</v>
      </c>
      <c r="I583">
        <v>83</v>
      </c>
      <c r="J583">
        <v>0</v>
      </c>
      <c r="K583">
        <v>8.9</v>
      </c>
      <c r="L583">
        <v>15920.67</v>
      </c>
      <c r="M583">
        <v>3.4</v>
      </c>
      <c r="N583">
        <v>61.2</v>
      </c>
      <c r="O583">
        <v>77</v>
      </c>
      <c r="P583" s="2">
        <v>46177</v>
      </c>
      <c r="Q583" s="2">
        <v>46178</v>
      </c>
      <c r="R583" t="s">
        <v>25</v>
      </c>
      <c r="S583" t="s">
        <v>51</v>
      </c>
    </row>
    <row r="584" spans="1:19" x14ac:dyDescent="0.25">
      <c r="A584" t="s">
        <v>674</v>
      </c>
      <c r="B584" s="2">
        <v>46164</v>
      </c>
      <c r="C584" t="s">
        <v>35</v>
      </c>
      <c r="D584" t="s">
        <v>36</v>
      </c>
      <c r="E584" t="s">
        <v>37</v>
      </c>
      <c r="F584" t="s">
        <v>41</v>
      </c>
      <c r="G584" t="s">
        <v>24</v>
      </c>
      <c r="H584">
        <v>133</v>
      </c>
      <c r="J584">
        <v>1</v>
      </c>
      <c r="K584">
        <v>1.2</v>
      </c>
      <c r="L584">
        <v>16195.41</v>
      </c>
      <c r="M584">
        <v>3.87</v>
      </c>
      <c r="N584">
        <v>69.66</v>
      </c>
      <c r="O584">
        <v>201</v>
      </c>
      <c r="P584" s="2">
        <v>46171</v>
      </c>
      <c r="Q584" s="2">
        <v>46169</v>
      </c>
      <c r="R584" t="s">
        <v>25</v>
      </c>
      <c r="S584" t="s">
        <v>33</v>
      </c>
    </row>
    <row r="585" spans="1:19" x14ac:dyDescent="0.25">
      <c r="A585" t="s">
        <v>675</v>
      </c>
      <c r="B585" s="2">
        <v>46145</v>
      </c>
      <c r="C585" t="s">
        <v>43</v>
      </c>
      <c r="D585" t="s">
        <v>44</v>
      </c>
      <c r="E585" t="s">
        <v>93</v>
      </c>
      <c r="F585" t="s">
        <v>77</v>
      </c>
      <c r="G585" t="s">
        <v>24</v>
      </c>
      <c r="H585">
        <v>117</v>
      </c>
      <c r="I585">
        <v>102</v>
      </c>
      <c r="J585">
        <v>1</v>
      </c>
      <c r="K585">
        <v>0.7</v>
      </c>
      <c r="L585">
        <v>13312.3</v>
      </c>
      <c r="M585">
        <v>2.2000000000000002</v>
      </c>
      <c r="N585">
        <v>44</v>
      </c>
      <c r="O585">
        <v>197</v>
      </c>
      <c r="P585" s="2">
        <v>46149</v>
      </c>
      <c r="Q585" s="2">
        <v>46149</v>
      </c>
      <c r="R585" t="s">
        <v>100</v>
      </c>
      <c r="S585" t="s">
        <v>86</v>
      </c>
    </row>
    <row r="586" spans="1:19" x14ac:dyDescent="0.25">
      <c r="A586" t="s">
        <v>676</v>
      </c>
      <c r="B586" s="2">
        <v>46136</v>
      </c>
      <c r="C586" t="s">
        <v>80</v>
      </c>
      <c r="D586" t="s">
        <v>21</v>
      </c>
      <c r="E586" t="s">
        <v>90</v>
      </c>
      <c r="F586" t="s">
        <v>85</v>
      </c>
      <c r="G586" t="s">
        <v>32</v>
      </c>
      <c r="H586">
        <v>108</v>
      </c>
      <c r="I586">
        <v>84</v>
      </c>
      <c r="J586">
        <v>7</v>
      </c>
      <c r="K586">
        <v>0.3</v>
      </c>
      <c r="L586">
        <v>24449.74</v>
      </c>
      <c r="M586">
        <v>1.53</v>
      </c>
      <c r="N586">
        <v>36.72</v>
      </c>
      <c r="O586">
        <v>184</v>
      </c>
      <c r="P586" s="2">
        <v>46146</v>
      </c>
      <c r="Q586" s="2">
        <v>46146</v>
      </c>
      <c r="R586" t="s">
        <v>39</v>
      </c>
      <c r="S586" t="s">
        <v>51</v>
      </c>
    </row>
    <row r="587" spans="1:19" x14ac:dyDescent="0.25">
      <c r="A587" t="s">
        <v>677</v>
      </c>
      <c r="B587" s="2">
        <v>46131</v>
      </c>
      <c r="C587" t="s">
        <v>43</v>
      </c>
      <c r="D587" t="s">
        <v>44</v>
      </c>
      <c r="E587" t="s">
        <v>161</v>
      </c>
      <c r="F587" t="s">
        <v>110</v>
      </c>
      <c r="G587" t="s">
        <v>24</v>
      </c>
      <c r="H587">
        <v>103</v>
      </c>
      <c r="I587">
        <v>97</v>
      </c>
      <c r="J587">
        <v>9</v>
      </c>
      <c r="K587">
        <v>1.1000000000000001</v>
      </c>
      <c r="L587">
        <v>10538.57</v>
      </c>
      <c r="M587">
        <v>2.2599999999999998</v>
      </c>
      <c r="N587">
        <v>45.2</v>
      </c>
      <c r="O587">
        <v>82</v>
      </c>
      <c r="P587" s="2">
        <v>46140</v>
      </c>
      <c r="Q587" s="2">
        <v>46144</v>
      </c>
      <c r="R587" t="s">
        <v>25</v>
      </c>
      <c r="S587" t="s">
        <v>72</v>
      </c>
    </row>
    <row r="588" spans="1:19" x14ac:dyDescent="0.25">
      <c r="A588" t="s">
        <v>678</v>
      </c>
      <c r="B588" s="2">
        <v>46120</v>
      </c>
      <c r="C588" t="s">
        <v>43</v>
      </c>
      <c r="D588" t="s">
        <v>44</v>
      </c>
      <c r="E588" t="s">
        <v>93</v>
      </c>
      <c r="F588" t="s">
        <v>137</v>
      </c>
      <c r="G588" t="s">
        <v>57</v>
      </c>
      <c r="H588">
        <v>285</v>
      </c>
      <c r="I588">
        <v>250</v>
      </c>
      <c r="J588">
        <v>10</v>
      </c>
      <c r="K588">
        <v>2.4</v>
      </c>
      <c r="L588">
        <v>24260.400000000001</v>
      </c>
      <c r="M588">
        <v>9.17</v>
      </c>
      <c r="N588">
        <v>201.74</v>
      </c>
      <c r="O588">
        <v>252</v>
      </c>
      <c r="P588" s="2">
        <v>46125</v>
      </c>
      <c r="Q588" s="2">
        <v>46125</v>
      </c>
      <c r="R588" t="s">
        <v>25</v>
      </c>
      <c r="S588" t="s">
        <v>33</v>
      </c>
    </row>
    <row r="589" spans="1:19" x14ac:dyDescent="0.25">
      <c r="A589" t="s">
        <v>679</v>
      </c>
      <c r="B589" s="2">
        <v>46077</v>
      </c>
      <c r="C589" t="s">
        <v>80</v>
      </c>
      <c r="D589" t="s">
        <v>21</v>
      </c>
      <c r="E589" t="s">
        <v>90</v>
      </c>
      <c r="F589" t="s">
        <v>88</v>
      </c>
      <c r="G589" t="s">
        <v>32</v>
      </c>
      <c r="H589">
        <v>128</v>
      </c>
      <c r="I589">
        <v>122</v>
      </c>
      <c r="J589">
        <v>7</v>
      </c>
      <c r="K589">
        <v>0.3</v>
      </c>
      <c r="L589">
        <v>33640.639999999999</v>
      </c>
      <c r="M589">
        <v>3.85</v>
      </c>
      <c r="N589">
        <v>100.1</v>
      </c>
      <c r="O589">
        <v>211</v>
      </c>
      <c r="P589" s="2">
        <v>46079</v>
      </c>
      <c r="Q589" s="2">
        <v>46077</v>
      </c>
      <c r="R589" t="s">
        <v>25</v>
      </c>
      <c r="S589" t="s">
        <v>33</v>
      </c>
    </row>
    <row r="590" spans="1:19" x14ac:dyDescent="0.25">
      <c r="A590" t="s">
        <v>680</v>
      </c>
      <c r="B590" s="2">
        <v>46114</v>
      </c>
      <c r="C590" t="s">
        <v>59</v>
      </c>
      <c r="D590" t="s">
        <v>49</v>
      </c>
      <c r="E590" t="s">
        <v>76</v>
      </c>
      <c r="F590" t="s">
        <v>114</v>
      </c>
      <c r="G590" t="s">
        <v>32</v>
      </c>
      <c r="H590">
        <v>208</v>
      </c>
      <c r="I590">
        <v>167</v>
      </c>
      <c r="J590">
        <v>12</v>
      </c>
      <c r="K590">
        <v>6.5</v>
      </c>
      <c r="L590">
        <v>35989.17</v>
      </c>
      <c r="M590">
        <v>3.4</v>
      </c>
      <c r="N590">
        <v>81.599999999999994</v>
      </c>
      <c r="O590">
        <v>296</v>
      </c>
      <c r="P590" s="2">
        <v>46117</v>
      </c>
      <c r="Q590" s="2">
        <v>46117</v>
      </c>
      <c r="R590" t="s">
        <v>25</v>
      </c>
      <c r="S590" t="s">
        <v>72</v>
      </c>
    </row>
    <row r="591" spans="1:19" x14ac:dyDescent="0.25">
      <c r="A591" t="s">
        <v>681</v>
      </c>
      <c r="B591" s="2">
        <v>46173</v>
      </c>
      <c r="C591" t="s">
        <v>80</v>
      </c>
      <c r="D591" t="s">
        <v>21</v>
      </c>
      <c r="E591" t="s">
        <v>90</v>
      </c>
      <c r="F591" t="s">
        <v>83</v>
      </c>
      <c r="G591" t="s">
        <v>57</v>
      </c>
      <c r="H591">
        <v>121</v>
      </c>
      <c r="I591">
        <v>95</v>
      </c>
      <c r="J591">
        <v>4</v>
      </c>
      <c r="K591">
        <v>8</v>
      </c>
      <c r="L591">
        <v>22891.72</v>
      </c>
      <c r="M591">
        <v>3.73</v>
      </c>
      <c r="N591">
        <v>74.599999999999994</v>
      </c>
      <c r="O591">
        <v>122</v>
      </c>
      <c r="P591" s="2">
        <v>46183</v>
      </c>
      <c r="Q591" s="2">
        <v>46184</v>
      </c>
      <c r="R591" t="s">
        <v>100</v>
      </c>
      <c r="S591" t="s">
        <v>86</v>
      </c>
    </row>
    <row r="592" spans="1:19" x14ac:dyDescent="0.25">
      <c r="A592" t="s">
        <v>682</v>
      </c>
      <c r="B592" s="2">
        <v>46097</v>
      </c>
      <c r="C592" t="s">
        <v>48</v>
      </c>
      <c r="D592" t="s">
        <v>49</v>
      </c>
      <c r="E592" t="s">
        <v>60</v>
      </c>
      <c r="F592" t="s">
        <v>83</v>
      </c>
      <c r="G592" t="s">
        <v>57</v>
      </c>
      <c r="H592">
        <v>299</v>
      </c>
      <c r="I592">
        <v>336</v>
      </c>
      <c r="J592">
        <v>2</v>
      </c>
      <c r="K592">
        <v>6.4</v>
      </c>
      <c r="L592">
        <v>66629.86</v>
      </c>
      <c r="M592">
        <v>14.09</v>
      </c>
      <c r="N592">
        <v>366.34</v>
      </c>
      <c r="O592">
        <v>278</v>
      </c>
      <c r="P592" s="2">
        <v>46101</v>
      </c>
      <c r="Q592" s="2">
        <v>46105</v>
      </c>
      <c r="R592" t="s">
        <v>25</v>
      </c>
      <c r="S592" t="s">
        <v>51</v>
      </c>
    </row>
    <row r="593" spans="1:19" x14ac:dyDescent="0.25">
      <c r="A593" t="s">
        <v>683</v>
      </c>
      <c r="B593" s="2">
        <v>46102</v>
      </c>
      <c r="C593" t="s">
        <v>20</v>
      </c>
      <c r="D593" t="s">
        <v>21</v>
      </c>
      <c r="E593" t="s">
        <v>90</v>
      </c>
      <c r="F593" t="s">
        <v>122</v>
      </c>
      <c r="G593" t="s">
        <v>32</v>
      </c>
      <c r="H593">
        <v>104</v>
      </c>
      <c r="I593">
        <v>95</v>
      </c>
      <c r="J593">
        <v>1</v>
      </c>
      <c r="K593">
        <v>2.7</v>
      </c>
      <c r="L593">
        <v>26515.07</v>
      </c>
      <c r="M593">
        <v>2.52</v>
      </c>
      <c r="N593">
        <v>45.36</v>
      </c>
      <c r="O593">
        <v>109</v>
      </c>
      <c r="P593" s="2">
        <v>46111</v>
      </c>
      <c r="Q593" s="2">
        <v>46111</v>
      </c>
      <c r="R593" t="s">
        <v>100</v>
      </c>
      <c r="S593" t="s">
        <v>51</v>
      </c>
    </row>
    <row r="594" spans="1:19" x14ac:dyDescent="0.25">
      <c r="A594" t="s">
        <v>684</v>
      </c>
      <c r="B594" s="2">
        <v>46054</v>
      </c>
      <c r="C594" t="s">
        <v>53</v>
      </c>
      <c r="D594" t="s">
        <v>54</v>
      </c>
      <c r="E594" t="s">
        <v>55</v>
      </c>
      <c r="F594" t="s">
        <v>85</v>
      </c>
      <c r="G594" t="s">
        <v>32</v>
      </c>
      <c r="H594">
        <v>173</v>
      </c>
      <c r="I594">
        <v>188</v>
      </c>
      <c r="J594">
        <v>7</v>
      </c>
      <c r="K594">
        <v>7.7</v>
      </c>
      <c r="L594">
        <v>27825.53</v>
      </c>
      <c r="M594">
        <v>5.04</v>
      </c>
      <c r="N594">
        <v>131.04</v>
      </c>
      <c r="O594">
        <v>213</v>
      </c>
      <c r="P594" s="2">
        <v>46061</v>
      </c>
      <c r="Q594" s="2">
        <v>46060</v>
      </c>
      <c r="R594" t="s">
        <v>100</v>
      </c>
      <c r="S594" t="s">
        <v>86</v>
      </c>
    </row>
    <row r="595" spans="1:19" x14ac:dyDescent="0.25">
      <c r="A595" t="s">
        <v>685</v>
      </c>
      <c r="B595" s="2">
        <v>46197</v>
      </c>
      <c r="C595" t="s">
        <v>80</v>
      </c>
      <c r="D595" t="s">
        <v>21</v>
      </c>
      <c r="E595" t="s">
        <v>66</v>
      </c>
      <c r="F595" t="s">
        <v>23</v>
      </c>
      <c r="G595" t="s">
        <v>32</v>
      </c>
      <c r="H595">
        <v>244</v>
      </c>
      <c r="I595">
        <v>181</v>
      </c>
      <c r="J595">
        <v>13</v>
      </c>
      <c r="K595">
        <v>6.3</v>
      </c>
      <c r="L595">
        <v>44767.360000000001</v>
      </c>
      <c r="M595">
        <v>3.72</v>
      </c>
      <c r="N595">
        <v>89.28</v>
      </c>
      <c r="O595">
        <v>244</v>
      </c>
      <c r="P595" s="2">
        <v>46208</v>
      </c>
      <c r="Q595" s="2">
        <v>46210</v>
      </c>
      <c r="R595" t="s">
        <v>25</v>
      </c>
      <c r="S595" t="s">
        <v>72</v>
      </c>
    </row>
    <row r="596" spans="1:19" x14ac:dyDescent="0.25">
      <c r="A596" t="s">
        <v>686</v>
      </c>
      <c r="B596" s="2">
        <v>46194</v>
      </c>
      <c r="C596" t="s">
        <v>20</v>
      </c>
      <c r="D596" t="s">
        <v>21</v>
      </c>
      <c r="E596" t="s">
        <v>90</v>
      </c>
      <c r="F596" t="s">
        <v>88</v>
      </c>
      <c r="G596" t="s">
        <v>32</v>
      </c>
      <c r="H596">
        <v>199</v>
      </c>
      <c r="I596">
        <v>183</v>
      </c>
      <c r="J596">
        <v>9</v>
      </c>
      <c r="K596">
        <v>7.4</v>
      </c>
      <c r="L596">
        <v>46566.03</v>
      </c>
      <c r="M596">
        <v>3.77</v>
      </c>
      <c r="N596">
        <v>90.48</v>
      </c>
      <c r="O596">
        <v>269</v>
      </c>
      <c r="P596" s="2">
        <v>46199</v>
      </c>
      <c r="Q596" s="2">
        <v>46201</v>
      </c>
      <c r="R596" t="s">
        <v>25</v>
      </c>
      <c r="S596" t="s">
        <v>86</v>
      </c>
    </row>
    <row r="597" spans="1:19" x14ac:dyDescent="0.25">
      <c r="A597" t="s">
        <v>687</v>
      </c>
      <c r="B597" s="2">
        <v>46177</v>
      </c>
      <c r="C597" t="s">
        <v>53</v>
      </c>
      <c r="D597" t="s">
        <v>54</v>
      </c>
      <c r="E597" t="s">
        <v>55</v>
      </c>
      <c r="F597" t="s">
        <v>197</v>
      </c>
      <c r="G597" t="s">
        <v>32</v>
      </c>
      <c r="H597">
        <v>259</v>
      </c>
      <c r="I597">
        <v>269</v>
      </c>
      <c r="J597">
        <v>4</v>
      </c>
      <c r="K597">
        <v>4.0999999999999996</v>
      </c>
      <c r="L597">
        <v>43747.09</v>
      </c>
      <c r="M597">
        <v>5.78</v>
      </c>
      <c r="N597">
        <v>115.6</v>
      </c>
      <c r="O597">
        <v>300</v>
      </c>
      <c r="P597" s="2">
        <v>46188</v>
      </c>
      <c r="Q597" s="2">
        <v>46186</v>
      </c>
      <c r="R597" t="s">
        <v>39</v>
      </c>
      <c r="S597" t="s">
        <v>33</v>
      </c>
    </row>
    <row r="598" spans="1:19" x14ac:dyDescent="0.25">
      <c r="A598" t="s">
        <v>688</v>
      </c>
      <c r="B598" s="2">
        <v>46115</v>
      </c>
      <c r="C598" t="s">
        <v>35</v>
      </c>
      <c r="D598" t="s">
        <v>36</v>
      </c>
      <c r="E598" t="s">
        <v>69</v>
      </c>
      <c r="F598" t="s">
        <v>88</v>
      </c>
      <c r="G598" t="s">
        <v>32</v>
      </c>
      <c r="H598">
        <v>134</v>
      </c>
      <c r="I598">
        <v>99</v>
      </c>
      <c r="J598">
        <v>8</v>
      </c>
      <c r="K598">
        <v>8.6</v>
      </c>
      <c r="L598">
        <v>9119.36</v>
      </c>
      <c r="M598">
        <v>3.29</v>
      </c>
      <c r="N598">
        <v>59.22</v>
      </c>
      <c r="O598">
        <v>130</v>
      </c>
      <c r="P598" s="2">
        <v>46118</v>
      </c>
      <c r="Q598" s="2">
        <v>46118</v>
      </c>
      <c r="R598" t="s">
        <v>100</v>
      </c>
      <c r="S598" t="s">
        <v>72</v>
      </c>
    </row>
    <row r="599" spans="1:19" x14ac:dyDescent="0.25">
      <c r="A599" t="s">
        <v>689</v>
      </c>
      <c r="B599" s="2">
        <v>46130</v>
      </c>
      <c r="C599" t="s">
        <v>28</v>
      </c>
      <c r="D599" t="s">
        <v>29</v>
      </c>
      <c r="E599" t="s">
        <v>30</v>
      </c>
      <c r="F599" t="s">
        <v>119</v>
      </c>
      <c r="G599" t="s">
        <v>24</v>
      </c>
      <c r="H599">
        <v>308</v>
      </c>
      <c r="I599">
        <v>256</v>
      </c>
      <c r="J599">
        <v>20</v>
      </c>
      <c r="K599">
        <v>0.8</v>
      </c>
      <c r="L599">
        <v>64150.3</v>
      </c>
      <c r="M599">
        <v>9.24</v>
      </c>
      <c r="N599">
        <v>184.8</v>
      </c>
      <c r="O599">
        <v>318</v>
      </c>
      <c r="P599" s="2">
        <v>46137</v>
      </c>
      <c r="Q599" s="2">
        <v>46139</v>
      </c>
      <c r="R599" t="s">
        <v>100</v>
      </c>
      <c r="S599" t="s">
        <v>51</v>
      </c>
    </row>
    <row r="600" spans="1:19" x14ac:dyDescent="0.25">
      <c r="A600" t="s">
        <v>690</v>
      </c>
      <c r="B600" s="2">
        <v>46201</v>
      </c>
      <c r="C600" t="s">
        <v>35</v>
      </c>
      <c r="D600" t="s">
        <v>36</v>
      </c>
      <c r="E600" t="s">
        <v>69</v>
      </c>
      <c r="F600" t="s">
        <v>170</v>
      </c>
      <c r="G600" t="s">
        <v>32</v>
      </c>
      <c r="H600">
        <v>313</v>
      </c>
      <c r="I600">
        <v>318</v>
      </c>
      <c r="J600">
        <v>12</v>
      </c>
      <c r="K600">
        <v>0.1</v>
      </c>
      <c r="L600">
        <v>33102.589999999997</v>
      </c>
      <c r="M600">
        <v>6.32</v>
      </c>
      <c r="N600">
        <v>164.32</v>
      </c>
      <c r="O600">
        <v>310</v>
      </c>
      <c r="P600" s="2">
        <v>46208</v>
      </c>
      <c r="Q600" s="2">
        <v>46209</v>
      </c>
      <c r="R600" t="s">
        <v>25</v>
      </c>
      <c r="S600" t="s">
        <v>51</v>
      </c>
    </row>
    <row r="601" spans="1:19" x14ac:dyDescent="0.25">
      <c r="A601" t="s">
        <v>691</v>
      </c>
      <c r="B601" s="2">
        <v>46150</v>
      </c>
      <c r="C601" t="s">
        <v>48</v>
      </c>
      <c r="D601" t="s">
        <v>49</v>
      </c>
      <c r="E601" t="s">
        <v>50</v>
      </c>
      <c r="F601" t="s">
        <v>31</v>
      </c>
      <c r="G601" t="s">
        <v>24</v>
      </c>
      <c r="H601">
        <v>282</v>
      </c>
      <c r="I601">
        <v>320</v>
      </c>
      <c r="J601">
        <v>13</v>
      </c>
      <c r="K601">
        <v>4.7</v>
      </c>
      <c r="L601">
        <v>51875.44</v>
      </c>
      <c r="M601">
        <v>12.15</v>
      </c>
      <c r="N601">
        <v>243</v>
      </c>
      <c r="O601">
        <v>357</v>
      </c>
      <c r="P601" s="2">
        <v>46162</v>
      </c>
      <c r="Q601" s="2">
        <v>46161</v>
      </c>
      <c r="R601" t="s">
        <v>25</v>
      </c>
      <c r="S601" t="s">
        <v>51</v>
      </c>
    </row>
    <row r="602" spans="1:19" x14ac:dyDescent="0.25">
      <c r="A602" t="s">
        <v>692</v>
      </c>
      <c r="B602" s="2">
        <v>46130</v>
      </c>
      <c r="C602" t="s">
        <v>43</v>
      </c>
      <c r="D602" t="s">
        <v>44</v>
      </c>
      <c r="E602" t="s">
        <v>45</v>
      </c>
      <c r="F602" t="s">
        <v>61</v>
      </c>
      <c r="G602" t="s">
        <v>57</v>
      </c>
      <c r="H602">
        <v>176</v>
      </c>
      <c r="I602">
        <v>143</v>
      </c>
      <c r="J602">
        <v>3</v>
      </c>
      <c r="K602">
        <v>1.7</v>
      </c>
      <c r="L602">
        <v>20064.37</v>
      </c>
      <c r="M602">
        <v>3.84</v>
      </c>
      <c r="N602">
        <v>84.48</v>
      </c>
      <c r="O602">
        <v>140</v>
      </c>
      <c r="P602" s="2">
        <v>46136</v>
      </c>
      <c r="Q602" s="2">
        <v>46136</v>
      </c>
      <c r="R602" t="s">
        <v>39</v>
      </c>
      <c r="S602" t="s">
        <v>72</v>
      </c>
    </row>
    <row r="603" spans="1:19" x14ac:dyDescent="0.25">
      <c r="A603" t="s">
        <v>693</v>
      </c>
      <c r="B603" s="2">
        <v>46189</v>
      </c>
      <c r="C603" t="s">
        <v>53</v>
      </c>
      <c r="D603" t="s">
        <v>54</v>
      </c>
      <c r="E603" t="s">
        <v>131</v>
      </c>
      <c r="F603" t="s">
        <v>104</v>
      </c>
      <c r="G603" t="s">
        <v>57</v>
      </c>
      <c r="H603">
        <v>185</v>
      </c>
      <c r="I603">
        <v>161</v>
      </c>
      <c r="J603">
        <v>12</v>
      </c>
      <c r="K603">
        <v>3.8</v>
      </c>
      <c r="L603">
        <v>25745.1</v>
      </c>
      <c r="M603">
        <v>6.48</v>
      </c>
      <c r="N603">
        <v>155.52000000000001</v>
      </c>
      <c r="O603">
        <v>254</v>
      </c>
      <c r="P603" s="2">
        <v>46196</v>
      </c>
      <c r="Q603" s="2">
        <v>46196</v>
      </c>
      <c r="R603" t="s">
        <v>39</v>
      </c>
      <c r="S603" t="s">
        <v>26</v>
      </c>
    </row>
    <row r="604" spans="1:19" x14ac:dyDescent="0.25">
      <c r="A604" t="s">
        <v>694</v>
      </c>
      <c r="B604" s="2">
        <v>46134</v>
      </c>
      <c r="C604" t="s">
        <v>35</v>
      </c>
      <c r="D604" t="s">
        <v>36</v>
      </c>
      <c r="E604" t="s">
        <v>69</v>
      </c>
      <c r="F604" t="s">
        <v>104</v>
      </c>
      <c r="G604" t="s">
        <v>32</v>
      </c>
      <c r="H604">
        <v>296</v>
      </c>
      <c r="I604">
        <v>297</v>
      </c>
      <c r="J604">
        <v>19</v>
      </c>
      <c r="K604">
        <v>5.7</v>
      </c>
      <c r="L604">
        <v>32774.949999999997</v>
      </c>
      <c r="M604">
        <v>11.8</v>
      </c>
      <c r="N604">
        <v>212.4</v>
      </c>
      <c r="O604">
        <v>278</v>
      </c>
      <c r="P604" s="2">
        <v>46137</v>
      </c>
      <c r="Q604" s="2">
        <v>46136</v>
      </c>
      <c r="R604" t="s">
        <v>25</v>
      </c>
      <c r="S604" t="s">
        <v>33</v>
      </c>
    </row>
    <row r="605" spans="1:19" x14ac:dyDescent="0.25">
      <c r="A605" t="s">
        <v>695</v>
      </c>
      <c r="B605" s="2">
        <v>46150</v>
      </c>
      <c r="C605" t="s">
        <v>20</v>
      </c>
      <c r="D605" t="s">
        <v>21</v>
      </c>
      <c r="E605" t="s">
        <v>66</v>
      </c>
      <c r="F605" t="s">
        <v>71</v>
      </c>
      <c r="G605" t="s">
        <v>32</v>
      </c>
      <c r="H605">
        <v>193</v>
      </c>
      <c r="I605">
        <v>180</v>
      </c>
      <c r="J605">
        <v>13</v>
      </c>
      <c r="K605">
        <v>6</v>
      </c>
      <c r="L605">
        <v>60607.839999999997</v>
      </c>
      <c r="M605">
        <v>6.6</v>
      </c>
      <c r="N605">
        <v>171.6</v>
      </c>
      <c r="O605">
        <v>250</v>
      </c>
      <c r="P605" s="2">
        <v>46153</v>
      </c>
      <c r="Q605" s="2">
        <v>46153</v>
      </c>
      <c r="R605" t="s">
        <v>100</v>
      </c>
      <c r="S605" t="s">
        <v>72</v>
      </c>
    </row>
    <row r="606" spans="1:19" x14ac:dyDescent="0.25">
      <c r="A606" t="s">
        <v>696</v>
      </c>
      <c r="B606" s="2">
        <v>46128</v>
      </c>
      <c r="C606" t="s">
        <v>35</v>
      </c>
      <c r="D606" t="s">
        <v>36</v>
      </c>
      <c r="E606" t="s">
        <v>37</v>
      </c>
      <c r="F606" t="s">
        <v>135</v>
      </c>
      <c r="G606" t="s">
        <v>57</v>
      </c>
      <c r="H606">
        <v>320</v>
      </c>
      <c r="I606">
        <v>281</v>
      </c>
      <c r="J606">
        <v>7</v>
      </c>
      <c r="K606">
        <v>2.6</v>
      </c>
      <c r="L606">
        <v>27554.7</v>
      </c>
      <c r="M606">
        <v>10.71</v>
      </c>
      <c r="N606">
        <v>257.04000000000002</v>
      </c>
      <c r="O606">
        <v>341</v>
      </c>
      <c r="P606" s="2">
        <v>46130</v>
      </c>
      <c r="Q606" s="2">
        <v>46132</v>
      </c>
      <c r="R606" t="s">
        <v>25</v>
      </c>
      <c r="S606" t="s">
        <v>51</v>
      </c>
    </row>
    <row r="607" spans="1:19" x14ac:dyDescent="0.25">
      <c r="A607" t="s">
        <v>697</v>
      </c>
      <c r="B607" s="2">
        <v>46118</v>
      </c>
      <c r="C607" t="s">
        <v>48</v>
      </c>
      <c r="D607" t="s">
        <v>49</v>
      </c>
      <c r="E607" t="s">
        <v>76</v>
      </c>
      <c r="F607" t="s">
        <v>46</v>
      </c>
      <c r="G607" t="s">
        <v>32</v>
      </c>
      <c r="H607">
        <v>123</v>
      </c>
      <c r="I607">
        <v>139</v>
      </c>
      <c r="J607">
        <v>13</v>
      </c>
      <c r="K607">
        <v>2.2000000000000002</v>
      </c>
      <c r="L607">
        <v>29865.14</v>
      </c>
      <c r="M607">
        <v>4.6500000000000004</v>
      </c>
      <c r="N607">
        <v>83.7</v>
      </c>
      <c r="O607">
        <v>192</v>
      </c>
      <c r="P607" s="2">
        <v>46122</v>
      </c>
      <c r="Q607" s="2">
        <v>46124</v>
      </c>
      <c r="R607" t="s">
        <v>25</v>
      </c>
      <c r="S607" t="s">
        <v>26</v>
      </c>
    </row>
    <row r="608" spans="1:19" x14ac:dyDescent="0.25">
      <c r="A608" t="s">
        <v>698</v>
      </c>
      <c r="B608" s="2">
        <v>46063</v>
      </c>
      <c r="C608" t="s">
        <v>35</v>
      </c>
      <c r="D608" t="s">
        <v>36</v>
      </c>
      <c r="E608" t="s">
        <v>37</v>
      </c>
      <c r="G608" t="s">
        <v>57</v>
      </c>
      <c r="H608">
        <v>105</v>
      </c>
      <c r="I608">
        <v>107</v>
      </c>
      <c r="J608">
        <v>1</v>
      </c>
      <c r="K608">
        <v>1.1000000000000001</v>
      </c>
      <c r="L608">
        <v>9832.18</v>
      </c>
      <c r="M608">
        <v>3.88</v>
      </c>
      <c r="N608">
        <v>85.36</v>
      </c>
      <c r="O608">
        <v>105</v>
      </c>
      <c r="P608" s="2">
        <v>46070</v>
      </c>
      <c r="Q608" s="2">
        <v>46070</v>
      </c>
      <c r="R608" t="s">
        <v>25</v>
      </c>
      <c r="S608" t="s">
        <v>72</v>
      </c>
    </row>
    <row r="609" spans="1:19" x14ac:dyDescent="0.25">
      <c r="A609" t="s">
        <v>699</v>
      </c>
      <c r="B609" s="2">
        <v>46025</v>
      </c>
      <c r="C609" t="s">
        <v>43</v>
      </c>
      <c r="D609" t="s">
        <v>44</v>
      </c>
      <c r="E609" t="s">
        <v>93</v>
      </c>
      <c r="F609" t="s">
        <v>125</v>
      </c>
      <c r="G609" t="s">
        <v>57</v>
      </c>
      <c r="H609">
        <v>238</v>
      </c>
      <c r="I609">
        <v>243</v>
      </c>
      <c r="J609">
        <v>21</v>
      </c>
      <c r="K609">
        <v>0.7</v>
      </c>
      <c r="L609">
        <v>29111.57</v>
      </c>
      <c r="M609">
        <v>5.14</v>
      </c>
      <c r="N609">
        <v>123.36</v>
      </c>
      <c r="O609">
        <v>289</v>
      </c>
      <c r="P609" s="2">
        <v>46029</v>
      </c>
      <c r="Q609" s="2">
        <v>46029</v>
      </c>
      <c r="R609" t="s">
        <v>25</v>
      </c>
      <c r="S609" t="s">
        <v>26</v>
      </c>
    </row>
    <row r="610" spans="1:19" x14ac:dyDescent="0.25">
      <c r="A610" t="s">
        <v>700</v>
      </c>
      <c r="B610" s="2">
        <v>46085</v>
      </c>
      <c r="C610" t="s">
        <v>35</v>
      </c>
      <c r="D610" t="s">
        <v>36</v>
      </c>
      <c r="E610" t="s">
        <v>69</v>
      </c>
      <c r="F610" t="s">
        <v>170</v>
      </c>
      <c r="G610" t="s">
        <v>32</v>
      </c>
      <c r="H610">
        <v>248</v>
      </c>
      <c r="I610">
        <v>184</v>
      </c>
      <c r="J610">
        <v>2</v>
      </c>
      <c r="K610">
        <v>1.3</v>
      </c>
      <c r="L610">
        <v>15854.79</v>
      </c>
      <c r="M610">
        <v>7.14</v>
      </c>
      <c r="N610">
        <v>128.52000000000001</v>
      </c>
      <c r="O610">
        <v>325</v>
      </c>
      <c r="P610" s="2">
        <v>46096</v>
      </c>
      <c r="Q610" s="2">
        <v>46095</v>
      </c>
      <c r="R610" t="s">
        <v>25</v>
      </c>
      <c r="S610" t="s">
        <v>86</v>
      </c>
    </row>
    <row r="611" spans="1:19" x14ac:dyDescent="0.25">
      <c r="A611" t="s">
        <v>701</v>
      </c>
      <c r="B611" s="2">
        <v>46069</v>
      </c>
      <c r="C611" t="s">
        <v>20</v>
      </c>
      <c r="D611" t="s">
        <v>21</v>
      </c>
      <c r="E611" t="s">
        <v>22</v>
      </c>
      <c r="F611" t="s">
        <v>38</v>
      </c>
      <c r="G611" t="s">
        <v>32</v>
      </c>
      <c r="H611">
        <v>206</v>
      </c>
      <c r="I611">
        <v>223</v>
      </c>
      <c r="J611">
        <v>19</v>
      </c>
      <c r="K611">
        <v>1.9</v>
      </c>
      <c r="L611">
        <v>66727.48</v>
      </c>
      <c r="M611">
        <v>6.23</v>
      </c>
      <c r="N611">
        <v>149.52000000000001</v>
      </c>
      <c r="O611">
        <v>185</v>
      </c>
      <c r="P611" s="2">
        <v>46074</v>
      </c>
      <c r="Q611" s="2">
        <v>46076</v>
      </c>
      <c r="R611" t="s">
        <v>100</v>
      </c>
      <c r="S611" t="s">
        <v>72</v>
      </c>
    </row>
    <row r="612" spans="1:19" x14ac:dyDescent="0.25">
      <c r="A612" t="s">
        <v>702</v>
      </c>
      <c r="B612" s="2">
        <v>46064</v>
      </c>
      <c r="C612" t="s">
        <v>43</v>
      </c>
      <c r="D612" t="s">
        <v>44</v>
      </c>
      <c r="E612" t="s">
        <v>161</v>
      </c>
      <c r="F612" t="s">
        <v>85</v>
      </c>
      <c r="G612" t="s">
        <v>24</v>
      </c>
      <c r="H612">
        <v>82</v>
      </c>
      <c r="I612">
        <v>90</v>
      </c>
      <c r="J612">
        <v>5</v>
      </c>
      <c r="K612">
        <v>5.7</v>
      </c>
      <c r="L612">
        <v>10701.33</v>
      </c>
      <c r="M612">
        <v>2.36</v>
      </c>
      <c r="N612">
        <v>51.92</v>
      </c>
      <c r="O612">
        <v>173</v>
      </c>
      <c r="P612" s="2">
        <v>46075</v>
      </c>
      <c r="Q612" s="2">
        <v>46073</v>
      </c>
      <c r="R612" t="s">
        <v>25</v>
      </c>
      <c r="S612" t="s">
        <v>86</v>
      </c>
    </row>
    <row r="613" spans="1:19" x14ac:dyDescent="0.25">
      <c r="A613" t="s">
        <v>703</v>
      </c>
      <c r="B613" s="2">
        <v>46054</v>
      </c>
      <c r="C613" t="s">
        <v>28</v>
      </c>
      <c r="D613" t="s">
        <v>29</v>
      </c>
      <c r="E613" t="s">
        <v>30</v>
      </c>
      <c r="F613" t="s">
        <v>112</v>
      </c>
      <c r="G613" t="s">
        <v>24</v>
      </c>
      <c r="H613">
        <v>87</v>
      </c>
      <c r="I613">
        <v>82</v>
      </c>
      <c r="J613">
        <v>4</v>
      </c>
      <c r="K613">
        <v>6.8</v>
      </c>
      <c r="L613">
        <v>16221.97</v>
      </c>
      <c r="M613">
        <v>3.24</v>
      </c>
      <c r="N613">
        <v>58.32</v>
      </c>
      <c r="O613">
        <v>133</v>
      </c>
      <c r="P613" s="2">
        <v>46058</v>
      </c>
      <c r="Q613" s="2">
        <v>46058</v>
      </c>
      <c r="R613" t="s">
        <v>25</v>
      </c>
      <c r="S613" t="s">
        <v>51</v>
      </c>
    </row>
    <row r="614" spans="1:19" x14ac:dyDescent="0.25">
      <c r="A614" t="s">
        <v>704</v>
      </c>
      <c r="B614" s="2">
        <v>46091</v>
      </c>
      <c r="C614" t="s">
        <v>59</v>
      </c>
      <c r="D614" t="s">
        <v>49</v>
      </c>
      <c r="E614" t="s">
        <v>76</v>
      </c>
      <c r="F614" t="s">
        <v>31</v>
      </c>
      <c r="G614" t="s">
        <v>24</v>
      </c>
      <c r="H614">
        <v>131</v>
      </c>
      <c r="I614">
        <v>148</v>
      </c>
      <c r="J614">
        <v>5</v>
      </c>
      <c r="K614">
        <v>5</v>
      </c>
      <c r="L614">
        <v>25501.74</v>
      </c>
      <c r="M614">
        <v>4.43</v>
      </c>
      <c r="N614">
        <v>115.18</v>
      </c>
      <c r="O614">
        <v>193</v>
      </c>
      <c r="P614" s="2">
        <v>46096</v>
      </c>
      <c r="Q614" s="2">
        <v>46096</v>
      </c>
      <c r="R614" t="s">
        <v>25</v>
      </c>
      <c r="S614" t="s">
        <v>86</v>
      </c>
    </row>
    <row r="615" spans="1:19" x14ac:dyDescent="0.25">
      <c r="A615" t="s">
        <v>705</v>
      </c>
      <c r="B615" s="2">
        <v>46123</v>
      </c>
      <c r="C615" t="s">
        <v>20</v>
      </c>
      <c r="D615" t="s">
        <v>21</v>
      </c>
      <c r="E615" t="s">
        <v>66</v>
      </c>
      <c r="F615" t="s">
        <v>46</v>
      </c>
      <c r="G615" t="s">
        <v>32</v>
      </c>
      <c r="H615">
        <v>283</v>
      </c>
      <c r="I615">
        <v>297</v>
      </c>
      <c r="J615">
        <v>9</v>
      </c>
      <c r="K615">
        <v>7.1</v>
      </c>
      <c r="L615">
        <v>111530.92</v>
      </c>
      <c r="M615">
        <v>11.64</v>
      </c>
      <c r="N615">
        <v>279.36</v>
      </c>
      <c r="O615">
        <v>312</v>
      </c>
      <c r="P615" s="2">
        <v>46130</v>
      </c>
      <c r="Q615" s="2">
        <v>46129</v>
      </c>
      <c r="R615" t="s">
        <v>39</v>
      </c>
      <c r="S615" t="s">
        <v>51</v>
      </c>
    </row>
    <row r="616" spans="1:19" x14ac:dyDescent="0.25">
      <c r="A616" t="s">
        <v>706</v>
      </c>
      <c r="B616" s="2">
        <v>46168</v>
      </c>
      <c r="C616" t="s">
        <v>48</v>
      </c>
      <c r="D616" t="s">
        <v>49</v>
      </c>
      <c r="E616" t="s">
        <v>76</v>
      </c>
      <c r="F616" t="s">
        <v>71</v>
      </c>
      <c r="G616" t="s">
        <v>57</v>
      </c>
      <c r="H616">
        <v>309</v>
      </c>
      <c r="I616">
        <v>306</v>
      </c>
      <c r="J616">
        <v>3</v>
      </c>
      <c r="K616">
        <v>1.5</v>
      </c>
      <c r="L616">
        <v>51089.03</v>
      </c>
      <c r="M616">
        <v>9.82</v>
      </c>
      <c r="N616">
        <v>216.04</v>
      </c>
      <c r="O616">
        <v>404</v>
      </c>
      <c r="P616" s="2">
        <v>46175</v>
      </c>
      <c r="Q616" s="2">
        <v>46177</v>
      </c>
      <c r="R616" t="s">
        <v>25</v>
      </c>
      <c r="S616" t="s">
        <v>86</v>
      </c>
    </row>
    <row r="617" spans="1:19" x14ac:dyDescent="0.25">
      <c r="A617" t="s">
        <v>707</v>
      </c>
      <c r="B617" s="2">
        <v>46132</v>
      </c>
      <c r="C617" t="s">
        <v>43</v>
      </c>
      <c r="D617" t="s">
        <v>44</v>
      </c>
      <c r="E617" t="s">
        <v>161</v>
      </c>
      <c r="F617" t="s">
        <v>83</v>
      </c>
      <c r="G617" t="s">
        <v>32</v>
      </c>
      <c r="H617">
        <v>142</v>
      </c>
      <c r="I617">
        <v>106</v>
      </c>
      <c r="J617">
        <v>6</v>
      </c>
      <c r="K617">
        <v>3.3</v>
      </c>
      <c r="L617">
        <v>12319.54</v>
      </c>
      <c r="M617">
        <v>2.72</v>
      </c>
      <c r="N617">
        <v>48.96</v>
      </c>
      <c r="O617">
        <v>186</v>
      </c>
      <c r="P617" s="2">
        <v>46137</v>
      </c>
      <c r="Q617" s="2">
        <v>46141</v>
      </c>
      <c r="R617" t="s">
        <v>39</v>
      </c>
      <c r="S617" t="s">
        <v>51</v>
      </c>
    </row>
    <row r="618" spans="1:19" x14ac:dyDescent="0.25">
      <c r="A618" t="s">
        <v>708</v>
      </c>
      <c r="B618" s="2">
        <v>46166</v>
      </c>
      <c r="C618" t="s">
        <v>20</v>
      </c>
      <c r="D618" t="s">
        <v>21</v>
      </c>
      <c r="E618" t="s">
        <v>90</v>
      </c>
      <c r="F618" t="s">
        <v>61</v>
      </c>
      <c r="G618" t="s">
        <v>32</v>
      </c>
      <c r="H618">
        <v>152</v>
      </c>
      <c r="I618">
        <v>148</v>
      </c>
      <c r="J618">
        <v>7</v>
      </c>
      <c r="K618">
        <v>0.9</v>
      </c>
      <c r="L618">
        <v>45374.04</v>
      </c>
      <c r="M618">
        <v>5.8</v>
      </c>
      <c r="N618">
        <v>104.4</v>
      </c>
      <c r="O618">
        <v>219</v>
      </c>
      <c r="P618" s="2">
        <v>46178</v>
      </c>
      <c r="Q618" s="2">
        <v>46180</v>
      </c>
      <c r="R618" t="s">
        <v>25</v>
      </c>
      <c r="S618" t="s">
        <v>51</v>
      </c>
    </row>
    <row r="619" spans="1:19" x14ac:dyDescent="0.25">
      <c r="A619" t="s">
        <v>709</v>
      </c>
      <c r="B619" s="2">
        <v>46073</v>
      </c>
      <c r="C619" t="s">
        <v>80</v>
      </c>
      <c r="D619" t="s">
        <v>21</v>
      </c>
      <c r="E619" t="s">
        <v>90</v>
      </c>
      <c r="F619" t="s">
        <v>135</v>
      </c>
      <c r="G619" t="s">
        <v>32</v>
      </c>
      <c r="H619">
        <v>207</v>
      </c>
      <c r="I619">
        <v>153</v>
      </c>
      <c r="J619">
        <v>4</v>
      </c>
      <c r="K619">
        <v>1.1000000000000001</v>
      </c>
      <c r="L619">
        <v>41200.74</v>
      </c>
      <c r="M619">
        <v>4.92</v>
      </c>
      <c r="N619">
        <v>98.4</v>
      </c>
      <c r="O619">
        <v>172</v>
      </c>
      <c r="P619" s="2">
        <v>46079</v>
      </c>
      <c r="Q619" s="2">
        <v>46077</v>
      </c>
      <c r="R619" t="s">
        <v>39</v>
      </c>
      <c r="S619" t="s">
        <v>86</v>
      </c>
    </row>
    <row r="620" spans="1:19" x14ac:dyDescent="0.25">
      <c r="A620" t="s">
        <v>710</v>
      </c>
      <c r="B620" s="2">
        <v>46056</v>
      </c>
      <c r="C620" t="s">
        <v>35</v>
      </c>
      <c r="D620" t="s">
        <v>36</v>
      </c>
      <c r="E620" t="s">
        <v>37</v>
      </c>
      <c r="F620" t="s">
        <v>46</v>
      </c>
      <c r="G620" t="s">
        <v>57</v>
      </c>
      <c r="H620">
        <v>309</v>
      </c>
      <c r="I620">
        <v>293</v>
      </c>
      <c r="J620">
        <v>15</v>
      </c>
      <c r="K620">
        <v>3</v>
      </c>
      <c r="L620">
        <v>22100.400000000001</v>
      </c>
      <c r="M620">
        <v>11.11</v>
      </c>
      <c r="N620">
        <v>266.64</v>
      </c>
      <c r="O620">
        <v>346</v>
      </c>
      <c r="P620" s="2">
        <v>46062</v>
      </c>
      <c r="Q620" s="2">
        <v>46063</v>
      </c>
      <c r="R620" t="s">
        <v>25</v>
      </c>
      <c r="S620" t="s">
        <v>26</v>
      </c>
    </row>
    <row r="621" spans="1:19" x14ac:dyDescent="0.25">
      <c r="A621" t="s">
        <v>711</v>
      </c>
      <c r="B621" s="2">
        <v>46103</v>
      </c>
      <c r="C621" t="s">
        <v>53</v>
      </c>
      <c r="D621" t="s">
        <v>54</v>
      </c>
      <c r="E621" t="s">
        <v>55</v>
      </c>
      <c r="F621" t="s">
        <v>61</v>
      </c>
      <c r="G621" t="s">
        <v>57</v>
      </c>
      <c r="H621">
        <v>180</v>
      </c>
      <c r="I621">
        <v>152</v>
      </c>
      <c r="J621">
        <v>14</v>
      </c>
      <c r="K621">
        <v>4.4000000000000004</v>
      </c>
      <c r="L621">
        <v>25327.82</v>
      </c>
      <c r="M621">
        <v>5.81</v>
      </c>
      <c r="N621">
        <v>151.06</v>
      </c>
      <c r="O621">
        <v>166</v>
      </c>
      <c r="P621" s="2">
        <v>46105</v>
      </c>
      <c r="Q621" s="2">
        <v>46105</v>
      </c>
      <c r="R621" t="s">
        <v>25</v>
      </c>
      <c r="S621" t="s">
        <v>51</v>
      </c>
    </row>
    <row r="622" spans="1:19" x14ac:dyDescent="0.25">
      <c r="A622" t="s">
        <v>712</v>
      </c>
      <c r="B622" s="2">
        <v>46049</v>
      </c>
      <c r="C622" t="s">
        <v>48</v>
      </c>
      <c r="D622" t="s">
        <v>49</v>
      </c>
      <c r="E622" t="s">
        <v>60</v>
      </c>
      <c r="F622" t="s">
        <v>64</v>
      </c>
      <c r="G622" t="s">
        <v>32</v>
      </c>
      <c r="H622">
        <v>265</v>
      </c>
      <c r="I622">
        <v>240</v>
      </c>
      <c r="J622">
        <v>4</v>
      </c>
      <c r="K622">
        <v>1.7</v>
      </c>
      <c r="L622">
        <v>53029</v>
      </c>
      <c r="M622">
        <v>9.52</v>
      </c>
      <c r="N622">
        <v>171.36</v>
      </c>
      <c r="O622">
        <v>238</v>
      </c>
      <c r="P622" s="2">
        <v>46055</v>
      </c>
      <c r="Q622" s="2">
        <v>46053</v>
      </c>
      <c r="R622" t="s">
        <v>25</v>
      </c>
      <c r="S622" t="s">
        <v>33</v>
      </c>
    </row>
    <row r="623" spans="1:19" x14ac:dyDescent="0.25">
      <c r="A623" t="s">
        <v>713</v>
      </c>
      <c r="B623" s="2">
        <v>46090</v>
      </c>
      <c r="C623" t="s">
        <v>48</v>
      </c>
      <c r="D623" t="s">
        <v>49</v>
      </c>
      <c r="E623" t="s">
        <v>60</v>
      </c>
      <c r="F623" t="s">
        <v>41</v>
      </c>
      <c r="G623" t="s">
        <v>57</v>
      </c>
      <c r="H623">
        <v>236</v>
      </c>
      <c r="I623">
        <v>250</v>
      </c>
      <c r="J623">
        <v>9</v>
      </c>
      <c r="K623">
        <v>6.3</v>
      </c>
      <c r="L623">
        <v>58942.77</v>
      </c>
      <c r="M623">
        <v>5.22</v>
      </c>
      <c r="N623">
        <v>114.84</v>
      </c>
      <c r="O623">
        <v>233</v>
      </c>
      <c r="P623" s="2">
        <v>46101</v>
      </c>
      <c r="Q623" s="2">
        <v>46103</v>
      </c>
      <c r="R623" t="s">
        <v>100</v>
      </c>
      <c r="S623" t="s">
        <v>26</v>
      </c>
    </row>
    <row r="624" spans="1:19" x14ac:dyDescent="0.25">
      <c r="A624" t="s">
        <v>714</v>
      </c>
      <c r="B624" s="2">
        <v>46158</v>
      </c>
      <c r="C624" t="s">
        <v>28</v>
      </c>
      <c r="D624" t="s">
        <v>29</v>
      </c>
      <c r="E624" t="s">
        <v>30</v>
      </c>
      <c r="F624" t="s">
        <v>106</v>
      </c>
      <c r="G624" t="s">
        <v>57</v>
      </c>
      <c r="H624">
        <v>202</v>
      </c>
      <c r="I624">
        <v>202</v>
      </c>
      <c r="J624">
        <v>18</v>
      </c>
      <c r="K624">
        <v>2.9</v>
      </c>
      <c r="L624">
        <v>46343.96</v>
      </c>
      <c r="M624">
        <v>4.91</v>
      </c>
      <c r="N624">
        <v>108.02</v>
      </c>
      <c r="O624">
        <v>183</v>
      </c>
      <c r="P624" s="2">
        <v>46165</v>
      </c>
      <c r="Q624" s="2">
        <v>46165</v>
      </c>
      <c r="R624" t="s">
        <v>25</v>
      </c>
      <c r="S624" t="s">
        <v>33</v>
      </c>
    </row>
    <row r="625" spans="1:19" x14ac:dyDescent="0.25">
      <c r="A625" t="s">
        <v>715</v>
      </c>
      <c r="B625" s="2">
        <v>46149</v>
      </c>
      <c r="C625" t="s">
        <v>80</v>
      </c>
      <c r="D625" t="s">
        <v>21</v>
      </c>
      <c r="E625" t="s">
        <v>22</v>
      </c>
      <c r="F625" t="s">
        <v>110</v>
      </c>
      <c r="G625" t="s">
        <v>57</v>
      </c>
      <c r="H625">
        <v>83</v>
      </c>
      <c r="I625">
        <v>83</v>
      </c>
      <c r="J625">
        <v>3</v>
      </c>
      <c r="K625">
        <v>3.5</v>
      </c>
      <c r="L625">
        <v>21096.33</v>
      </c>
      <c r="M625">
        <v>3.12</v>
      </c>
      <c r="N625">
        <v>81.12</v>
      </c>
      <c r="O625">
        <v>181</v>
      </c>
      <c r="P625" s="2">
        <v>46156</v>
      </c>
      <c r="Q625" s="2">
        <v>46156</v>
      </c>
      <c r="R625" t="s">
        <v>100</v>
      </c>
      <c r="S625" t="s">
        <v>26</v>
      </c>
    </row>
    <row r="626" spans="1:19" x14ac:dyDescent="0.25">
      <c r="A626" t="s">
        <v>716</v>
      </c>
      <c r="B626" s="2">
        <v>46050</v>
      </c>
      <c r="C626" t="s">
        <v>43</v>
      </c>
      <c r="D626" t="s">
        <v>44</v>
      </c>
      <c r="E626" t="s">
        <v>93</v>
      </c>
      <c r="F626" t="s">
        <v>110</v>
      </c>
      <c r="G626" t="s">
        <v>57</v>
      </c>
      <c r="H626">
        <v>314</v>
      </c>
      <c r="I626">
        <v>275</v>
      </c>
      <c r="J626">
        <v>25</v>
      </c>
      <c r="K626">
        <v>7.8</v>
      </c>
      <c r="L626">
        <v>34895.78</v>
      </c>
      <c r="M626">
        <v>6.19</v>
      </c>
      <c r="N626">
        <v>136.18</v>
      </c>
      <c r="O626">
        <v>382</v>
      </c>
      <c r="P626" s="2">
        <v>46054</v>
      </c>
      <c r="Q626" s="2">
        <v>46054</v>
      </c>
      <c r="R626" t="s">
        <v>39</v>
      </c>
      <c r="S626" t="s">
        <v>51</v>
      </c>
    </row>
    <row r="627" spans="1:19" x14ac:dyDescent="0.25">
      <c r="A627" t="s">
        <v>717</v>
      </c>
      <c r="B627" s="2">
        <v>46141</v>
      </c>
      <c r="C627" t="s">
        <v>20</v>
      </c>
      <c r="D627" t="s">
        <v>21</v>
      </c>
      <c r="E627" t="s">
        <v>66</v>
      </c>
      <c r="F627" t="s">
        <v>77</v>
      </c>
      <c r="G627" t="s">
        <v>57</v>
      </c>
      <c r="H627">
        <v>108</v>
      </c>
      <c r="I627">
        <v>88</v>
      </c>
      <c r="J627">
        <v>7</v>
      </c>
      <c r="K627">
        <v>1.7</v>
      </c>
      <c r="L627">
        <v>24687.81</v>
      </c>
      <c r="M627">
        <v>2.54</v>
      </c>
      <c r="N627">
        <v>55.88</v>
      </c>
      <c r="O627">
        <v>98</v>
      </c>
      <c r="P627" s="2">
        <v>46151</v>
      </c>
      <c r="Q627" s="2">
        <v>46150</v>
      </c>
      <c r="R627" t="s">
        <v>25</v>
      </c>
    </row>
    <row r="628" spans="1:19" x14ac:dyDescent="0.25">
      <c r="A628" t="s">
        <v>718</v>
      </c>
      <c r="B628" s="2">
        <v>46124</v>
      </c>
      <c r="C628" t="s">
        <v>35</v>
      </c>
      <c r="D628" t="s">
        <v>36</v>
      </c>
      <c r="E628" t="s">
        <v>69</v>
      </c>
      <c r="F628" t="s">
        <v>104</v>
      </c>
      <c r="G628" t="s">
        <v>32</v>
      </c>
      <c r="H628">
        <v>93</v>
      </c>
      <c r="I628">
        <v>84</v>
      </c>
      <c r="J628">
        <v>3</v>
      </c>
      <c r="K628">
        <v>0.4</v>
      </c>
      <c r="L628">
        <v>8255.98</v>
      </c>
      <c r="M628">
        <v>1.9</v>
      </c>
      <c r="N628">
        <v>38</v>
      </c>
      <c r="O628">
        <v>156</v>
      </c>
      <c r="P628" s="2">
        <v>46128</v>
      </c>
      <c r="Q628" s="2">
        <v>46128</v>
      </c>
      <c r="R628" t="s">
        <v>39</v>
      </c>
      <c r="S628" t="s">
        <v>26</v>
      </c>
    </row>
    <row r="629" spans="1:19" x14ac:dyDescent="0.25">
      <c r="A629" t="s">
        <v>719</v>
      </c>
      <c r="B629" s="2">
        <v>46133</v>
      </c>
      <c r="C629" t="s">
        <v>20</v>
      </c>
      <c r="D629" t="s">
        <v>21</v>
      </c>
      <c r="E629" t="s">
        <v>66</v>
      </c>
      <c r="F629" t="s">
        <v>38</v>
      </c>
      <c r="G629" t="s">
        <v>24</v>
      </c>
      <c r="H629">
        <v>92</v>
      </c>
      <c r="I629">
        <v>91</v>
      </c>
      <c r="J629">
        <v>8</v>
      </c>
      <c r="K629">
        <v>2</v>
      </c>
      <c r="L629">
        <v>21655.47</v>
      </c>
      <c r="M629">
        <v>2.2200000000000002</v>
      </c>
      <c r="N629">
        <v>39.96</v>
      </c>
      <c r="O629">
        <v>188</v>
      </c>
      <c r="P629" s="2">
        <v>46136</v>
      </c>
      <c r="Q629" s="2">
        <v>46136</v>
      </c>
      <c r="R629" t="s">
        <v>25</v>
      </c>
      <c r="S629" t="s">
        <v>72</v>
      </c>
    </row>
    <row r="630" spans="1:19" x14ac:dyDescent="0.25">
      <c r="A630" t="s">
        <v>720</v>
      </c>
      <c r="B630" s="2">
        <v>46123</v>
      </c>
      <c r="C630" t="s">
        <v>35</v>
      </c>
      <c r="D630" t="s">
        <v>36</v>
      </c>
      <c r="E630" t="s">
        <v>37</v>
      </c>
      <c r="F630" t="s">
        <v>85</v>
      </c>
      <c r="G630" t="s">
        <v>24</v>
      </c>
      <c r="H630">
        <v>136</v>
      </c>
      <c r="I630">
        <v>140</v>
      </c>
      <c r="J630">
        <v>11</v>
      </c>
      <c r="K630">
        <v>2.4</v>
      </c>
      <c r="L630">
        <v>12406.38</v>
      </c>
      <c r="M630">
        <v>3.69</v>
      </c>
      <c r="N630">
        <v>81.180000000000007</v>
      </c>
      <c r="O630">
        <v>169</v>
      </c>
      <c r="P630" s="2">
        <v>46125</v>
      </c>
      <c r="Q630" s="2">
        <v>46124</v>
      </c>
      <c r="R630" t="s">
        <v>25</v>
      </c>
      <c r="S630" t="s">
        <v>26</v>
      </c>
    </row>
    <row r="631" spans="1:19" x14ac:dyDescent="0.25">
      <c r="A631" t="s">
        <v>721</v>
      </c>
      <c r="B631" s="2">
        <v>46145</v>
      </c>
      <c r="C631" t="s">
        <v>59</v>
      </c>
      <c r="D631" t="s">
        <v>49</v>
      </c>
      <c r="E631" t="s">
        <v>60</v>
      </c>
      <c r="F631" t="s">
        <v>122</v>
      </c>
      <c r="G631" t="s">
        <v>57</v>
      </c>
      <c r="H631">
        <v>141</v>
      </c>
      <c r="I631">
        <v>111</v>
      </c>
      <c r="J631">
        <v>7</v>
      </c>
      <c r="K631">
        <v>1.5</v>
      </c>
      <c r="L631">
        <v>17993.8</v>
      </c>
      <c r="M631">
        <v>4.5599999999999996</v>
      </c>
      <c r="N631">
        <v>109.44</v>
      </c>
      <c r="O631">
        <v>210</v>
      </c>
      <c r="P631" s="2">
        <v>46152</v>
      </c>
      <c r="Q631" s="2">
        <v>46150</v>
      </c>
      <c r="R631" t="s">
        <v>25</v>
      </c>
      <c r="S631" t="s">
        <v>51</v>
      </c>
    </row>
    <row r="632" spans="1:19" x14ac:dyDescent="0.25">
      <c r="A632" t="s">
        <v>722</v>
      </c>
      <c r="B632" s="2">
        <v>46196</v>
      </c>
      <c r="C632" t="s">
        <v>80</v>
      </c>
      <c r="D632" t="s">
        <v>21</v>
      </c>
      <c r="E632" t="s">
        <v>66</v>
      </c>
      <c r="F632" t="s">
        <v>197</v>
      </c>
      <c r="G632" t="s">
        <v>57</v>
      </c>
      <c r="H632">
        <v>170</v>
      </c>
      <c r="I632">
        <v>193</v>
      </c>
      <c r="J632">
        <v>11</v>
      </c>
      <c r="K632">
        <v>4.4000000000000004</v>
      </c>
      <c r="L632">
        <v>41900.92</v>
      </c>
      <c r="M632">
        <v>7.27</v>
      </c>
      <c r="N632">
        <v>189.02</v>
      </c>
      <c r="O632">
        <v>204</v>
      </c>
      <c r="P632" s="2">
        <v>46201</v>
      </c>
      <c r="Q632" s="2">
        <v>46201</v>
      </c>
      <c r="R632" t="s">
        <v>25</v>
      </c>
      <c r="S632" t="s">
        <v>33</v>
      </c>
    </row>
    <row r="633" spans="1:19" x14ac:dyDescent="0.25">
      <c r="A633" t="s">
        <v>723</v>
      </c>
      <c r="B633" s="2">
        <v>46100</v>
      </c>
      <c r="C633" t="s">
        <v>48</v>
      </c>
      <c r="D633" t="s">
        <v>49</v>
      </c>
      <c r="E633" t="s">
        <v>76</v>
      </c>
      <c r="F633" t="s">
        <v>122</v>
      </c>
      <c r="G633" t="s">
        <v>24</v>
      </c>
      <c r="H633">
        <v>205</v>
      </c>
      <c r="I633">
        <v>212</v>
      </c>
      <c r="J633">
        <v>19</v>
      </c>
      <c r="K633">
        <v>2.2999999999999998</v>
      </c>
      <c r="L633">
        <v>40665.93</v>
      </c>
      <c r="M633">
        <v>3.88</v>
      </c>
      <c r="N633">
        <v>85.36</v>
      </c>
      <c r="O633">
        <v>242</v>
      </c>
      <c r="P633" s="2">
        <v>46107</v>
      </c>
      <c r="Q633" s="2">
        <v>46111</v>
      </c>
      <c r="R633" t="s">
        <v>25</v>
      </c>
      <c r="S633" t="s">
        <v>26</v>
      </c>
    </row>
    <row r="634" spans="1:19" x14ac:dyDescent="0.25">
      <c r="A634" t="s">
        <v>724</v>
      </c>
      <c r="B634" s="2">
        <v>46186</v>
      </c>
      <c r="C634" t="s">
        <v>80</v>
      </c>
      <c r="D634" t="s">
        <v>21</v>
      </c>
      <c r="E634" t="s">
        <v>22</v>
      </c>
      <c r="F634" t="s">
        <v>67</v>
      </c>
      <c r="G634" t="s">
        <v>32</v>
      </c>
      <c r="H634">
        <v>185</v>
      </c>
      <c r="I634">
        <v>201</v>
      </c>
      <c r="J634">
        <v>12</v>
      </c>
      <c r="K634">
        <v>1.3</v>
      </c>
      <c r="L634">
        <v>49899.05</v>
      </c>
      <c r="M634">
        <v>7.19</v>
      </c>
      <c r="N634">
        <v>172.56</v>
      </c>
      <c r="O634">
        <v>237</v>
      </c>
      <c r="P634" s="2">
        <v>46191</v>
      </c>
      <c r="Q634" s="2">
        <v>46190</v>
      </c>
      <c r="R634" t="s">
        <v>25</v>
      </c>
      <c r="S634" t="s">
        <v>33</v>
      </c>
    </row>
    <row r="635" spans="1:19" x14ac:dyDescent="0.25">
      <c r="A635" t="s">
        <v>725</v>
      </c>
      <c r="B635" s="2">
        <v>46093</v>
      </c>
      <c r="C635" t="s">
        <v>53</v>
      </c>
      <c r="D635" t="s">
        <v>54</v>
      </c>
      <c r="E635" t="s">
        <v>55</v>
      </c>
      <c r="F635" t="s">
        <v>71</v>
      </c>
      <c r="G635" t="s">
        <v>32</v>
      </c>
      <c r="H635">
        <v>147</v>
      </c>
      <c r="I635">
        <v>163</v>
      </c>
      <c r="J635">
        <v>5</v>
      </c>
      <c r="K635">
        <v>3</v>
      </c>
      <c r="L635">
        <v>26901.25</v>
      </c>
      <c r="M635">
        <v>4.01</v>
      </c>
      <c r="N635">
        <v>80.2</v>
      </c>
      <c r="O635">
        <v>117</v>
      </c>
      <c r="P635" s="2">
        <v>46104</v>
      </c>
      <c r="Q635" s="2">
        <v>46105</v>
      </c>
      <c r="R635" t="s">
        <v>39</v>
      </c>
      <c r="S635" t="s">
        <v>72</v>
      </c>
    </row>
    <row r="636" spans="1:19" x14ac:dyDescent="0.25">
      <c r="A636" t="s">
        <v>726</v>
      </c>
      <c r="B636" s="2">
        <v>46168</v>
      </c>
      <c r="C636" t="s">
        <v>48</v>
      </c>
      <c r="D636" t="s">
        <v>49</v>
      </c>
      <c r="E636" t="s">
        <v>76</v>
      </c>
      <c r="F636" t="s">
        <v>88</v>
      </c>
      <c r="G636" t="s">
        <v>32</v>
      </c>
      <c r="H636">
        <v>108</v>
      </c>
      <c r="I636">
        <v>122</v>
      </c>
      <c r="J636">
        <v>6</v>
      </c>
      <c r="K636">
        <v>6.2</v>
      </c>
      <c r="L636">
        <v>21849.759999999998</v>
      </c>
      <c r="M636">
        <v>5.03</v>
      </c>
      <c r="N636">
        <v>130.78</v>
      </c>
      <c r="O636">
        <v>109</v>
      </c>
      <c r="P636" s="2">
        <v>46174</v>
      </c>
      <c r="Q636" s="2">
        <v>46178</v>
      </c>
      <c r="R636" t="s">
        <v>25</v>
      </c>
      <c r="S636" t="s">
        <v>33</v>
      </c>
    </row>
    <row r="637" spans="1:19" x14ac:dyDescent="0.25">
      <c r="A637" t="s">
        <v>727</v>
      </c>
      <c r="B637" s="2">
        <v>46139</v>
      </c>
      <c r="C637" t="s">
        <v>80</v>
      </c>
      <c r="D637" t="s">
        <v>21</v>
      </c>
      <c r="E637" t="s">
        <v>22</v>
      </c>
      <c r="F637" t="s">
        <v>83</v>
      </c>
      <c r="G637" t="s">
        <v>24</v>
      </c>
      <c r="H637">
        <v>152</v>
      </c>
      <c r="I637">
        <v>163</v>
      </c>
      <c r="J637">
        <v>2</v>
      </c>
      <c r="K637">
        <v>4.4000000000000004</v>
      </c>
      <c r="L637">
        <v>34313.660000000003</v>
      </c>
      <c r="M637">
        <v>6.2</v>
      </c>
      <c r="N637">
        <v>111.6</v>
      </c>
      <c r="O637">
        <v>176</v>
      </c>
      <c r="P637" s="2">
        <v>46143</v>
      </c>
      <c r="Q637" s="2">
        <v>46144</v>
      </c>
      <c r="R637" t="s">
        <v>25</v>
      </c>
      <c r="S637" t="s">
        <v>26</v>
      </c>
    </row>
    <row r="638" spans="1:19" x14ac:dyDescent="0.25">
      <c r="A638" t="s">
        <v>728</v>
      </c>
      <c r="B638" s="2">
        <v>46062</v>
      </c>
      <c r="C638" t="s">
        <v>20</v>
      </c>
      <c r="D638" t="s">
        <v>21</v>
      </c>
      <c r="E638" t="s">
        <v>66</v>
      </c>
      <c r="F638" t="s">
        <v>46</v>
      </c>
      <c r="G638" t="s">
        <v>57</v>
      </c>
      <c r="H638">
        <v>149</v>
      </c>
      <c r="I638">
        <v>116</v>
      </c>
      <c r="J638">
        <v>8</v>
      </c>
      <c r="K638">
        <v>3.9</v>
      </c>
      <c r="L638">
        <v>40802.39</v>
      </c>
      <c r="M638">
        <v>2.1800000000000002</v>
      </c>
      <c r="N638">
        <v>47.96</v>
      </c>
      <c r="O638">
        <v>172</v>
      </c>
      <c r="P638" s="2">
        <v>46074</v>
      </c>
      <c r="Q638" s="2">
        <v>46076</v>
      </c>
      <c r="R638" t="s">
        <v>100</v>
      </c>
      <c r="S638" t="s">
        <v>86</v>
      </c>
    </row>
    <row r="639" spans="1:19" x14ac:dyDescent="0.25">
      <c r="A639" t="s">
        <v>729</v>
      </c>
      <c r="B639" s="2">
        <v>46100</v>
      </c>
      <c r="C639" t="s">
        <v>59</v>
      </c>
      <c r="D639" t="s">
        <v>49</v>
      </c>
      <c r="E639" t="s">
        <v>50</v>
      </c>
      <c r="F639" t="s">
        <v>125</v>
      </c>
      <c r="G639" t="s">
        <v>24</v>
      </c>
      <c r="H639">
        <v>224</v>
      </c>
      <c r="I639">
        <v>203</v>
      </c>
      <c r="J639">
        <v>17</v>
      </c>
      <c r="K639">
        <v>7.2</v>
      </c>
      <c r="L639">
        <v>33054.400000000001</v>
      </c>
      <c r="M639">
        <v>4.87</v>
      </c>
      <c r="N639">
        <v>116.88</v>
      </c>
      <c r="O639">
        <v>235</v>
      </c>
      <c r="P639" s="2">
        <v>46106</v>
      </c>
      <c r="Q639" s="2">
        <v>46106</v>
      </c>
      <c r="R639" t="s">
        <v>25</v>
      </c>
      <c r="S639" t="s">
        <v>72</v>
      </c>
    </row>
    <row r="640" spans="1:19" x14ac:dyDescent="0.25">
      <c r="A640" t="s">
        <v>730</v>
      </c>
      <c r="B640" s="2">
        <v>46162</v>
      </c>
      <c r="C640" t="s">
        <v>43</v>
      </c>
      <c r="D640" t="s">
        <v>44</v>
      </c>
      <c r="E640" t="s">
        <v>161</v>
      </c>
      <c r="F640" t="s">
        <v>77</v>
      </c>
      <c r="G640" t="s">
        <v>32</v>
      </c>
      <c r="H640">
        <v>280</v>
      </c>
      <c r="I640">
        <v>307</v>
      </c>
      <c r="J640">
        <v>13</v>
      </c>
      <c r="K640">
        <v>1.2</v>
      </c>
      <c r="L640">
        <v>33545.22</v>
      </c>
      <c r="M640">
        <v>12.41</v>
      </c>
      <c r="N640">
        <v>273.02</v>
      </c>
      <c r="O640">
        <v>359</v>
      </c>
      <c r="P640" s="2">
        <v>46169</v>
      </c>
      <c r="Q640" s="2">
        <v>46171</v>
      </c>
      <c r="R640" t="s">
        <v>100</v>
      </c>
      <c r="S640" t="s">
        <v>72</v>
      </c>
    </row>
    <row r="641" spans="1:19" x14ac:dyDescent="0.25">
      <c r="A641" t="s">
        <v>731</v>
      </c>
      <c r="B641" s="2">
        <v>46030</v>
      </c>
      <c r="C641" t="s">
        <v>80</v>
      </c>
      <c r="D641" t="s">
        <v>21</v>
      </c>
      <c r="E641" t="s">
        <v>90</v>
      </c>
      <c r="F641" t="s">
        <v>46</v>
      </c>
      <c r="G641" t="s">
        <v>24</v>
      </c>
      <c r="H641">
        <v>102</v>
      </c>
      <c r="I641">
        <v>106</v>
      </c>
      <c r="J641">
        <v>6</v>
      </c>
      <c r="K641">
        <v>2.7</v>
      </c>
      <c r="L641">
        <v>25734.86</v>
      </c>
      <c r="M641">
        <v>2.23</v>
      </c>
      <c r="N641">
        <v>57.98</v>
      </c>
      <c r="O641">
        <v>137</v>
      </c>
      <c r="P641" s="2">
        <v>46032</v>
      </c>
      <c r="Q641" s="2">
        <v>46034</v>
      </c>
      <c r="R641" t="s">
        <v>25</v>
      </c>
      <c r="S641" t="s">
        <v>33</v>
      </c>
    </row>
    <row r="642" spans="1:19" x14ac:dyDescent="0.25">
      <c r="A642" t="s">
        <v>732</v>
      </c>
      <c r="B642" s="2">
        <v>46141</v>
      </c>
      <c r="C642" t="s">
        <v>53</v>
      </c>
      <c r="D642" t="s">
        <v>54</v>
      </c>
      <c r="E642" t="s">
        <v>55</v>
      </c>
      <c r="F642" t="s">
        <v>41</v>
      </c>
      <c r="G642" t="s">
        <v>24</v>
      </c>
      <c r="H642">
        <v>101</v>
      </c>
      <c r="I642">
        <v>75</v>
      </c>
      <c r="J642">
        <v>5</v>
      </c>
      <c r="K642">
        <v>5.8</v>
      </c>
      <c r="L642">
        <v>8987.5400000000009</v>
      </c>
      <c r="M642">
        <v>1.87</v>
      </c>
      <c r="N642">
        <v>44.88</v>
      </c>
      <c r="O642">
        <v>145</v>
      </c>
      <c r="P642" s="2">
        <v>46143</v>
      </c>
      <c r="Q642" s="2">
        <v>46142</v>
      </c>
      <c r="R642" t="s">
        <v>39</v>
      </c>
      <c r="S642" t="s">
        <v>33</v>
      </c>
    </row>
    <row r="643" spans="1:19" x14ac:dyDescent="0.25">
      <c r="A643" t="s">
        <v>733</v>
      </c>
      <c r="B643" s="2">
        <v>46202</v>
      </c>
      <c r="C643" t="s">
        <v>28</v>
      </c>
      <c r="D643" t="s">
        <v>29</v>
      </c>
      <c r="E643" t="s">
        <v>30</v>
      </c>
      <c r="F643" t="s">
        <v>88</v>
      </c>
      <c r="G643" t="s">
        <v>57</v>
      </c>
      <c r="H643">
        <v>116</v>
      </c>
      <c r="I643">
        <v>111</v>
      </c>
      <c r="J643">
        <v>10</v>
      </c>
      <c r="K643">
        <v>1.2</v>
      </c>
      <c r="L643">
        <v>30067.08</v>
      </c>
      <c r="M643">
        <v>2.41</v>
      </c>
      <c r="N643">
        <v>53.02</v>
      </c>
      <c r="O643">
        <v>77</v>
      </c>
      <c r="P643" s="2">
        <v>46211</v>
      </c>
      <c r="Q643" s="2">
        <v>46211</v>
      </c>
      <c r="R643" t="s">
        <v>25</v>
      </c>
      <c r="S643" t="s">
        <v>51</v>
      </c>
    </row>
    <row r="644" spans="1:19" x14ac:dyDescent="0.25">
      <c r="A644" t="s">
        <v>734</v>
      </c>
      <c r="B644" s="2">
        <v>46177</v>
      </c>
      <c r="C644" t="s">
        <v>20</v>
      </c>
      <c r="D644" t="s">
        <v>21</v>
      </c>
      <c r="E644" t="s">
        <v>66</v>
      </c>
      <c r="F644" t="s">
        <v>61</v>
      </c>
      <c r="G644" t="s">
        <v>24</v>
      </c>
      <c r="H644">
        <v>104</v>
      </c>
      <c r="I644">
        <v>85</v>
      </c>
      <c r="J644">
        <v>1</v>
      </c>
      <c r="K644">
        <v>0.2</v>
      </c>
      <c r="L644">
        <v>26777.7</v>
      </c>
      <c r="M644">
        <v>3.42</v>
      </c>
      <c r="N644">
        <v>75.239999999999995</v>
      </c>
      <c r="O644">
        <v>167</v>
      </c>
      <c r="P644" s="2">
        <v>46186</v>
      </c>
      <c r="Q644" s="2">
        <v>46186</v>
      </c>
      <c r="R644" t="s">
        <v>25</v>
      </c>
      <c r="S644" t="s">
        <v>86</v>
      </c>
    </row>
    <row r="645" spans="1:19" x14ac:dyDescent="0.25">
      <c r="A645" t="s">
        <v>735</v>
      </c>
      <c r="B645" s="2">
        <v>46179</v>
      </c>
      <c r="C645" t="s">
        <v>53</v>
      </c>
      <c r="D645" t="s">
        <v>54</v>
      </c>
      <c r="E645" t="s">
        <v>55</v>
      </c>
      <c r="F645" t="s">
        <v>125</v>
      </c>
      <c r="G645" t="s">
        <v>24</v>
      </c>
      <c r="H645">
        <v>190</v>
      </c>
      <c r="I645">
        <v>148</v>
      </c>
      <c r="J645">
        <v>1</v>
      </c>
      <c r="K645">
        <v>1.3</v>
      </c>
      <c r="L645">
        <v>21410.21</v>
      </c>
      <c r="M645">
        <v>4.4800000000000004</v>
      </c>
      <c r="N645">
        <v>116.48</v>
      </c>
      <c r="O645">
        <v>201</v>
      </c>
      <c r="P645" s="2">
        <v>46188</v>
      </c>
      <c r="Q645" s="2">
        <v>46192</v>
      </c>
      <c r="R645" t="s">
        <v>25</v>
      </c>
      <c r="S645" t="s">
        <v>33</v>
      </c>
    </row>
    <row r="646" spans="1:19" x14ac:dyDescent="0.25">
      <c r="A646" t="s">
        <v>736</v>
      </c>
      <c r="B646" s="2">
        <v>46173</v>
      </c>
      <c r="C646" t="s">
        <v>53</v>
      </c>
      <c r="D646" t="s">
        <v>54</v>
      </c>
      <c r="E646" t="s">
        <v>131</v>
      </c>
      <c r="F646" t="s">
        <v>114</v>
      </c>
      <c r="G646" t="s">
        <v>32</v>
      </c>
      <c r="H646">
        <v>250</v>
      </c>
      <c r="I646">
        <v>209</v>
      </c>
      <c r="J646">
        <v>8</v>
      </c>
      <c r="K646">
        <v>7.2</v>
      </c>
      <c r="L646">
        <v>31947.119999999999</v>
      </c>
      <c r="M646">
        <v>4.51</v>
      </c>
      <c r="N646">
        <v>99.22</v>
      </c>
      <c r="O646">
        <v>327</v>
      </c>
      <c r="P646" s="2">
        <v>46176</v>
      </c>
      <c r="Q646" s="2">
        <v>46178</v>
      </c>
      <c r="R646" t="s">
        <v>25</v>
      </c>
      <c r="S646" t="s">
        <v>33</v>
      </c>
    </row>
    <row r="647" spans="1:19" x14ac:dyDescent="0.25">
      <c r="A647" t="s">
        <v>737</v>
      </c>
      <c r="B647" s="2">
        <v>46188</v>
      </c>
      <c r="C647" t="s">
        <v>53</v>
      </c>
      <c r="D647" t="s">
        <v>54</v>
      </c>
      <c r="E647" t="s">
        <v>55</v>
      </c>
      <c r="F647" t="s">
        <v>38</v>
      </c>
      <c r="G647" t="s">
        <v>24</v>
      </c>
      <c r="H647">
        <v>312</v>
      </c>
      <c r="I647">
        <v>346</v>
      </c>
      <c r="J647">
        <v>31</v>
      </c>
      <c r="K647">
        <v>4.2</v>
      </c>
      <c r="L647">
        <v>50214.87</v>
      </c>
      <c r="M647">
        <v>14.38</v>
      </c>
      <c r="N647">
        <v>316.36</v>
      </c>
      <c r="O647">
        <v>400</v>
      </c>
      <c r="P647" s="2">
        <v>46198</v>
      </c>
      <c r="Q647" s="2">
        <v>46198</v>
      </c>
      <c r="R647" t="s">
        <v>25</v>
      </c>
      <c r="S647" t="s">
        <v>26</v>
      </c>
    </row>
    <row r="648" spans="1:19" x14ac:dyDescent="0.25">
      <c r="A648" t="s">
        <v>738</v>
      </c>
      <c r="B648" s="2">
        <v>46122</v>
      </c>
      <c r="C648" t="s">
        <v>20</v>
      </c>
      <c r="D648" t="s">
        <v>21</v>
      </c>
      <c r="E648" t="s">
        <v>22</v>
      </c>
      <c r="F648" t="s">
        <v>119</v>
      </c>
      <c r="G648" t="s">
        <v>24</v>
      </c>
      <c r="H648">
        <v>247</v>
      </c>
      <c r="I648">
        <v>193</v>
      </c>
      <c r="J648">
        <v>12</v>
      </c>
      <c r="K648">
        <v>5.0999999999999996</v>
      </c>
      <c r="L648">
        <v>67505.36</v>
      </c>
      <c r="M648">
        <v>4.12</v>
      </c>
      <c r="N648">
        <v>90.64</v>
      </c>
      <c r="O648">
        <v>307</v>
      </c>
      <c r="P648" s="2">
        <v>46125</v>
      </c>
      <c r="Q648" s="2">
        <v>46129</v>
      </c>
      <c r="R648" t="s">
        <v>100</v>
      </c>
      <c r="S648" t="s">
        <v>51</v>
      </c>
    </row>
    <row r="649" spans="1:19" x14ac:dyDescent="0.25">
      <c r="A649" t="s">
        <v>739</v>
      </c>
      <c r="B649" s="2">
        <v>46170</v>
      </c>
      <c r="C649" t="s">
        <v>59</v>
      </c>
      <c r="D649" t="s">
        <v>49</v>
      </c>
      <c r="E649" t="s">
        <v>50</v>
      </c>
      <c r="F649" t="s">
        <v>67</v>
      </c>
      <c r="G649" t="s">
        <v>24</v>
      </c>
      <c r="H649">
        <v>258</v>
      </c>
      <c r="I649">
        <v>221</v>
      </c>
      <c r="J649">
        <v>20</v>
      </c>
      <c r="K649">
        <v>3.1</v>
      </c>
      <c r="L649">
        <v>39188</v>
      </c>
      <c r="M649">
        <v>4.22</v>
      </c>
      <c r="N649">
        <v>84.4</v>
      </c>
      <c r="O649">
        <v>277</v>
      </c>
      <c r="P649" s="2">
        <v>46173</v>
      </c>
      <c r="Q649" s="2">
        <v>46172</v>
      </c>
      <c r="R649" t="s">
        <v>100</v>
      </c>
      <c r="S649" t="s">
        <v>72</v>
      </c>
    </row>
    <row r="650" spans="1:19" x14ac:dyDescent="0.25">
      <c r="A650" t="s">
        <v>740</v>
      </c>
      <c r="B650" s="2">
        <v>46105</v>
      </c>
      <c r="C650" t="s">
        <v>28</v>
      </c>
      <c r="D650" t="s">
        <v>29</v>
      </c>
      <c r="E650" t="s">
        <v>30</v>
      </c>
      <c r="F650" t="s">
        <v>64</v>
      </c>
      <c r="G650" t="s">
        <v>24</v>
      </c>
      <c r="H650">
        <v>283</v>
      </c>
      <c r="I650">
        <v>232</v>
      </c>
      <c r="J650">
        <v>19</v>
      </c>
      <c r="K650">
        <v>1.6</v>
      </c>
      <c r="L650">
        <v>64673.89</v>
      </c>
      <c r="M650">
        <v>6.51</v>
      </c>
      <c r="N650">
        <v>117.18</v>
      </c>
      <c r="O650">
        <v>258</v>
      </c>
      <c r="P650" s="2">
        <v>46116</v>
      </c>
      <c r="Q650" s="2">
        <v>46116</v>
      </c>
      <c r="R650" t="s">
        <v>25</v>
      </c>
      <c r="S650" t="s">
        <v>33</v>
      </c>
    </row>
    <row r="651" spans="1:19" x14ac:dyDescent="0.25">
      <c r="A651" t="s">
        <v>741</v>
      </c>
      <c r="B651" s="2">
        <v>46136</v>
      </c>
      <c r="C651" t="s">
        <v>48</v>
      </c>
      <c r="D651" t="s">
        <v>49</v>
      </c>
      <c r="E651" t="s">
        <v>60</v>
      </c>
      <c r="F651" t="s">
        <v>74</v>
      </c>
      <c r="G651" t="s">
        <v>24</v>
      </c>
      <c r="H651">
        <v>241</v>
      </c>
      <c r="I651">
        <v>260</v>
      </c>
      <c r="J651">
        <v>22</v>
      </c>
      <c r="K651">
        <v>2.9</v>
      </c>
      <c r="L651">
        <v>53901.45</v>
      </c>
      <c r="M651">
        <v>10.85</v>
      </c>
      <c r="N651">
        <v>282.10000000000002</v>
      </c>
      <c r="O651">
        <v>252</v>
      </c>
      <c r="P651" s="2">
        <v>46141</v>
      </c>
      <c r="Q651" s="2">
        <v>46141</v>
      </c>
      <c r="R651" t="s">
        <v>100</v>
      </c>
      <c r="S651" t="s">
        <v>86</v>
      </c>
    </row>
    <row r="652" spans="1:19" x14ac:dyDescent="0.25">
      <c r="A652" t="s">
        <v>742</v>
      </c>
      <c r="B652" s="2">
        <v>46080</v>
      </c>
      <c r="C652" t="s">
        <v>28</v>
      </c>
      <c r="D652" t="s">
        <v>29</v>
      </c>
      <c r="E652" t="s">
        <v>30</v>
      </c>
      <c r="F652" t="s">
        <v>91</v>
      </c>
      <c r="G652" t="s">
        <v>32</v>
      </c>
      <c r="H652">
        <v>121</v>
      </c>
      <c r="I652">
        <v>109</v>
      </c>
      <c r="J652">
        <v>5</v>
      </c>
      <c r="K652">
        <v>7.1</v>
      </c>
      <c r="L652">
        <v>18503.18</v>
      </c>
      <c r="M652">
        <v>4.47</v>
      </c>
      <c r="N652">
        <v>80.459999999999994</v>
      </c>
      <c r="O652">
        <v>133</v>
      </c>
      <c r="P652" s="2">
        <v>46082</v>
      </c>
      <c r="Q652" s="2">
        <v>46082</v>
      </c>
      <c r="R652" t="s">
        <v>25</v>
      </c>
      <c r="S652" t="s">
        <v>26</v>
      </c>
    </row>
    <row r="653" spans="1:19" x14ac:dyDescent="0.25">
      <c r="A653" t="s">
        <v>743</v>
      </c>
      <c r="B653" s="2">
        <v>46162</v>
      </c>
      <c r="C653" t="s">
        <v>20</v>
      </c>
      <c r="D653" t="s">
        <v>21</v>
      </c>
      <c r="E653" t="s">
        <v>90</v>
      </c>
      <c r="F653" t="s">
        <v>38</v>
      </c>
      <c r="G653" t="s">
        <v>24</v>
      </c>
      <c r="H653">
        <v>127</v>
      </c>
      <c r="I653">
        <v>128</v>
      </c>
      <c r="J653">
        <v>11</v>
      </c>
      <c r="K653">
        <v>6.6</v>
      </c>
      <c r="L653">
        <v>38399.360000000001</v>
      </c>
      <c r="M653">
        <v>2.94</v>
      </c>
      <c r="N653">
        <v>70.56</v>
      </c>
      <c r="O653">
        <v>215</v>
      </c>
      <c r="P653" s="2">
        <v>46169</v>
      </c>
      <c r="Q653" s="2">
        <v>46170</v>
      </c>
      <c r="R653" t="s">
        <v>39</v>
      </c>
      <c r="S653" t="s">
        <v>51</v>
      </c>
    </row>
    <row r="654" spans="1:19" x14ac:dyDescent="0.25">
      <c r="A654" t="s">
        <v>744</v>
      </c>
      <c r="B654" s="2">
        <v>46040</v>
      </c>
      <c r="C654" t="s">
        <v>53</v>
      </c>
      <c r="D654" t="s">
        <v>54</v>
      </c>
      <c r="E654" t="s">
        <v>131</v>
      </c>
      <c r="F654" t="s">
        <v>23</v>
      </c>
      <c r="G654" t="s">
        <v>32</v>
      </c>
      <c r="H654">
        <v>240</v>
      </c>
      <c r="I654">
        <v>211</v>
      </c>
      <c r="J654">
        <v>2</v>
      </c>
      <c r="K654">
        <v>0.7</v>
      </c>
      <c r="L654">
        <v>31417.31</v>
      </c>
      <c r="M654">
        <v>4.4000000000000004</v>
      </c>
      <c r="N654">
        <v>88</v>
      </c>
      <c r="O654">
        <v>213</v>
      </c>
      <c r="P654" s="2">
        <v>46051</v>
      </c>
      <c r="Q654" s="2">
        <v>46052</v>
      </c>
      <c r="R654" t="s">
        <v>25</v>
      </c>
      <c r="S654" t="s">
        <v>86</v>
      </c>
    </row>
    <row r="655" spans="1:19" x14ac:dyDescent="0.25">
      <c r="A655" t="s">
        <v>745</v>
      </c>
      <c r="B655" s="2">
        <v>46122</v>
      </c>
      <c r="C655" t="s">
        <v>48</v>
      </c>
      <c r="D655" t="s">
        <v>49</v>
      </c>
      <c r="E655" t="s">
        <v>50</v>
      </c>
      <c r="F655" t="s">
        <v>106</v>
      </c>
      <c r="G655" t="s">
        <v>57</v>
      </c>
      <c r="H655">
        <v>303</v>
      </c>
      <c r="I655">
        <v>331</v>
      </c>
      <c r="J655">
        <v>30</v>
      </c>
      <c r="K655">
        <v>0.7</v>
      </c>
      <c r="L655">
        <v>74434.62</v>
      </c>
      <c r="M655">
        <v>13.36</v>
      </c>
      <c r="N655">
        <v>347.36</v>
      </c>
      <c r="O655">
        <v>342</v>
      </c>
      <c r="P655" s="2">
        <v>46130</v>
      </c>
      <c r="Q655" s="2">
        <v>46128</v>
      </c>
      <c r="R655" t="s">
        <v>39</v>
      </c>
      <c r="S655" t="s">
        <v>26</v>
      </c>
    </row>
    <row r="656" spans="1:19" x14ac:dyDescent="0.25">
      <c r="A656" t="s">
        <v>746</v>
      </c>
      <c r="B656" s="2">
        <v>46143</v>
      </c>
      <c r="C656" t="s">
        <v>59</v>
      </c>
      <c r="D656" t="s">
        <v>49</v>
      </c>
      <c r="E656" t="s">
        <v>60</v>
      </c>
      <c r="F656" t="s">
        <v>83</v>
      </c>
      <c r="G656" t="s">
        <v>24</v>
      </c>
      <c r="H656">
        <v>87</v>
      </c>
      <c r="I656">
        <v>63</v>
      </c>
      <c r="J656">
        <v>2</v>
      </c>
      <c r="K656">
        <v>1.8</v>
      </c>
      <c r="L656">
        <v>11059.18</v>
      </c>
      <c r="M656">
        <v>1.44</v>
      </c>
      <c r="N656">
        <v>31.68</v>
      </c>
      <c r="O656">
        <v>65</v>
      </c>
      <c r="P656" s="2">
        <v>46148</v>
      </c>
      <c r="Q656" s="2">
        <v>46152</v>
      </c>
      <c r="R656" t="s">
        <v>25</v>
      </c>
      <c r="S656" t="s">
        <v>26</v>
      </c>
    </row>
    <row r="657" spans="1:19" x14ac:dyDescent="0.25">
      <c r="A657" t="s">
        <v>747</v>
      </c>
      <c r="B657" s="2">
        <v>46202</v>
      </c>
      <c r="C657" t="s">
        <v>80</v>
      </c>
      <c r="D657" t="s">
        <v>21</v>
      </c>
      <c r="E657" t="s">
        <v>90</v>
      </c>
      <c r="F657" t="s">
        <v>85</v>
      </c>
      <c r="G657" t="s">
        <v>57</v>
      </c>
      <c r="H657">
        <v>98</v>
      </c>
      <c r="I657">
        <v>110</v>
      </c>
      <c r="J657">
        <v>6</v>
      </c>
      <c r="K657">
        <v>5.5</v>
      </c>
      <c r="L657">
        <v>25250.43</v>
      </c>
      <c r="M657">
        <v>4.4800000000000004</v>
      </c>
      <c r="N657">
        <v>98.56</v>
      </c>
      <c r="O657">
        <v>68</v>
      </c>
      <c r="P657" s="2">
        <v>46205</v>
      </c>
      <c r="Q657" s="2">
        <v>46203</v>
      </c>
      <c r="R657" t="s">
        <v>100</v>
      </c>
      <c r="S657" t="s">
        <v>86</v>
      </c>
    </row>
    <row r="658" spans="1:19" x14ac:dyDescent="0.25">
      <c r="A658" t="s">
        <v>748</v>
      </c>
      <c r="B658" s="2">
        <v>46133</v>
      </c>
      <c r="C658" t="s">
        <v>53</v>
      </c>
      <c r="D658" t="s">
        <v>54</v>
      </c>
      <c r="E658" t="s">
        <v>131</v>
      </c>
      <c r="F658" t="s">
        <v>119</v>
      </c>
      <c r="G658" t="s">
        <v>57</v>
      </c>
      <c r="H658">
        <v>280</v>
      </c>
      <c r="I658">
        <v>303</v>
      </c>
      <c r="J658">
        <v>28</v>
      </c>
      <c r="K658">
        <v>0.2</v>
      </c>
      <c r="L658">
        <v>39024.949999999997</v>
      </c>
      <c r="M658">
        <v>11.35</v>
      </c>
      <c r="N658">
        <v>295.10000000000002</v>
      </c>
      <c r="O658">
        <v>337</v>
      </c>
      <c r="P658" s="2">
        <v>46145</v>
      </c>
      <c r="Q658" s="2">
        <v>46143</v>
      </c>
      <c r="R658" t="s">
        <v>39</v>
      </c>
      <c r="S658" t="s">
        <v>72</v>
      </c>
    </row>
    <row r="659" spans="1:19" x14ac:dyDescent="0.25">
      <c r="A659" t="s">
        <v>749</v>
      </c>
      <c r="B659" s="2">
        <v>46119</v>
      </c>
      <c r="C659" t="s">
        <v>43</v>
      </c>
      <c r="D659" t="s">
        <v>44</v>
      </c>
      <c r="E659" t="s">
        <v>161</v>
      </c>
      <c r="F659" t="s">
        <v>23</v>
      </c>
      <c r="G659" t="s">
        <v>57</v>
      </c>
      <c r="H659">
        <v>259</v>
      </c>
      <c r="I659">
        <v>234</v>
      </c>
      <c r="J659">
        <v>4</v>
      </c>
      <c r="K659">
        <v>3.9</v>
      </c>
      <c r="L659">
        <v>35478.18</v>
      </c>
      <c r="M659">
        <v>6.28</v>
      </c>
      <c r="N659">
        <v>125.6</v>
      </c>
      <c r="O659">
        <v>306</v>
      </c>
      <c r="P659" s="2">
        <v>46127</v>
      </c>
      <c r="Q659" s="2">
        <v>46125</v>
      </c>
      <c r="R659" t="s">
        <v>25</v>
      </c>
      <c r="S659" t="s">
        <v>26</v>
      </c>
    </row>
    <row r="660" spans="1:19" x14ac:dyDescent="0.25">
      <c r="A660" t="s">
        <v>750</v>
      </c>
      <c r="B660" s="2">
        <v>46025</v>
      </c>
      <c r="C660" t="s">
        <v>28</v>
      </c>
      <c r="D660" t="s">
        <v>29</v>
      </c>
      <c r="E660" t="s">
        <v>95</v>
      </c>
      <c r="F660" t="s">
        <v>74</v>
      </c>
      <c r="G660" t="s">
        <v>57</v>
      </c>
      <c r="H660">
        <v>271</v>
      </c>
      <c r="I660">
        <v>282</v>
      </c>
      <c r="J660">
        <v>21</v>
      </c>
      <c r="K660">
        <v>4.8</v>
      </c>
      <c r="L660">
        <v>58280.3</v>
      </c>
      <c r="M660">
        <v>10.99</v>
      </c>
      <c r="N660">
        <v>219.8</v>
      </c>
      <c r="O660">
        <v>245</v>
      </c>
      <c r="P660" s="2">
        <v>46028</v>
      </c>
      <c r="Q660" s="2">
        <v>46026</v>
      </c>
      <c r="R660" t="s">
        <v>25</v>
      </c>
      <c r="S660" t="s">
        <v>86</v>
      </c>
    </row>
    <row r="661" spans="1:19" x14ac:dyDescent="0.25">
      <c r="A661" t="s">
        <v>751</v>
      </c>
      <c r="B661" s="2">
        <v>46034</v>
      </c>
      <c r="C661" t="s">
        <v>48</v>
      </c>
      <c r="D661" t="s">
        <v>49</v>
      </c>
      <c r="E661" t="s">
        <v>76</v>
      </c>
      <c r="F661" t="s">
        <v>106</v>
      </c>
      <c r="G661" t="s">
        <v>24</v>
      </c>
      <c r="H661">
        <v>234</v>
      </c>
      <c r="I661">
        <v>234</v>
      </c>
      <c r="J661">
        <v>6</v>
      </c>
      <c r="K661">
        <v>2.6</v>
      </c>
      <c r="L661">
        <v>48316.959999999999</v>
      </c>
      <c r="M661">
        <v>4.9000000000000004</v>
      </c>
      <c r="N661">
        <v>88.2</v>
      </c>
      <c r="O661">
        <v>213</v>
      </c>
      <c r="P661" s="2">
        <v>46040</v>
      </c>
      <c r="Q661" s="2">
        <v>46040</v>
      </c>
      <c r="R661" t="s">
        <v>100</v>
      </c>
      <c r="S661" t="s">
        <v>86</v>
      </c>
    </row>
    <row r="662" spans="1:19" x14ac:dyDescent="0.25">
      <c r="A662" t="s">
        <v>752</v>
      </c>
      <c r="B662" s="2">
        <v>46079</v>
      </c>
      <c r="C662" t="s">
        <v>53</v>
      </c>
      <c r="D662" t="s">
        <v>54</v>
      </c>
      <c r="E662" t="s">
        <v>131</v>
      </c>
      <c r="F662" t="s">
        <v>106</v>
      </c>
      <c r="G662" t="s">
        <v>24</v>
      </c>
      <c r="H662">
        <v>173</v>
      </c>
      <c r="I662">
        <v>182</v>
      </c>
      <c r="J662">
        <v>5</v>
      </c>
      <c r="K662">
        <v>5.9</v>
      </c>
      <c r="L662">
        <v>24620.6</v>
      </c>
      <c r="M662">
        <v>6.32</v>
      </c>
      <c r="N662">
        <v>164.32</v>
      </c>
      <c r="O662">
        <v>159</v>
      </c>
      <c r="P662" s="2">
        <v>46081</v>
      </c>
      <c r="Q662" s="2">
        <v>46082</v>
      </c>
      <c r="R662" t="s">
        <v>100</v>
      </c>
      <c r="S662" t="s">
        <v>72</v>
      </c>
    </row>
    <row r="663" spans="1:19" x14ac:dyDescent="0.25">
      <c r="A663" t="s">
        <v>753</v>
      </c>
      <c r="B663" s="2">
        <v>46094</v>
      </c>
      <c r="C663" t="s">
        <v>20</v>
      </c>
      <c r="D663" t="s">
        <v>21</v>
      </c>
      <c r="E663" t="s">
        <v>22</v>
      </c>
      <c r="F663" t="s">
        <v>71</v>
      </c>
      <c r="G663" t="s">
        <v>57</v>
      </c>
      <c r="H663">
        <v>313</v>
      </c>
      <c r="I663">
        <v>243</v>
      </c>
      <c r="J663">
        <v>22</v>
      </c>
      <c r="K663">
        <v>2.1</v>
      </c>
      <c r="L663">
        <v>78924.72</v>
      </c>
      <c r="M663">
        <v>6.55</v>
      </c>
      <c r="N663">
        <v>131</v>
      </c>
      <c r="O663">
        <v>282</v>
      </c>
      <c r="P663" s="2">
        <v>46099</v>
      </c>
      <c r="Q663" s="2">
        <v>46103</v>
      </c>
      <c r="R663" t="s">
        <v>100</v>
      </c>
      <c r="S663" t="s">
        <v>72</v>
      </c>
    </row>
    <row r="664" spans="1:19" x14ac:dyDescent="0.25">
      <c r="A664" t="s">
        <v>754</v>
      </c>
      <c r="B664" s="2">
        <v>46031</v>
      </c>
      <c r="C664" t="s">
        <v>59</v>
      </c>
      <c r="D664" t="s">
        <v>49</v>
      </c>
      <c r="E664" t="s">
        <v>76</v>
      </c>
      <c r="F664" t="s">
        <v>31</v>
      </c>
      <c r="G664" t="s">
        <v>32</v>
      </c>
      <c r="H664">
        <v>230</v>
      </c>
      <c r="I664">
        <v>203</v>
      </c>
      <c r="J664">
        <v>16</v>
      </c>
      <c r="K664">
        <v>0.8</v>
      </c>
      <c r="L664">
        <v>33588.449999999997</v>
      </c>
      <c r="M664">
        <v>6.07</v>
      </c>
      <c r="N664">
        <v>145.68</v>
      </c>
      <c r="O664">
        <v>288</v>
      </c>
      <c r="P664" s="2">
        <v>46040</v>
      </c>
      <c r="Q664" s="2">
        <v>46038</v>
      </c>
      <c r="R664" t="s">
        <v>25</v>
      </c>
      <c r="S664" t="s">
        <v>51</v>
      </c>
    </row>
    <row r="665" spans="1:19" x14ac:dyDescent="0.25">
      <c r="A665" t="s">
        <v>755</v>
      </c>
      <c r="B665" s="2">
        <v>46191</v>
      </c>
      <c r="C665" t="s">
        <v>35</v>
      </c>
      <c r="D665" t="s">
        <v>36</v>
      </c>
      <c r="E665" t="s">
        <v>37</v>
      </c>
      <c r="F665" t="s">
        <v>77</v>
      </c>
      <c r="G665" t="s">
        <v>32</v>
      </c>
      <c r="H665">
        <v>249</v>
      </c>
      <c r="I665">
        <v>211</v>
      </c>
      <c r="J665">
        <v>11</v>
      </c>
      <c r="K665">
        <v>3.1</v>
      </c>
      <c r="L665">
        <v>16581.66</v>
      </c>
      <c r="M665">
        <v>8.32</v>
      </c>
      <c r="N665">
        <v>183.04</v>
      </c>
      <c r="O665">
        <v>264</v>
      </c>
      <c r="P665" s="2">
        <v>46193</v>
      </c>
      <c r="Q665" s="2">
        <v>46194</v>
      </c>
      <c r="R665" t="s">
        <v>39</v>
      </c>
      <c r="S665" t="s">
        <v>33</v>
      </c>
    </row>
    <row r="666" spans="1:19" x14ac:dyDescent="0.25">
      <c r="A666" t="s">
        <v>756</v>
      </c>
      <c r="B666" s="2">
        <v>46050</v>
      </c>
      <c r="C666" t="s">
        <v>35</v>
      </c>
      <c r="D666" t="s">
        <v>36</v>
      </c>
      <c r="E666" t="s">
        <v>69</v>
      </c>
      <c r="F666" t="s">
        <v>122</v>
      </c>
      <c r="G666" t="s">
        <v>24</v>
      </c>
      <c r="H666">
        <v>299</v>
      </c>
      <c r="I666">
        <v>342</v>
      </c>
      <c r="J666">
        <v>18</v>
      </c>
      <c r="K666">
        <v>3.8</v>
      </c>
      <c r="L666">
        <v>36421.620000000003</v>
      </c>
      <c r="M666">
        <v>8.2899999999999991</v>
      </c>
      <c r="N666">
        <v>198.96</v>
      </c>
      <c r="O666">
        <v>378</v>
      </c>
      <c r="P666" s="2">
        <v>46055</v>
      </c>
      <c r="Q666" s="2">
        <v>46055</v>
      </c>
      <c r="R666" t="s">
        <v>25</v>
      </c>
      <c r="S666" t="s">
        <v>86</v>
      </c>
    </row>
    <row r="667" spans="1:19" x14ac:dyDescent="0.25">
      <c r="A667" t="s">
        <v>757</v>
      </c>
      <c r="B667" s="2">
        <v>46044</v>
      </c>
      <c r="C667" t="s">
        <v>28</v>
      </c>
      <c r="D667" t="s">
        <v>29</v>
      </c>
      <c r="E667" t="s">
        <v>30</v>
      </c>
      <c r="F667" t="s">
        <v>41</v>
      </c>
      <c r="G667" t="s">
        <v>32</v>
      </c>
      <c r="H667">
        <v>155</v>
      </c>
      <c r="I667">
        <v>134</v>
      </c>
      <c r="J667">
        <v>5</v>
      </c>
      <c r="K667">
        <v>5.5</v>
      </c>
      <c r="L667">
        <v>30348.01</v>
      </c>
      <c r="M667">
        <v>4.93</v>
      </c>
      <c r="N667">
        <v>128.18</v>
      </c>
      <c r="O667">
        <v>118</v>
      </c>
      <c r="P667" s="2">
        <v>46047</v>
      </c>
      <c r="Q667" s="2">
        <v>46047</v>
      </c>
      <c r="R667" t="s">
        <v>39</v>
      </c>
      <c r="S667" t="s">
        <v>86</v>
      </c>
    </row>
    <row r="668" spans="1:19" x14ac:dyDescent="0.25">
      <c r="A668" t="s">
        <v>758</v>
      </c>
      <c r="B668" s="2">
        <v>46068</v>
      </c>
      <c r="C668" t="s">
        <v>53</v>
      </c>
      <c r="D668" t="s">
        <v>54</v>
      </c>
      <c r="E668" t="s">
        <v>131</v>
      </c>
      <c r="F668" t="s">
        <v>74</v>
      </c>
      <c r="G668" t="s">
        <v>57</v>
      </c>
      <c r="H668">
        <v>84</v>
      </c>
      <c r="I668">
        <v>76</v>
      </c>
      <c r="J668">
        <v>3</v>
      </c>
      <c r="K668">
        <v>8.6999999999999993</v>
      </c>
      <c r="L668">
        <v>11774.95</v>
      </c>
      <c r="M668">
        <v>1.77</v>
      </c>
      <c r="N668">
        <v>31.86</v>
      </c>
      <c r="O668">
        <v>70</v>
      </c>
      <c r="P668" s="2">
        <v>46074</v>
      </c>
      <c r="Q668" s="2">
        <v>46075</v>
      </c>
      <c r="R668" t="s">
        <v>25</v>
      </c>
      <c r="S668" t="s">
        <v>86</v>
      </c>
    </row>
    <row r="669" spans="1:19" x14ac:dyDescent="0.25">
      <c r="A669" t="s">
        <v>759</v>
      </c>
      <c r="B669" s="2">
        <v>46093</v>
      </c>
      <c r="C669" t="s">
        <v>59</v>
      </c>
      <c r="D669" t="s">
        <v>49</v>
      </c>
      <c r="E669" t="s">
        <v>76</v>
      </c>
      <c r="F669" t="s">
        <v>137</v>
      </c>
      <c r="G669" t="s">
        <v>24</v>
      </c>
      <c r="H669">
        <v>112</v>
      </c>
      <c r="I669">
        <v>91</v>
      </c>
      <c r="J669">
        <v>1</v>
      </c>
      <c r="K669">
        <v>7.8</v>
      </c>
      <c r="L669">
        <v>15582.04</v>
      </c>
      <c r="M669">
        <v>3.07</v>
      </c>
      <c r="N669">
        <v>61.4</v>
      </c>
      <c r="O669">
        <v>201</v>
      </c>
      <c r="P669" s="2">
        <v>46102</v>
      </c>
      <c r="Q669" s="2">
        <v>46103</v>
      </c>
      <c r="R669" t="s">
        <v>25</v>
      </c>
      <c r="S669" t="s">
        <v>51</v>
      </c>
    </row>
    <row r="670" spans="1:19" x14ac:dyDescent="0.25">
      <c r="A670" t="s">
        <v>760</v>
      </c>
      <c r="B670" s="2">
        <v>46038</v>
      </c>
      <c r="C670" t="s">
        <v>59</v>
      </c>
      <c r="D670" t="s">
        <v>49</v>
      </c>
      <c r="E670" t="s">
        <v>76</v>
      </c>
      <c r="F670" t="s">
        <v>88</v>
      </c>
      <c r="G670" t="s">
        <v>57</v>
      </c>
      <c r="H670">
        <v>84</v>
      </c>
      <c r="I670">
        <v>84</v>
      </c>
      <c r="J670">
        <v>6</v>
      </c>
      <c r="K670">
        <v>3.2</v>
      </c>
      <c r="L670">
        <v>16247.39</v>
      </c>
      <c r="M670">
        <v>2.2200000000000002</v>
      </c>
      <c r="N670">
        <v>39.96</v>
      </c>
      <c r="O670">
        <v>179</v>
      </c>
      <c r="P670" s="2">
        <v>46047</v>
      </c>
      <c r="Q670" s="2">
        <v>46046</v>
      </c>
      <c r="R670" t="s">
        <v>39</v>
      </c>
      <c r="S670" t="s">
        <v>51</v>
      </c>
    </row>
    <row r="671" spans="1:19" x14ac:dyDescent="0.25">
      <c r="A671" t="s">
        <v>761</v>
      </c>
      <c r="B671" s="2">
        <v>46106</v>
      </c>
      <c r="C671" t="s">
        <v>48</v>
      </c>
      <c r="D671" t="s">
        <v>49</v>
      </c>
      <c r="E671" t="s">
        <v>60</v>
      </c>
      <c r="F671" t="s">
        <v>135</v>
      </c>
      <c r="G671" t="s">
        <v>57</v>
      </c>
      <c r="H671">
        <v>186</v>
      </c>
      <c r="I671">
        <v>139</v>
      </c>
      <c r="J671">
        <v>6</v>
      </c>
      <c r="K671">
        <v>2.5</v>
      </c>
      <c r="L671">
        <v>23705.99</v>
      </c>
      <c r="M671">
        <v>3.7</v>
      </c>
      <c r="N671">
        <v>88.8</v>
      </c>
      <c r="O671">
        <v>241</v>
      </c>
      <c r="P671" s="2">
        <v>46115</v>
      </c>
      <c r="Q671" s="2">
        <v>46115</v>
      </c>
      <c r="R671" t="s">
        <v>39</v>
      </c>
      <c r="S671" t="s">
        <v>86</v>
      </c>
    </row>
    <row r="672" spans="1:19" x14ac:dyDescent="0.25">
      <c r="A672" t="s">
        <v>762</v>
      </c>
      <c r="B672" s="2">
        <v>46034</v>
      </c>
      <c r="C672" t="s">
        <v>59</v>
      </c>
      <c r="D672" t="s">
        <v>49</v>
      </c>
      <c r="E672" t="s">
        <v>50</v>
      </c>
      <c r="F672" t="s">
        <v>64</v>
      </c>
      <c r="G672" t="s">
        <v>24</v>
      </c>
      <c r="H672">
        <v>313</v>
      </c>
      <c r="I672">
        <v>304</v>
      </c>
      <c r="J672">
        <v>4</v>
      </c>
      <c r="K672">
        <v>1.9</v>
      </c>
      <c r="L672">
        <v>52374.45</v>
      </c>
      <c r="M672">
        <v>10.89</v>
      </c>
      <c r="N672">
        <v>283.14</v>
      </c>
      <c r="O672">
        <v>361</v>
      </c>
      <c r="P672" s="2">
        <v>46039</v>
      </c>
      <c r="Q672" s="2">
        <v>46041</v>
      </c>
      <c r="R672" t="s">
        <v>39</v>
      </c>
      <c r="S672" t="s">
        <v>51</v>
      </c>
    </row>
    <row r="673" spans="1:19" x14ac:dyDescent="0.25">
      <c r="A673" t="s">
        <v>763</v>
      </c>
      <c r="B673" s="2">
        <v>46120</v>
      </c>
      <c r="C673" t="s">
        <v>20</v>
      </c>
      <c r="D673" t="s">
        <v>21</v>
      </c>
      <c r="E673" t="s">
        <v>22</v>
      </c>
      <c r="F673" t="s">
        <v>85</v>
      </c>
      <c r="G673" t="s">
        <v>32</v>
      </c>
      <c r="H673">
        <v>319</v>
      </c>
      <c r="I673">
        <v>365</v>
      </c>
      <c r="J673">
        <v>20</v>
      </c>
      <c r="K673">
        <v>9</v>
      </c>
      <c r="L673">
        <v>131501.91</v>
      </c>
      <c r="M673">
        <v>11.29</v>
      </c>
      <c r="N673">
        <v>203.22</v>
      </c>
      <c r="O673">
        <v>414</v>
      </c>
      <c r="P673" s="2">
        <v>46122</v>
      </c>
      <c r="Q673" s="2">
        <v>46126</v>
      </c>
      <c r="R673" t="s">
        <v>39</v>
      </c>
      <c r="S673" t="s">
        <v>86</v>
      </c>
    </row>
    <row r="674" spans="1:19" x14ac:dyDescent="0.25">
      <c r="A674" t="s">
        <v>764</v>
      </c>
      <c r="B674" s="2">
        <v>46091</v>
      </c>
      <c r="C674" t="s">
        <v>28</v>
      </c>
      <c r="D674" t="s">
        <v>29</v>
      </c>
      <c r="E674" t="s">
        <v>30</v>
      </c>
      <c r="F674" t="s">
        <v>88</v>
      </c>
      <c r="G674" t="s">
        <v>32</v>
      </c>
      <c r="H674">
        <v>155</v>
      </c>
      <c r="I674">
        <v>172</v>
      </c>
      <c r="J674">
        <v>5</v>
      </c>
      <c r="K674">
        <v>7.2</v>
      </c>
      <c r="L674">
        <v>42758.14</v>
      </c>
      <c r="M674">
        <v>4.4000000000000004</v>
      </c>
      <c r="N674">
        <v>79.2</v>
      </c>
      <c r="O674">
        <v>176</v>
      </c>
      <c r="P674" s="2">
        <v>46100</v>
      </c>
      <c r="Q674" s="2">
        <v>46102</v>
      </c>
      <c r="R674" t="s">
        <v>25</v>
      </c>
      <c r="S674" t="s">
        <v>26</v>
      </c>
    </row>
    <row r="675" spans="1:19" x14ac:dyDescent="0.25">
      <c r="A675" t="s">
        <v>765</v>
      </c>
      <c r="B675" s="2">
        <v>46152</v>
      </c>
      <c r="C675" t="s">
        <v>20</v>
      </c>
      <c r="D675" t="s">
        <v>21</v>
      </c>
      <c r="E675" t="s">
        <v>90</v>
      </c>
      <c r="F675" t="s">
        <v>122</v>
      </c>
      <c r="G675" t="s">
        <v>32</v>
      </c>
      <c r="H675">
        <v>247</v>
      </c>
      <c r="I675">
        <v>229</v>
      </c>
      <c r="J675">
        <v>5</v>
      </c>
      <c r="K675">
        <v>7.1</v>
      </c>
      <c r="L675">
        <v>72822.28</v>
      </c>
      <c r="M675">
        <v>9.5500000000000007</v>
      </c>
      <c r="N675">
        <v>248.3</v>
      </c>
      <c r="O675">
        <v>269</v>
      </c>
      <c r="P675" s="2">
        <v>46160</v>
      </c>
      <c r="Q675" s="2">
        <v>46160</v>
      </c>
      <c r="R675" t="s">
        <v>39</v>
      </c>
      <c r="S675" t="s">
        <v>86</v>
      </c>
    </row>
    <row r="676" spans="1:19" x14ac:dyDescent="0.25">
      <c r="A676" t="s">
        <v>766</v>
      </c>
      <c r="B676" s="2">
        <v>46103</v>
      </c>
      <c r="C676" t="s">
        <v>20</v>
      </c>
      <c r="D676" t="s">
        <v>21</v>
      </c>
      <c r="E676" t="s">
        <v>22</v>
      </c>
      <c r="F676" t="s">
        <v>122</v>
      </c>
      <c r="G676" t="s">
        <v>24</v>
      </c>
      <c r="H676">
        <v>184</v>
      </c>
      <c r="I676">
        <v>165</v>
      </c>
      <c r="J676">
        <v>15</v>
      </c>
      <c r="K676">
        <v>5.2</v>
      </c>
      <c r="L676">
        <v>60073.16</v>
      </c>
      <c r="M676">
        <v>6.53</v>
      </c>
      <c r="N676">
        <v>156.72</v>
      </c>
      <c r="O676">
        <v>147</v>
      </c>
      <c r="P676" s="2">
        <v>46107</v>
      </c>
      <c r="Q676" s="2">
        <v>46106</v>
      </c>
      <c r="R676" t="s">
        <v>100</v>
      </c>
      <c r="S676" t="s">
        <v>72</v>
      </c>
    </row>
    <row r="677" spans="1:19" x14ac:dyDescent="0.25">
      <c r="A677" t="s">
        <v>767</v>
      </c>
      <c r="B677" s="2">
        <v>46048</v>
      </c>
      <c r="C677" t="s">
        <v>43</v>
      </c>
      <c r="D677" t="s">
        <v>44</v>
      </c>
      <c r="E677" t="s">
        <v>93</v>
      </c>
      <c r="F677" t="s">
        <v>23</v>
      </c>
      <c r="G677" t="s">
        <v>24</v>
      </c>
      <c r="H677">
        <v>293</v>
      </c>
      <c r="I677">
        <v>265</v>
      </c>
      <c r="J677">
        <v>17</v>
      </c>
      <c r="K677">
        <v>8.9</v>
      </c>
      <c r="L677">
        <v>29663.9</v>
      </c>
      <c r="M677">
        <v>10.61</v>
      </c>
      <c r="N677">
        <v>254.64</v>
      </c>
      <c r="O677">
        <v>343</v>
      </c>
      <c r="P677" s="2">
        <v>46052</v>
      </c>
      <c r="Q677" s="2">
        <v>46054</v>
      </c>
      <c r="R677" t="s">
        <v>39</v>
      </c>
      <c r="S677" t="s">
        <v>86</v>
      </c>
    </row>
    <row r="678" spans="1:19" x14ac:dyDescent="0.25">
      <c r="A678" t="s">
        <v>768</v>
      </c>
      <c r="B678" s="2">
        <v>46053</v>
      </c>
      <c r="C678" t="s">
        <v>48</v>
      </c>
      <c r="D678" t="s">
        <v>49</v>
      </c>
      <c r="E678" t="s">
        <v>76</v>
      </c>
      <c r="F678" t="s">
        <v>106</v>
      </c>
      <c r="G678" t="s">
        <v>57</v>
      </c>
      <c r="H678">
        <v>231</v>
      </c>
      <c r="I678">
        <v>226</v>
      </c>
      <c r="J678">
        <v>3</v>
      </c>
      <c r="K678">
        <v>6.5</v>
      </c>
      <c r="L678">
        <v>42579.29</v>
      </c>
      <c r="M678">
        <v>9.2200000000000006</v>
      </c>
      <c r="N678">
        <v>221.28</v>
      </c>
      <c r="O678">
        <v>306</v>
      </c>
      <c r="P678" s="2">
        <v>46061</v>
      </c>
      <c r="Q678" s="2">
        <v>46061</v>
      </c>
      <c r="R678" t="s">
        <v>100</v>
      </c>
      <c r="S678" t="s">
        <v>51</v>
      </c>
    </row>
    <row r="679" spans="1:19" x14ac:dyDescent="0.25">
      <c r="A679" t="s">
        <v>769</v>
      </c>
      <c r="B679" s="2">
        <v>46173</v>
      </c>
      <c r="C679" t="s">
        <v>20</v>
      </c>
      <c r="D679" t="s">
        <v>21</v>
      </c>
      <c r="E679" t="s">
        <v>22</v>
      </c>
      <c r="F679" t="s">
        <v>119</v>
      </c>
      <c r="G679" t="s">
        <v>32</v>
      </c>
      <c r="H679">
        <v>309</v>
      </c>
      <c r="I679">
        <v>223</v>
      </c>
      <c r="J679">
        <v>13</v>
      </c>
      <c r="K679">
        <v>6.1</v>
      </c>
      <c r="L679">
        <v>67596.710000000006</v>
      </c>
      <c r="M679">
        <v>4.96</v>
      </c>
      <c r="N679">
        <v>128.96</v>
      </c>
      <c r="O679">
        <v>340</v>
      </c>
      <c r="P679" s="2">
        <v>46176</v>
      </c>
      <c r="Q679" s="2">
        <v>46176</v>
      </c>
      <c r="R679" t="s">
        <v>25</v>
      </c>
      <c r="S679" t="s">
        <v>33</v>
      </c>
    </row>
    <row r="680" spans="1:19" x14ac:dyDescent="0.25">
      <c r="A680" t="s">
        <v>770</v>
      </c>
      <c r="B680" s="2">
        <v>46167</v>
      </c>
      <c r="C680" t="s">
        <v>35</v>
      </c>
      <c r="D680" t="s">
        <v>36</v>
      </c>
      <c r="E680" t="s">
        <v>69</v>
      </c>
      <c r="F680" t="s">
        <v>38</v>
      </c>
      <c r="G680" t="s">
        <v>24</v>
      </c>
      <c r="H680">
        <v>162</v>
      </c>
      <c r="I680">
        <v>143</v>
      </c>
      <c r="J680">
        <v>10</v>
      </c>
      <c r="K680">
        <v>8.6</v>
      </c>
      <c r="L680">
        <v>12305.57</v>
      </c>
      <c r="M680">
        <v>5.6</v>
      </c>
      <c r="N680">
        <v>112</v>
      </c>
      <c r="O680">
        <v>232</v>
      </c>
      <c r="P680" s="2">
        <v>46177</v>
      </c>
      <c r="Q680" s="2">
        <v>46177</v>
      </c>
      <c r="R680" t="s">
        <v>39</v>
      </c>
      <c r="S680" t="s">
        <v>86</v>
      </c>
    </row>
    <row r="681" spans="1:19" x14ac:dyDescent="0.25">
      <c r="A681" t="s">
        <v>771</v>
      </c>
      <c r="B681" s="2">
        <v>46048</v>
      </c>
      <c r="C681" t="s">
        <v>48</v>
      </c>
      <c r="D681" t="s">
        <v>49</v>
      </c>
      <c r="E681" t="s">
        <v>76</v>
      </c>
      <c r="F681" t="s">
        <v>71</v>
      </c>
      <c r="G681" t="s">
        <v>57</v>
      </c>
      <c r="H681">
        <v>122</v>
      </c>
      <c r="I681">
        <v>94</v>
      </c>
      <c r="J681">
        <v>2</v>
      </c>
      <c r="K681">
        <v>4</v>
      </c>
      <c r="L681">
        <v>20198.28</v>
      </c>
      <c r="M681">
        <v>3.76</v>
      </c>
      <c r="N681">
        <v>97.76</v>
      </c>
      <c r="O681">
        <v>109</v>
      </c>
      <c r="P681" s="2">
        <v>46053</v>
      </c>
      <c r="Q681" s="2">
        <v>46053</v>
      </c>
      <c r="R681" t="s">
        <v>25</v>
      </c>
      <c r="S681" t="s">
        <v>26</v>
      </c>
    </row>
    <row r="682" spans="1:19" x14ac:dyDescent="0.25">
      <c r="A682" t="s">
        <v>772</v>
      </c>
      <c r="B682" s="2">
        <v>46153</v>
      </c>
      <c r="C682" t="s">
        <v>43</v>
      </c>
      <c r="D682" t="s">
        <v>44</v>
      </c>
      <c r="E682" t="s">
        <v>93</v>
      </c>
      <c r="F682" t="s">
        <v>77</v>
      </c>
      <c r="G682" t="s">
        <v>24</v>
      </c>
      <c r="H682">
        <v>233</v>
      </c>
      <c r="I682">
        <v>258</v>
      </c>
      <c r="J682">
        <v>23</v>
      </c>
      <c r="K682">
        <v>4.9000000000000004</v>
      </c>
      <c r="L682">
        <v>29137.040000000001</v>
      </c>
      <c r="M682">
        <v>9.8000000000000007</v>
      </c>
      <c r="N682">
        <v>176.4</v>
      </c>
      <c r="O682">
        <v>287</v>
      </c>
      <c r="P682" s="2">
        <v>46158</v>
      </c>
      <c r="Q682" s="2">
        <v>46158</v>
      </c>
      <c r="R682" t="s">
        <v>39</v>
      </c>
      <c r="S682" t="s">
        <v>72</v>
      </c>
    </row>
    <row r="683" spans="1:19" x14ac:dyDescent="0.25">
      <c r="A683" t="s">
        <v>773</v>
      </c>
      <c r="B683" s="2">
        <v>46156</v>
      </c>
      <c r="C683" t="s">
        <v>43</v>
      </c>
      <c r="D683" t="s">
        <v>44</v>
      </c>
      <c r="E683" t="s">
        <v>161</v>
      </c>
      <c r="F683" t="s">
        <v>83</v>
      </c>
      <c r="G683" t="s">
        <v>57</v>
      </c>
      <c r="H683">
        <v>155</v>
      </c>
      <c r="I683">
        <v>172</v>
      </c>
      <c r="J683">
        <v>11</v>
      </c>
      <c r="K683">
        <v>8.3000000000000007</v>
      </c>
      <c r="L683">
        <v>19256.919999999998</v>
      </c>
      <c r="M683">
        <v>5.13</v>
      </c>
      <c r="N683">
        <v>92.34</v>
      </c>
      <c r="O683">
        <v>150</v>
      </c>
      <c r="P683" s="2">
        <v>46162</v>
      </c>
      <c r="Q683" s="2">
        <v>46161</v>
      </c>
      <c r="R683" t="s">
        <v>25</v>
      </c>
      <c r="S683" t="s">
        <v>51</v>
      </c>
    </row>
    <row r="684" spans="1:19" x14ac:dyDescent="0.25">
      <c r="A684" t="s">
        <v>774</v>
      </c>
      <c r="B684" s="2">
        <v>46042</v>
      </c>
      <c r="C684" t="s">
        <v>48</v>
      </c>
      <c r="D684" t="s">
        <v>49</v>
      </c>
      <c r="E684" t="s">
        <v>50</v>
      </c>
      <c r="F684" t="s">
        <v>61</v>
      </c>
      <c r="G684" t="s">
        <v>24</v>
      </c>
      <c r="H684">
        <v>209</v>
      </c>
      <c r="I684">
        <v>180</v>
      </c>
      <c r="J684">
        <v>8</v>
      </c>
      <c r="K684">
        <v>6.6</v>
      </c>
      <c r="L684">
        <v>33875.269999999997</v>
      </c>
      <c r="M684">
        <v>6.21</v>
      </c>
      <c r="N684">
        <v>111.78</v>
      </c>
      <c r="O684">
        <v>279</v>
      </c>
      <c r="P684" s="2">
        <v>46045</v>
      </c>
      <c r="Q684" s="2">
        <v>46046</v>
      </c>
      <c r="R684" t="s">
        <v>25</v>
      </c>
      <c r="S684" t="s">
        <v>33</v>
      </c>
    </row>
    <row r="685" spans="1:19" x14ac:dyDescent="0.25">
      <c r="A685" t="s">
        <v>775</v>
      </c>
      <c r="B685" s="2">
        <v>46185</v>
      </c>
      <c r="C685" t="s">
        <v>80</v>
      </c>
      <c r="D685" t="s">
        <v>21</v>
      </c>
      <c r="E685" t="s">
        <v>22</v>
      </c>
      <c r="F685" t="s">
        <v>110</v>
      </c>
      <c r="G685" t="s">
        <v>57</v>
      </c>
      <c r="H685">
        <v>115</v>
      </c>
      <c r="I685">
        <v>111</v>
      </c>
      <c r="J685">
        <v>9</v>
      </c>
      <c r="K685">
        <v>2</v>
      </c>
      <c r="L685">
        <v>26149.54</v>
      </c>
      <c r="M685">
        <v>3.29</v>
      </c>
      <c r="N685">
        <v>65.8</v>
      </c>
      <c r="O685">
        <v>202</v>
      </c>
      <c r="P685" s="2">
        <v>46191</v>
      </c>
      <c r="Q685" s="2">
        <v>46191</v>
      </c>
      <c r="R685" t="s">
        <v>25</v>
      </c>
      <c r="S685" t="s">
        <v>26</v>
      </c>
    </row>
    <row r="686" spans="1:19" x14ac:dyDescent="0.25">
      <c r="A686" t="s">
        <v>776</v>
      </c>
      <c r="B686" s="2">
        <v>46077</v>
      </c>
      <c r="C686" t="s">
        <v>80</v>
      </c>
      <c r="D686" t="s">
        <v>21</v>
      </c>
      <c r="E686" t="s">
        <v>90</v>
      </c>
      <c r="F686" t="s">
        <v>85</v>
      </c>
      <c r="G686" t="s">
        <v>24</v>
      </c>
      <c r="H686">
        <v>97</v>
      </c>
      <c r="I686">
        <v>90</v>
      </c>
      <c r="J686">
        <v>5</v>
      </c>
      <c r="K686">
        <v>6.4</v>
      </c>
      <c r="L686">
        <v>21025.26</v>
      </c>
      <c r="M686">
        <v>2.94</v>
      </c>
      <c r="N686">
        <v>76.44</v>
      </c>
      <c r="O686">
        <v>117</v>
      </c>
      <c r="P686" s="2">
        <v>46089</v>
      </c>
      <c r="Q686" s="2">
        <v>46090</v>
      </c>
      <c r="R686" t="s">
        <v>100</v>
      </c>
      <c r="S686" t="s">
        <v>51</v>
      </c>
    </row>
    <row r="687" spans="1:19" x14ac:dyDescent="0.25">
      <c r="A687" t="s">
        <v>777</v>
      </c>
      <c r="B687" s="2">
        <v>46099</v>
      </c>
      <c r="C687" t="s">
        <v>28</v>
      </c>
      <c r="D687" t="s">
        <v>29</v>
      </c>
      <c r="E687" t="s">
        <v>95</v>
      </c>
      <c r="F687" t="s">
        <v>23</v>
      </c>
      <c r="G687" t="s">
        <v>24</v>
      </c>
      <c r="H687">
        <v>251</v>
      </c>
      <c r="I687">
        <v>233</v>
      </c>
      <c r="J687">
        <v>17</v>
      </c>
      <c r="K687">
        <v>3.5</v>
      </c>
      <c r="L687">
        <v>50266.68</v>
      </c>
      <c r="M687">
        <v>4.7300000000000004</v>
      </c>
      <c r="N687">
        <v>85.14</v>
      </c>
      <c r="O687">
        <v>284</v>
      </c>
      <c r="P687" s="2">
        <v>46107</v>
      </c>
      <c r="Q687" s="2">
        <v>46111</v>
      </c>
      <c r="R687" t="s">
        <v>25</v>
      </c>
      <c r="S687" t="s">
        <v>72</v>
      </c>
    </row>
    <row r="688" spans="1:19" x14ac:dyDescent="0.25">
      <c r="A688" t="s">
        <v>778</v>
      </c>
      <c r="B688" s="2">
        <v>46052</v>
      </c>
      <c r="C688" t="s">
        <v>43</v>
      </c>
      <c r="D688" t="s">
        <v>44</v>
      </c>
      <c r="E688" t="s">
        <v>161</v>
      </c>
      <c r="F688" t="s">
        <v>125</v>
      </c>
      <c r="G688" t="s">
        <v>32</v>
      </c>
      <c r="H688">
        <v>161</v>
      </c>
      <c r="I688">
        <v>161</v>
      </c>
      <c r="J688">
        <v>5</v>
      </c>
      <c r="K688">
        <v>3.6</v>
      </c>
      <c r="L688">
        <v>18056.97</v>
      </c>
      <c r="M688">
        <v>6.14</v>
      </c>
      <c r="N688">
        <v>147.36000000000001</v>
      </c>
      <c r="O688">
        <v>226</v>
      </c>
      <c r="P688" s="2">
        <v>46064</v>
      </c>
      <c r="Q688" s="2">
        <v>46064</v>
      </c>
      <c r="R688" t="s">
        <v>25</v>
      </c>
      <c r="S688" t="s">
        <v>26</v>
      </c>
    </row>
    <row r="689" spans="1:19" x14ac:dyDescent="0.25">
      <c r="A689" t="s">
        <v>779</v>
      </c>
      <c r="B689" s="2">
        <v>46078</v>
      </c>
      <c r="C689" t="s">
        <v>35</v>
      </c>
      <c r="D689" t="s">
        <v>36</v>
      </c>
      <c r="E689" t="s">
        <v>37</v>
      </c>
      <c r="F689" t="s">
        <v>110</v>
      </c>
      <c r="G689" t="s">
        <v>57</v>
      </c>
      <c r="H689">
        <v>223</v>
      </c>
      <c r="I689">
        <v>234</v>
      </c>
      <c r="J689">
        <v>6</v>
      </c>
      <c r="K689">
        <v>2.9</v>
      </c>
      <c r="L689">
        <v>20381.3</v>
      </c>
      <c r="M689">
        <v>6.45</v>
      </c>
      <c r="N689">
        <v>116.1</v>
      </c>
      <c r="O689">
        <v>251</v>
      </c>
      <c r="P689" s="2">
        <v>46087</v>
      </c>
      <c r="Q689" s="2">
        <v>46087</v>
      </c>
      <c r="R689" t="s">
        <v>25</v>
      </c>
      <c r="S689" t="s">
        <v>86</v>
      </c>
    </row>
    <row r="690" spans="1:19" x14ac:dyDescent="0.25">
      <c r="A690" t="s">
        <v>780</v>
      </c>
      <c r="B690" s="2">
        <v>46137</v>
      </c>
      <c r="C690" t="s">
        <v>35</v>
      </c>
      <c r="D690" t="s">
        <v>36</v>
      </c>
      <c r="E690" t="s">
        <v>37</v>
      </c>
      <c r="F690" t="s">
        <v>88</v>
      </c>
      <c r="G690" t="s">
        <v>24</v>
      </c>
      <c r="H690">
        <v>226</v>
      </c>
      <c r="I690">
        <v>247</v>
      </c>
      <c r="J690">
        <v>13</v>
      </c>
      <c r="K690">
        <v>7</v>
      </c>
      <c r="L690">
        <v>22003.1</v>
      </c>
      <c r="M690">
        <v>8.07</v>
      </c>
      <c r="N690">
        <v>161.4</v>
      </c>
      <c r="O690">
        <v>324</v>
      </c>
      <c r="P690" s="2">
        <v>46139</v>
      </c>
      <c r="Q690" s="2">
        <v>46137</v>
      </c>
      <c r="R690" t="s">
        <v>100</v>
      </c>
      <c r="S690" t="s">
        <v>86</v>
      </c>
    </row>
    <row r="691" spans="1:19" x14ac:dyDescent="0.25">
      <c r="A691" t="s">
        <v>781</v>
      </c>
      <c r="B691" s="2">
        <v>46113</v>
      </c>
      <c r="C691" t="s">
        <v>20</v>
      </c>
      <c r="D691" t="s">
        <v>21</v>
      </c>
      <c r="E691" t="s">
        <v>66</v>
      </c>
      <c r="F691" t="s">
        <v>77</v>
      </c>
      <c r="G691" t="s">
        <v>57</v>
      </c>
      <c r="H691">
        <v>92</v>
      </c>
      <c r="I691">
        <v>86</v>
      </c>
      <c r="J691">
        <v>3</v>
      </c>
      <c r="K691">
        <v>1.8</v>
      </c>
      <c r="L691">
        <v>24645.279999999999</v>
      </c>
      <c r="M691">
        <v>3.32</v>
      </c>
      <c r="N691">
        <v>66.400000000000006</v>
      </c>
      <c r="O691">
        <v>126</v>
      </c>
      <c r="P691" s="2">
        <v>46117</v>
      </c>
      <c r="Q691" s="2">
        <v>46118</v>
      </c>
      <c r="R691" t="s">
        <v>25</v>
      </c>
      <c r="S691" t="s">
        <v>26</v>
      </c>
    </row>
    <row r="692" spans="1:19" x14ac:dyDescent="0.25">
      <c r="A692" t="s">
        <v>782</v>
      </c>
      <c r="B692" s="2">
        <v>46086</v>
      </c>
      <c r="C692" t="s">
        <v>80</v>
      </c>
      <c r="D692" t="s">
        <v>21</v>
      </c>
      <c r="E692" t="s">
        <v>22</v>
      </c>
      <c r="F692" t="s">
        <v>122</v>
      </c>
      <c r="G692" t="s">
        <v>24</v>
      </c>
      <c r="H692">
        <v>296</v>
      </c>
      <c r="I692">
        <v>215</v>
      </c>
      <c r="J692">
        <v>19</v>
      </c>
      <c r="K692">
        <v>0.9</v>
      </c>
      <c r="L692">
        <v>55010.38</v>
      </c>
      <c r="M692">
        <v>4.68</v>
      </c>
      <c r="N692">
        <v>102.96</v>
      </c>
      <c r="O692">
        <v>262</v>
      </c>
      <c r="P692" s="2">
        <v>46091</v>
      </c>
      <c r="Q692" s="2">
        <v>46091</v>
      </c>
      <c r="R692" t="s">
        <v>25</v>
      </c>
      <c r="S692" t="s">
        <v>33</v>
      </c>
    </row>
    <row r="693" spans="1:19" x14ac:dyDescent="0.25">
      <c r="A693" t="s">
        <v>783</v>
      </c>
      <c r="B693" s="2">
        <v>46119</v>
      </c>
      <c r="C693" t="s">
        <v>35</v>
      </c>
      <c r="D693" t="s">
        <v>36</v>
      </c>
      <c r="E693" t="s">
        <v>37</v>
      </c>
      <c r="F693" t="s">
        <v>112</v>
      </c>
      <c r="G693" t="s">
        <v>24</v>
      </c>
      <c r="H693">
        <v>289</v>
      </c>
      <c r="I693">
        <v>300</v>
      </c>
      <c r="J693">
        <v>8</v>
      </c>
      <c r="K693">
        <v>0.8</v>
      </c>
      <c r="L693">
        <v>24775.78</v>
      </c>
      <c r="M693">
        <v>10.89</v>
      </c>
      <c r="N693">
        <v>261.36</v>
      </c>
      <c r="O693">
        <v>254</v>
      </c>
      <c r="P693" s="2">
        <v>46121</v>
      </c>
      <c r="Q693" s="2">
        <v>46121</v>
      </c>
      <c r="R693" t="s">
        <v>25</v>
      </c>
      <c r="S693" t="s">
        <v>72</v>
      </c>
    </row>
    <row r="694" spans="1:19" x14ac:dyDescent="0.25">
      <c r="A694" t="s">
        <v>784</v>
      </c>
      <c r="B694" s="2">
        <v>46072</v>
      </c>
      <c r="C694" t="s">
        <v>59</v>
      </c>
      <c r="D694" t="s">
        <v>49</v>
      </c>
      <c r="E694" t="s">
        <v>76</v>
      </c>
      <c r="F694" t="s">
        <v>23</v>
      </c>
      <c r="G694" t="s">
        <v>32</v>
      </c>
      <c r="H694">
        <v>188</v>
      </c>
      <c r="I694">
        <v>176</v>
      </c>
      <c r="J694">
        <v>1</v>
      </c>
      <c r="K694">
        <v>2.5</v>
      </c>
      <c r="L694">
        <v>25712.26</v>
      </c>
      <c r="M694">
        <v>5.94</v>
      </c>
      <c r="N694">
        <v>142.56</v>
      </c>
      <c r="O694">
        <v>244</v>
      </c>
      <c r="P694" s="2">
        <v>46078</v>
      </c>
      <c r="Q694" s="2">
        <v>46080</v>
      </c>
      <c r="R694" t="s">
        <v>25</v>
      </c>
      <c r="S694" t="s">
        <v>26</v>
      </c>
    </row>
    <row r="695" spans="1:19" x14ac:dyDescent="0.25">
      <c r="A695" t="s">
        <v>785</v>
      </c>
      <c r="B695" s="2">
        <v>46094</v>
      </c>
      <c r="C695" t="s">
        <v>53</v>
      </c>
      <c r="D695" t="s">
        <v>54</v>
      </c>
      <c r="E695" t="s">
        <v>131</v>
      </c>
      <c r="F695" t="s">
        <v>135</v>
      </c>
      <c r="G695" t="s">
        <v>32</v>
      </c>
      <c r="H695">
        <v>312</v>
      </c>
      <c r="I695">
        <v>318</v>
      </c>
      <c r="J695">
        <v>16</v>
      </c>
      <c r="K695">
        <v>3.4</v>
      </c>
      <c r="L695">
        <v>56759.73</v>
      </c>
      <c r="M695">
        <v>12.99</v>
      </c>
      <c r="N695">
        <v>337.74</v>
      </c>
      <c r="O695">
        <v>299</v>
      </c>
      <c r="P695" s="2">
        <v>46103</v>
      </c>
      <c r="Q695" s="2">
        <v>46103</v>
      </c>
      <c r="R695" t="s">
        <v>39</v>
      </c>
      <c r="S695" t="s">
        <v>51</v>
      </c>
    </row>
    <row r="696" spans="1:19" x14ac:dyDescent="0.25">
      <c r="A696" t="s">
        <v>786</v>
      </c>
      <c r="B696" s="2">
        <v>46137</v>
      </c>
      <c r="C696" t="s">
        <v>48</v>
      </c>
      <c r="D696" t="s">
        <v>49</v>
      </c>
      <c r="E696" t="s">
        <v>76</v>
      </c>
      <c r="F696" t="s">
        <v>170</v>
      </c>
      <c r="G696" t="s">
        <v>32</v>
      </c>
      <c r="H696">
        <v>224</v>
      </c>
      <c r="I696">
        <v>171</v>
      </c>
      <c r="J696">
        <v>5</v>
      </c>
      <c r="K696">
        <v>1.3</v>
      </c>
      <c r="L696">
        <v>31812.98</v>
      </c>
      <c r="M696">
        <v>5.38</v>
      </c>
      <c r="N696">
        <v>107.6</v>
      </c>
      <c r="O696">
        <v>309</v>
      </c>
      <c r="P696" s="2">
        <v>46148</v>
      </c>
      <c r="Q696" s="2">
        <v>46148</v>
      </c>
      <c r="R696" t="s">
        <v>25</v>
      </c>
      <c r="S696" t="s">
        <v>26</v>
      </c>
    </row>
    <row r="697" spans="1:19" x14ac:dyDescent="0.25">
      <c r="A697" t="s">
        <v>787</v>
      </c>
      <c r="B697" s="2">
        <v>46144</v>
      </c>
      <c r="C697" t="s">
        <v>28</v>
      </c>
      <c r="D697" t="s">
        <v>29</v>
      </c>
      <c r="E697" t="s">
        <v>63</v>
      </c>
      <c r="F697" t="s">
        <v>197</v>
      </c>
      <c r="G697" t="s">
        <v>24</v>
      </c>
      <c r="H697">
        <v>276</v>
      </c>
      <c r="I697">
        <v>257</v>
      </c>
      <c r="J697">
        <v>10</v>
      </c>
      <c r="K697">
        <v>6.7</v>
      </c>
      <c r="L697">
        <v>57653.81</v>
      </c>
      <c r="M697">
        <v>8.8800000000000008</v>
      </c>
      <c r="N697">
        <v>230.88</v>
      </c>
      <c r="O697">
        <v>340</v>
      </c>
      <c r="P697" s="2">
        <v>46146</v>
      </c>
      <c r="Q697" s="2">
        <v>46146</v>
      </c>
      <c r="R697" t="s">
        <v>25</v>
      </c>
      <c r="S697" t="s">
        <v>72</v>
      </c>
    </row>
    <row r="698" spans="1:19" x14ac:dyDescent="0.25">
      <c r="A698" t="s">
        <v>788</v>
      </c>
      <c r="B698" s="2">
        <v>46162</v>
      </c>
      <c r="C698" t="s">
        <v>53</v>
      </c>
      <c r="D698" t="s">
        <v>54</v>
      </c>
      <c r="E698" t="s">
        <v>131</v>
      </c>
      <c r="F698" t="s">
        <v>197</v>
      </c>
      <c r="G698" t="s">
        <v>57</v>
      </c>
      <c r="H698">
        <v>246</v>
      </c>
      <c r="I698">
        <v>202</v>
      </c>
      <c r="J698">
        <v>9</v>
      </c>
      <c r="K698">
        <v>4.3</v>
      </c>
      <c r="L698">
        <v>31318.66</v>
      </c>
      <c r="M698">
        <v>7.19</v>
      </c>
      <c r="N698">
        <v>129.41999999999999</v>
      </c>
      <c r="O698">
        <v>314</v>
      </c>
      <c r="P698" s="2">
        <v>46165</v>
      </c>
      <c r="Q698" s="2">
        <v>46167</v>
      </c>
      <c r="R698" t="s">
        <v>25</v>
      </c>
      <c r="S698" t="s">
        <v>51</v>
      </c>
    </row>
    <row r="699" spans="1:19" x14ac:dyDescent="0.25">
      <c r="A699" t="s">
        <v>789</v>
      </c>
      <c r="B699" s="2">
        <v>46156</v>
      </c>
      <c r="C699" t="s">
        <v>20</v>
      </c>
      <c r="D699" t="s">
        <v>21</v>
      </c>
      <c r="E699" t="s">
        <v>22</v>
      </c>
      <c r="F699" t="s">
        <v>135</v>
      </c>
      <c r="G699" t="s">
        <v>32</v>
      </c>
      <c r="H699">
        <v>130</v>
      </c>
      <c r="I699">
        <v>118</v>
      </c>
      <c r="J699">
        <v>10</v>
      </c>
      <c r="K699">
        <v>0.4</v>
      </c>
      <c r="L699">
        <v>33894.5</v>
      </c>
      <c r="M699">
        <v>4.4000000000000004</v>
      </c>
      <c r="N699">
        <v>105.6</v>
      </c>
      <c r="O699">
        <v>125</v>
      </c>
      <c r="P699" s="2">
        <v>46166</v>
      </c>
      <c r="Q699" s="2">
        <v>46168</v>
      </c>
      <c r="R699" t="s">
        <v>100</v>
      </c>
      <c r="S699" t="s">
        <v>33</v>
      </c>
    </row>
    <row r="700" spans="1:19" x14ac:dyDescent="0.25">
      <c r="A700" t="s">
        <v>790</v>
      </c>
      <c r="B700" s="2">
        <v>46134</v>
      </c>
      <c r="C700" t="s">
        <v>59</v>
      </c>
      <c r="D700" t="s">
        <v>49</v>
      </c>
      <c r="E700" t="s">
        <v>60</v>
      </c>
      <c r="F700" t="s">
        <v>106</v>
      </c>
      <c r="G700" t="s">
        <v>32</v>
      </c>
      <c r="H700">
        <v>316</v>
      </c>
      <c r="I700">
        <v>347</v>
      </c>
      <c r="J700">
        <v>10</v>
      </c>
      <c r="K700">
        <v>2.9</v>
      </c>
      <c r="L700">
        <v>70272.789999999994</v>
      </c>
      <c r="M700">
        <v>7.63</v>
      </c>
      <c r="N700">
        <v>167.86</v>
      </c>
      <c r="O700">
        <v>409</v>
      </c>
      <c r="P700" s="2">
        <v>46146</v>
      </c>
      <c r="Q700" s="2">
        <v>46146</v>
      </c>
      <c r="R700" t="s">
        <v>39</v>
      </c>
      <c r="S700" t="s">
        <v>26</v>
      </c>
    </row>
    <row r="701" spans="1:19" x14ac:dyDescent="0.25">
      <c r="A701" t="s">
        <v>791</v>
      </c>
      <c r="B701" s="2">
        <v>46177</v>
      </c>
      <c r="C701" t="s">
        <v>59</v>
      </c>
      <c r="D701" t="s">
        <v>49</v>
      </c>
      <c r="E701" t="s">
        <v>76</v>
      </c>
      <c r="F701" t="s">
        <v>170</v>
      </c>
      <c r="G701" t="s">
        <v>32</v>
      </c>
      <c r="H701">
        <v>198</v>
      </c>
      <c r="I701">
        <v>160</v>
      </c>
      <c r="J701">
        <v>5</v>
      </c>
      <c r="K701">
        <v>6.7</v>
      </c>
      <c r="L701">
        <v>36702.75</v>
      </c>
      <c r="M701">
        <v>3.51</v>
      </c>
      <c r="N701">
        <v>84.24</v>
      </c>
      <c r="O701">
        <v>160</v>
      </c>
      <c r="P701" s="2">
        <v>46184</v>
      </c>
      <c r="Q701" s="2">
        <v>46186</v>
      </c>
      <c r="R701" t="s">
        <v>25</v>
      </c>
      <c r="S701" t="s">
        <v>33</v>
      </c>
    </row>
    <row r="702" spans="1:19" x14ac:dyDescent="0.25">
      <c r="A702" t="s">
        <v>792</v>
      </c>
      <c r="B702" s="2">
        <v>46024</v>
      </c>
      <c r="C702" t="s">
        <v>59</v>
      </c>
      <c r="D702" t="s">
        <v>49</v>
      </c>
      <c r="E702" t="s">
        <v>60</v>
      </c>
      <c r="F702" t="s">
        <v>110</v>
      </c>
      <c r="G702" t="s">
        <v>57</v>
      </c>
      <c r="H702">
        <v>128</v>
      </c>
      <c r="I702">
        <v>103</v>
      </c>
      <c r="J702">
        <v>1</v>
      </c>
      <c r="K702">
        <v>4.0999999999999996</v>
      </c>
      <c r="L702">
        <v>15876.09</v>
      </c>
      <c r="M702">
        <v>3.32</v>
      </c>
      <c r="N702">
        <v>59.76</v>
      </c>
      <c r="O702">
        <v>177</v>
      </c>
      <c r="P702" s="2">
        <v>46036</v>
      </c>
      <c r="Q702" s="2">
        <v>46036</v>
      </c>
      <c r="R702" t="s">
        <v>25</v>
      </c>
      <c r="S702" t="s">
        <v>51</v>
      </c>
    </row>
    <row r="703" spans="1:19" x14ac:dyDescent="0.25">
      <c r="A703" t="s">
        <v>793</v>
      </c>
      <c r="B703" s="2">
        <v>46093</v>
      </c>
      <c r="C703" t="s">
        <v>59</v>
      </c>
      <c r="D703" t="s">
        <v>49</v>
      </c>
      <c r="E703" t="s">
        <v>76</v>
      </c>
      <c r="F703" t="s">
        <v>112</v>
      </c>
      <c r="G703" t="s">
        <v>57</v>
      </c>
      <c r="H703">
        <v>229</v>
      </c>
      <c r="I703">
        <v>236</v>
      </c>
      <c r="J703">
        <v>8</v>
      </c>
      <c r="K703">
        <v>6.9</v>
      </c>
      <c r="L703">
        <v>48434.62</v>
      </c>
      <c r="M703">
        <v>7.88</v>
      </c>
      <c r="N703">
        <v>157.6</v>
      </c>
      <c r="O703">
        <v>208</v>
      </c>
      <c r="P703" s="2">
        <v>46104</v>
      </c>
      <c r="Q703" s="2">
        <v>46104</v>
      </c>
      <c r="R703" t="s">
        <v>25</v>
      </c>
      <c r="S703" t="s">
        <v>86</v>
      </c>
    </row>
    <row r="704" spans="1:19" x14ac:dyDescent="0.25">
      <c r="A704" t="s">
        <v>794</v>
      </c>
      <c r="B704" s="2">
        <v>46068</v>
      </c>
      <c r="C704" t="s">
        <v>59</v>
      </c>
      <c r="D704" t="s">
        <v>49</v>
      </c>
      <c r="E704" t="s">
        <v>60</v>
      </c>
      <c r="F704" t="s">
        <v>244</v>
      </c>
      <c r="G704" t="s">
        <v>57</v>
      </c>
      <c r="H704">
        <v>106</v>
      </c>
      <c r="I704">
        <v>82</v>
      </c>
      <c r="J704">
        <v>4</v>
      </c>
      <c r="K704">
        <v>5.8</v>
      </c>
      <c r="L704">
        <v>13993.65</v>
      </c>
      <c r="M704">
        <v>3.16</v>
      </c>
      <c r="N704">
        <v>82.16</v>
      </c>
      <c r="O704">
        <v>136</v>
      </c>
      <c r="P704" s="2">
        <v>46079</v>
      </c>
      <c r="Q704" s="2">
        <v>46083</v>
      </c>
      <c r="R704" t="s">
        <v>25</v>
      </c>
      <c r="S704" t="s">
        <v>51</v>
      </c>
    </row>
    <row r="705" spans="1:19" x14ac:dyDescent="0.25">
      <c r="A705" t="s">
        <v>795</v>
      </c>
      <c r="B705" s="2">
        <v>46078</v>
      </c>
      <c r="C705" t="s">
        <v>20</v>
      </c>
      <c r="D705" t="s">
        <v>21</v>
      </c>
      <c r="E705" t="s">
        <v>66</v>
      </c>
      <c r="F705" t="s">
        <v>125</v>
      </c>
      <c r="G705" t="s">
        <v>24</v>
      </c>
      <c r="H705">
        <v>117</v>
      </c>
      <c r="I705">
        <v>91</v>
      </c>
      <c r="J705">
        <v>4</v>
      </c>
      <c r="K705">
        <v>0</v>
      </c>
      <c r="L705">
        <v>28134.43</v>
      </c>
      <c r="M705">
        <v>1.94</v>
      </c>
      <c r="N705">
        <v>46.56</v>
      </c>
      <c r="O705">
        <v>185</v>
      </c>
      <c r="P705" s="2">
        <v>46090</v>
      </c>
      <c r="Q705" s="2">
        <v>46094</v>
      </c>
      <c r="R705" t="s">
        <v>25</v>
      </c>
      <c r="S705" t="s">
        <v>33</v>
      </c>
    </row>
    <row r="706" spans="1:19" x14ac:dyDescent="0.25">
      <c r="A706" t="s">
        <v>796</v>
      </c>
      <c r="B706" s="2">
        <v>46084</v>
      </c>
      <c r="C706" t="s">
        <v>35</v>
      </c>
      <c r="D706" t="s">
        <v>36</v>
      </c>
      <c r="E706" t="s">
        <v>69</v>
      </c>
      <c r="F706" t="s">
        <v>61</v>
      </c>
      <c r="G706" t="s">
        <v>32</v>
      </c>
      <c r="H706">
        <v>278</v>
      </c>
      <c r="I706">
        <v>246</v>
      </c>
      <c r="J706">
        <v>11</v>
      </c>
      <c r="K706">
        <v>2.8</v>
      </c>
      <c r="L706">
        <v>23017.27</v>
      </c>
      <c r="M706">
        <v>9.64</v>
      </c>
      <c r="N706">
        <v>192.8</v>
      </c>
      <c r="O706">
        <v>280</v>
      </c>
      <c r="P706" s="2">
        <v>46096</v>
      </c>
      <c r="Q706" s="2">
        <v>46096</v>
      </c>
      <c r="R706" t="s">
        <v>25</v>
      </c>
      <c r="S706" t="s">
        <v>26</v>
      </c>
    </row>
    <row r="707" spans="1:19" x14ac:dyDescent="0.25">
      <c r="A707" t="s">
        <v>797</v>
      </c>
      <c r="B707" s="2">
        <v>46136</v>
      </c>
      <c r="C707" t="s">
        <v>53</v>
      </c>
      <c r="D707" t="s">
        <v>54</v>
      </c>
      <c r="E707" t="s">
        <v>131</v>
      </c>
      <c r="F707" t="s">
        <v>91</v>
      </c>
      <c r="G707" t="s">
        <v>57</v>
      </c>
      <c r="H707">
        <v>255</v>
      </c>
      <c r="I707">
        <v>196</v>
      </c>
      <c r="J707">
        <v>16</v>
      </c>
      <c r="K707">
        <v>5.9</v>
      </c>
      <c r="L707">
        <v>27184.22</v>
      </c>
      <c r="M707">
        <v>7.55</v>
      </c>
      <c r="N707">
        <v>166.1</v>
      </c>
      <c r="O707">
        <v>323</v>
      </c>
      <c r="P707" s="2">
        <v>46141</v>
      </c>
      <c r="Q707" s="2">
        <v>46141</v>
      </c>
      <c r="R707" t="s">
        <v>100</v>
      </c>
      <c r="S707" t="s">
        <v>33</v>
      </c>
    </row>
    <row r="708" spans="1:19" x14ac:dyDescent="0.25">
      <c r="A708" t="s">
        <v>798</v>
      </c>
      <c r="B708" s="2">
        <v>46073</v>
      </c>
      <c r="C708" t="s">
        <v>53</v>
      </c>
      <c r="D708" t="s">
        <v>54</v>
      </c>
      <c r="E708" t="s">
        <v>131</v>
      </c>
      <c r="F708" t="s">
        <v>46</v>
      </c>
      <c r="G708" t="s">
        <v>57</v>
      </c>
      <c r="H708">
        <v>214</v>
      </c>
      <c r="I708">
        <v>172</v>
      </c>
      <c r="J708">
        <v>9</v>
      </c>
      <c r="K708">
        <v>3</v>
      </c>
      <c r="L708">
        <v>31351.3</v>
      </c>
      <c r="M708">
        <v>5.17</v>
      </c>
      <c r="N708">
        <v>93.06</v>
      </c>
      <c r="O708">
        <v>243</v>
      </c>
      <c r="P708" s="2">
        <v>46075</v>
      </c>
      <c r="Q708" s="2">
        <v>46075</v>
      </c>
      <c r="R708" t="s">
        <v>100</v>
      </c>
      <c r="S708" t="s">
        <v>86</v>
      </c>
    </row>
    <row r="709" spans="1:19" x14ac:dyDescent="0.25">
      <c r="A709" t="s">
        <v>799</v>
      </c>
      <c r="B709" s="2">
        <v>46093</v>
      </c>
      <c r="C709" t="s">
        <v>80</v>
      </c>
      <c r="D709" t="s">
        <v>21</v>
      </c>
      <c r="E709" t="s">
        <v>66</v>
      </c>
      <c r="F709" t="s">
        <v>104</v>
      </c>
      <c r="G709" t="s">
        <v>24</v>
      </c>
      <c r="H709">
        <v>290</v>
      </c>
      <c r="I709">
        <v>212</v>
      </c>
      <c r="J709">
        <v>14</v>
      </c>
      <c r="K709">
        <v>4.2</v>
      </c>
      <c r="L709">
        <v>58013.760000000002</v>
      </c>
      <c r="M709">
        <v>4.7</v>
      </c>
      <c r="N709">
        <v>122.2</v>
      </c>
      <c r="O709">
        <v>276</v>
      </c>
      <c r="P709" s="2">
        <v>46095</v>
      </c>
      <c r="Q709" s="2">
        <v>46096</v>
      </c>
      <c r="R709" t="s">
        <v>25</v>
      </c>
      <c r="S709" t="s">
        <v>51</v>
      </c>
    </row>
    <row r="710" spans="1:19" x14ac:dyDescent="0.25">
      <c r="A710" t="s">
        <v>800</v>
      </c>
      <c r="B710" s="2">
        <v>46068</v>
      </c>
      <c r="C710" t="s">
        <v>43</v>
      </c>
      <c r="D710" t="s">
        <v>44</v>
      </c>
      <c r="E710" t="s">
        <v>93</v>
      </c>
      <c r="F710" t="s">
        <v>61</v>
      </c>
      <c r="G710" t="s">
        <v>24</v>
      </c>
      <c r="H710">
        <v>187</v>
      </c>
      <c r="I710">
        <v>201</v>
      </c>
      <c r="J710">
        <v>3</v>
      </c>
      <c r="K710">
        <v>4</v>
      </c>
      <c r="L710">
        <v>24139.279999999999</v>
      </c>
      <c r="M710">
        <v>7.76</v>
      </c>
      <c r="N710">
        <v>170.72</v>
      </c>
      <c r="O710">
        <v>196</v>
      </c>
      <c r="P710" s="2">
        <v>46080</v>
      </c>
      <c r="Q710" s="2">
        <v>46078</v>
      </c>
      <c r="R710" t="s">
        <v>25</v>
      </c>
      <c r="S710" t="s">
        <v>86</v>
      </c>
    </row>
    <row r="711" spans="1:19" x14ac:dyDescent="0.25">
      <c r="A711" t="s">
        <v>801</v>
      </c>
      <c r="B711" s="2">
        <v>46066</v>
      </c>
      <c r="C711" t="s">
        <v>48</v>
      </c>
      <c r="D711" t="s">
        <v>49</v>
      </c>
      <c r="E711" t="s">
        <v>60</v>
      </c>
      <c r="F711" t="s">
        <v>74</v>
      </c>
      <c r="G711" t="s">
        <v>57</v>
      </c>
      <c r="H711">
        <v>83</v>
      </c>
      <c r="I711">
        <v>93</v>
      </c>
      <c r="J711">
        <v>3</v>
      </c>
      <c r="K711">
        <v>7.5</v>
      </c>
      <c r="L711">
        <v>17439.48</v>
      </c>
      <c r="M711">
        <v>3.52</v>
      </c>
      <c r="N711">
        <v>91.52</v>
      </c>
      <c r="O711">
        <v>87</v>
      </c>
      <c r="P711" s="2">
        <v>46072</v>
      </c>
      <c r="Q711" s="2">
        <v>46071</v>
      </c>
      <c r="R711" t="s">
        <v>25</v>
      </c>
      <c r="S711" t="s">
        <v>86</v>
      </c>
    </row>
    <row r="712" spans="1:19" x14ac:dyDescent="0.25">
      <c r="A712" t="s">
        <v>802</v>
      </c>
      <c r="B712" s="2">
        <v>46178</v>
      </c>
      <c r="C712" t="s">
        <v>28</v>
      </c>
      <c r="D712" t="s">
        <v>29</v>
      </c>
      <c r="E712" t="s">
        <v>30</v>
      </c>
      <c r="F712" t="s">
        <v>67</v>
      </c>
      <c r="G712" t="s">
        <v>32</v>
      </c>
      <c r="H712">
        <v>209</v>
      </c>
      <c r="I712">
        <v>187</v>
      </c>
      <c r="J712">
        <v>11</v>
      </c>
      <c r="K712">
        <v>7.6</v>
      </c>
      <c r="L712">
        <v>47032.01</v>
      </c>
      <c r="M712">
        <v>5.88</v>
      </c>
      <c r="N712">
        <v>105.84</v>
      </c>
      <c r="O712">
        <v>256</v>
      </c>
      <c r="P712" s="2">
        <v>46187</v>
      </c>
      <c r="Q712" s="2">
        <v>46186</v>
      </c>
      <c r="R712" t="s">
        <v>39</v>
      </c>
      <c r="S712" t="s">
        <v>33</v>
      </c>
    </row>
    <row r="713" spans="1:19" x14ac:dyDescent="0.25">
      <c r="A713" t="s">
        <v>803</v>
      </c>
      <c r="B713" s="2">
        <v>46052</v>
      </c>
      <c r="C713" t="s">
        <v>20</v>
      </c>
      <c r="D713" t="s">
        <v>21</v>
      </c>
      <c r="E713" t="s">
        <v>22</v>
      </c>
      <c r="F713" t="s">
        <v>61</v>
      </c>
      <c r="G713" t="s">
        <v>24</v>
      </c>
      <c r="H713">
        <v>266</v>
      </c>
      <c r="I713">
        <v>201</v>
      </c>
      <c r="J713">
        <v>6</v>
      </c>
      <c r="K713">
        <v>5.6</v>
      </c>
      <c r="L713">
        <v>49081.279999999999</v>
      </c>
      <c r="M713">
        <v>3.67</v>
      </c>
      <c r="N713">
        <v>80.739999999999995</v>
      </c>
      <c r="O713">
        <v>343</v>
      </c>
      <c r="P713" s="2">
        <v>46055</v>
      </c>
      <c r="Q713" s="2">
        <v>46055</v>
      </c>
      <c r="R713" t="s">
        <v>25</v>
      </c>
      <c r="S713" t="s">
        <v>51</v>
      </c>
    </row>
    <row r="714" spans="1:19" x14ac:dyDescent="0.25">
      <c r="A714" t="s">
        <v>804</v>
      </c>
      <c r="B714" s="2">
        <v>46056</v>
      </c>
      <c r="C714" t="s">
        <v>59</v>
      </c>
      <c r="D714" t="s">
        <v>49</v>
      </c>
      <c r="E714" t="s">
        <v>50</v>
      </c>
      <c r="F714" t="s">
        <v>122</v>
      </c>
      <c r="G714" t="s">
        <v>57</v>
      </c>
      <c r="H714">
        <v>177</v>
      </c>
      <c r="I714">
        <v>181</v>
      </c>
      <c r="J714">
        <v>3</v>
      </c>
      <c r="K714">
        <v>1.3</v>
      </c>
      <c r="L714">
        <v>27343.38</v>
      </c>
      <c r="M714">
        <v>4.08</v>
      </c>
      <c r="N714">
        <v>81.599999999999994</v>
      </c>
      <c r="O714">
        <v>182</v>
      </c>
      <c r="P714" s="2">
        <v>46062</v>
      </c>
      <c r="Q714" s="2">
        <v>46062</v>
      </c>
      <c r="R714" t="s">
        <v>100</v>
      </c>
      <c r="S714" t="s">
        <v>72</v>
      </c>
    </row>
    <row r="715" spans="1:19" x14ac:dyDescent="0.25">
      <c r="A715" t="s">
        <v>805</v>
      </c>
      <c r="B715" s="2">
        <v>46113</v>
      </c>
      <c r="C715" t="s">
        <v>48</v>
      </c>
      <c r="D715" t="s">
        <v>49</v>
      </c>
      <c r="E715" t="s">
        <v>76</v>
      </c>
      <c r="F715" t="s">
        <v>91</v>
      </c>
      <c r="G715" t="s">
        <v>24</v>
      </c>
      <c r="H715">
        <v>277</v>
      </c>
      <c r="I715">
        <v>275</v>
      </c>
      <c r="J715">
        <v>12</v>
      </c>
      <c r="K715">
        <v>5.7</v>
      </c>
      <c r="L715">
        <v>53939.02</v>
      </c>
      <c r="M715">
        <v>10.46</v>
      </c>
      <c r="N715">
        <v>251.04</v>
      </c>
      <c r="O715">
        <v>276</v>
      </c>
      <c r="P715" s="2">
        <v>46123</v>
      </c>
      <c r="Q715" s="2">
        <v>46123</v>
      </c>
      <c r="R715" t="s">
        <v>100</v>
      </c>
      <c r="S715" t="s">
        <v>86</v>
      </c>
    </row>
    <row r="716" spans="1:19" x14ac:dyDescent="0.25">
      <c r="A716" t="s">
        <v>806</v>
      </c>
      <c r="B716" s="2">
        <v>46076</v>
      </c>
      <c r="C716" t="s">
        <v>48</v>
      </c>
      <c r="D716" t="s">
        <v>49</v>
      </c>
      <c r="E716" t="s">
        <v>60</v>
      </c>
      <c r="F716" t="s">
        <v>170</v>
      </c>
      <c r="G716" t="s">
        <v>32</v>
      </c>
      <c r="H716">
        <v>208</v>
      </c>
      <c r="I716">
        <v>199</v>
      </c>
      <c r="J716">
        <v>14</v>
      </c>
      <c r="K716">
        <v>2.4</v>
      </c>
      <c r="L716">
        <v>36897.760000000002</v>
      </c>
      <c r="M716">
        <v>4.62</v>
      </c>
      <c r="N716">
        <v>101.64</v>
      </c>
      <c r="O716">
        <v>176</v>
      </c>
      <c r="P716" s="2">
        <v>46079</v>
      </c>
      <c r="Q716" s="2">
        <v>46079</v>
      </c>
      <c r="R716" t="s">
        <v>100</v>
      </c>
      <c r="S716" t="s">
        <v>26</v>
      </c>
    </row>
    <row r="717" spans="1:19" x14ac:dyDescent="0.25">
      <c r="A717" t="s">
        <v>807</v>
      </c>
      <c r="B717" s="2">
        <v>46105</v>
      </c>
      <c r="C717" t="s">
        <v>48</v>
      </c>
      <c r="D717" t="s">
        <v>49</v>
      </c>
      <c r="E717" t="s">
        <v>60</v>
      </c>
      <c r="F717" t="s">
        <v>110</v>
      </c>
      <c r="G717" t="s">
        <v>57</v>
      </c>
      <c r="H717">
        <v>176</v>
      </c>
      <c r="I717">
        <v>176</v>
      </c>
      <c r="J717">
        <v>15</v>
      </c>
      <c r="K717">
        <v>2.9</v>
      </c>
      <c r="L717">
        <v>29052.75</v>
      </c>
      <c r="M717">
        <v>6.97</v>
      </c>
      <c r="N717">
        <v>139.4</v>
      </c>
      <c r="O717">
        <v>243</v>
      </c>
      <c r="P717" s="2">
        <v>46114</v>
      </c>
      <c r="Q717" s="2">
        <v>46115</v>
      </c>
      <c r="R717" t="s">
        <v>25</v>
      </c>
      <c r="S717" t="s">
        <v>51</v>
      </c>
    </row>
    <row r="718" spans="1:19" x14ac:dyDescent="0.25">
      <c r="A718" t="s">
        <v>808</v>
      </c>
      <c r="B718" s="2">
        <v>46114</v>
      </c>
      <c r="C718" t="s">
        <v>59</v>
      </c>
      <c r="D718" t="s">
        <v>49</v>
      </c>
      <c r="E718" t="s">
        <v>50</v>
      </c>
      <c r="F718" t="s">
        <v>104</v>
      </c>
      <c r="G718" t="s">
        <v>32</v>
      </c>
      <c r="H718">
        <v>199</v>
      </c>
      <c r="I718">
        <v>190</v>
      </c>
      <c r="J718">
        <v>13</v>
      </c>
      <c r="K718">
        <v>4</v>
      </c>
      <c r="L718">
        <v>35437.68</v>
      </c>
      <c r="M718">
        <v>6.59</v>
      </c>
      <c r="N718">
        <v>158.16</v>
      </c>
      <c r="O718">
        <v>280</v>
      </c>
      <c r="P718" s="2">
        <v>46119</v>
      </c>
      <c r="Q718" s="2">
        <v>46119</v>
      </c>
      <c r="R718" t="s">
        <v>25</v>
      </c>
      <c r="S718" t="s">
        <v>72</v>
      </c>
    </row>
    <row r="719" spans="1:19" x14ac:dyDescent="0.25">
      <c r="A719" t="s">
        <v>809</v>
      </c>
      <c r="B719" s="2">
        <v>46196</v>
      </c>
      <c r="C719" t="s">
        <v>35</v>
      </c>
      <c r="D719" t="s">
        <v>36</v>
      </c>
      <c r="E719" t="s">
        <v>69</v>
      </c>
      <c r="F719" t="s">
        <v>85</v>
      </c>
      <c r="G719" t="s">
        <v>57</v>
      </c>
      <c r="H719">
        <v>90</v>
      </c>
      <c r="I719">
        <v>102</v>
      </c>
      <c r="J719">
        <v>8</v>
      </c>
      <c r="K719">
        <v>6.9</v>
      </c>
      <c r="L719">
        <v>10767</v>
      </c>
      <c r="M719">
        <v>2.87</v>
      </c>
      <c r="N719">
        <v>63.14</v>
      </c>
      <c r="O719">
        <v>152</v>
      </c>
      <c r="P719" s="2">
        <v>46207</v>
      </c>
      <c r="Q719" s="2">
        <v>46205</v>
      </c>
      <c r="R719" t="s">
        <v>25</v>
      </c>
      <c r="S719" t="s">
        <v>86</v>
      </c>
    </row>
    <row r="720" spans="1:19" x14ac:dyDescent="0.25">
      <c r="A720" t="s">
        <v>810</v>
      </c>
      <c r="B720" s="2">
        <v>46175</v>
      </c>
      <c r="C720" t="s">
        <v>28</v>
      </c>
      <c r="D720" t="s">
        <v>29</v>
      </c>
      <c r="E720" t="s">
        <v>30</v>
      </c>
      <c r="F720" t="s">
        <v>74</v>
      </c>
      <c r="G720" t="s">
        <v>57</v>
      </c>
      <c r="H720">
        <v>272</v>
      </c>
      <c r="I720">
        <v>212</v>
      </c>
      <c r="J720">
        <v>13</v>
      </c>
      <c r="K720">
        <v>7.1</v>
      </c>
      <c r="L720">
        <v>36217.78</v>
      </c>
      <c r="M720">
        <v>7.85</v>
      </c>
      <c r="N720">
        <v>157</v>
      </c>
      <c r="O720">
        <v>320</v>
      </c>
      <c r="P720" s="2">
        <v>46184</v>
      </c>
      <c r="Q720" s="2">
        <v>46186</v>
      </c>
      <c r="R720" t="s">
        <v>25</v>
      </c>
      <c r="S720" t="s">
        <v>51</v>
      </c>
    </row>
    <row r="721" spans="1:19" x14ac:dyDescent="0.25">
      <c r="A721" t="s">
        <v>811</v>
      </c>
      <c r="B721" s="2">
        <v>46074</v>
      </c>
      <c r="C721" t="s">
        <v>43</v>
      </c>
      <c r="D721" t="s">
        <v>44</v>
      </c>
      <c r="E721" t="s">
        <v>161</v>
      </c>
      <c r="F721" t="s">
        <v>71</v>
      </c>
      <c r="G721" t="s">
        <v>32</v>
      </c>
      <c r="H721">
        <v>158</v>
      </c>
      <c r="I721">
        <v>119</v>
      </c>
      <c r="J721">
        <v>3</v>
      </c>
      <c r="K721">
        <v>1.8</v>
      </c>
      <c r="L721">
        <v>11102.59</v>
      </c>
      <c r="M721">
        <v>4.0999999999999996</v>
      </c>
      <c r="N721">
        <v>90.2</v>
      </c>
      <c r="O721">
        <v>119</v>
      </c>
      <c r="P721" s="2">
        <v>46083</v>
      </c>
      <c r="Q721" s="2">
        <v>46083</v>
      </c>
      <c r="R721" t="s">
        <v>25</v>
      </c>
      <c r="S721" t="s">
        <v>26</v>
      </c>
    </row>
    <row r="722" spans="1:19" x14ac:dyDescent="0.25">
      <c r="A722" t="s">
        <v>812</v>
      </c>
      <c r="B722" s="2">
        <v>46198</v>
      </c>
      <c r="C722" t="s">
        <v>35</v>
      </c>
      <c r="D722" t="s">
        <v>36</v>
      </c>
      <c r="E722" t="s">
        <v>37</v>
      </c>
      <c r="F722" t="s">
        <v>61</v>
      </c>
      <c r="G722" t="s">
        <v>24</v>
      </c>
      <c r="H722">
        <v>313</v>
      </c>
      <c r="I722">
        <v>288</v>
      </c>
      <c r="J722">
        <v>11</v>
      </c>
      <c r="K722">
        <v>4.2</v>
      </c>
      <c r="L722">
        <v>26747.599999999999</v>
      </c>
      <c r="M722">
        <v>7.86</v>
      </c>
      <c r="N722">
        <v>172.92</v>
      </c>
      <c r="O722">
        <v>307</v>
      </c>
      <c r="P722" s="2">
        <v>46206</v>
      </c>
      <c r="Q722" s="2">
        <v>46207</v>
      </c>
      <c r="R722" t="s">
        <v>25</v>
      </c>
      <c r="S722" t="s">
        <v>72</v>
      </c>
    </row>
    <row r="723" spans="1:19" x14ac:dyDescent="0.25">
      <c r="A723" t="s">
        <v>813</v>
      </c>
      <c r="B723" s="2">
        <v>46175</v>
      </c>
      <c r="C723" t="s">
        <v>35</v>
      </c>
      <c r="D723" t="s">
        <v>36</v>
      </c>
      <c r="E723" t="s">
        <v>37</v>
      </c>
      <c r="F723" t="s">
        <v>104</v>
      </c>
      <c r="G723" t="s">
        <v>32</v>
      </c>
      <c r="H723">
        <v>168</v>
      </c>
      <c r="I723">
        <v>156</v>
      </c>
      <c r="J723">
        <v>11</v>
      </c>
      <c r="K723">
        <v>5.3</v>
      </c>
      <c r="L723">
        <v>13300.1</v>
      </c>
      <c r="M723">
        <v>5.68</v>
      </c>
      <c r="N723">
        <v>124.96</v>
      </c>
      <c r="O723">
        <v>220</v>
      </c>
      <c r="P723" s="2">
        <v>46182</v>
      </c>
      <c r="Q723" s="2">
        <v>46180</v>
      </c>
      <c r="R723" t="s">
        <v>39</v>
      </c>
      <c r="S723" t="s">
        <v>33</v>
      </c>
    </row>
    <row r="724" spans="1:19" x14ac:dyDescent="0.25">
      <c r="A724" t="s">
        <v>814</v>
      </c>
      <c r="B724" s="2">
        <v>46188</v>
      </c>
      <c r="C724" t="s">
        <v>28</v>
      </c>
      <c r="D724" t="s">
        <v>29</v>
      </c>
      <c r="E724" t="s">
        <v>63</v>
      </c>
      <c r="F724" t="s">
        <v>122</v>
      </c>
      <c r="G724" t="s">
        <v>32</v>
      </c>
      <c r="H724">
        <v>207</v>
      </c>
      <c r="I724">
        <v>165</v>
      </c>
      <c r="J724">
        <v>3</v>
      </c>
      <c r="K724">
        <v>3.9</v>
      </c>
      <c r="L724">
        <v>37006.49</v>
      </c>
      <c r="M724">
        <v>4.66</v>
      </c>
      <c r="N724">
        <v>102.52</v>
      </c>
      <c r="O724">
        <v>246</v>
      </c>
      <c r="P724" s="2">
        <v>46196</v>
      </c>
      <c r="Q724" s="2">
        <v>46200</v>
      </c>
      <c r="R724" t="s">
        <v>25</v>
      </c>
      <c r="S724" t="s">
        <v>51</v>
      </c>
    </row>
    <row r="725" spans="1:19" x14ac:dyDescent="0.25">
      <c r="A725" t="s">
        <v>815</v>
      </c>
      <c r="B725" s="2">
        <v>46064</v>
      </c>
      <c r="C725" t="s">
        <v>35</v>
      </c>
      <c r="D725" t="s">
        <v>36</v>
      </c>
      <c r="E725" t="s">
        <v>37</v>
      </c>
      <c r="F725" t="s">
        <v>135</v>
      </c>
      <c r="G725" t="s">
        <v>32</v>
      </c>
      <c r="H725">
        <v>199</v>
      </c>
      <c r="I725">
        <v>212</v>
      </c>
      <c r="J725">
        <v>7</v>
      </c>
      <c r="K725">
        <v>6.6</v>
      </c>
      <c r="L725">
        <v>20088</v>
      </c>
      <c r="M725">
        <v>7.92</v>
      </c>
      <c r="N725">
        <v>158.4</v>
      </c>
      <c r="O725">
        <v>240</v>
      </c>
      <c r="P725" s="2">
        <v>46068</v>
      </c>
      <c r="Q725" s="2">
        <v>46070</v>
      </c>
      <c r="R725" t="s">
        <v>100</v>
      </c>
      <c r="S725" t="s">
        <v>72</v>
      </c>
    </row>
    <row r="726" spans="1:19" x14ac:dyDescent="0.25">
      <c r="A726" t="s">
        <v>816</v>
      </c>
      <c r="B726" s="2">
        <v>46131</v>
      </c>
      <c r="C726" t="s">
        <v>80</v>
      </c>
      <c r="D726" t="s">
        <v>21</v>
      </c>
      <c r="E726" t="s">
        <v>90</v>
      </c>
      <c r="F726" t="s">
        <v>83</v>
      </c>
      <c r="G726" t="s">
        <v>57</v>
      </c>
      <c r="H726">
        <v>188</v>
      </c>
      <c r="I726">
        <v>156</v>
      </c>
      <c r="J726">
        <v>9</v>
      </c>
      <c r="K726">
        <v>5.4</v>
      </c>
      <c r="L726">
        <v>45520.57</v>
      </c>
      <c r="M726">
        <v>4.2</v>
      </c>
      <c r="N726">
        <v>100.8</v>
      </c>
      <c r="O726">
        <v>233</v>
      </c>
      <c r="P726" s="2">
        <v>46141</v>
      </c>
      <c r="Q726" s="2">
        <v>46142</v>
      </c>
      <c r="R726" t="s">
        <v>25</v>
      </c>
      <c r="S726" t="s">
        <v>72</v>
      </c>
    </row>
    <row r="727" spans="1:19" x14ac:dyDescent="0.25">
      <c r="A727" t="s">
        <v>817</v>
      </c>
      <c r="B727" s="2">
        <v>46159</v>
      </c>
      <c r="C727" t="s">
        <v>35</v>
      </c>
      <c r="D727" t="s">
        <v>36</v>
      </c>
      <c r="E727" t="s">
        <v>37</v>
      </c>
      <c r="F727" t="s">
        <v>64</v>
      </c>
      <c r="G727" t="s">
        <v>57</v>
      </c>
      <c r="H727">
        <v>118</v>
      </c>
      <c r="I727">
        <v>85</v>
      </c>
      <c r="J727">
        <v>7</v>
      </c>
      <c r="K727">
        <v>6.4</v>
      </c>
      <c r="L727">
        <v>7172.57</v>
      </c>
      <c r="M727">
        <v>2.78</v>
      </c>
      <c r="N727">
        <v>66.72</v>
      </c>
      <c r="O727">
        <v>189</v>
      </c>
      <c r="P727" s="2">
        <v>46161</v>
      </c>
      <c r="Q727" s="2">
        <v>46165</v>
      </c>
      <c r="R727" t="s">
        <v>25</v>
      </c>
      <c r="S727" t="s">
        <v>72</v>
      </c>
    </row>
    <row r="728" spans="1:19" x14ac:dyDescent="0.25">
      <c r="A728" t="s">
        <v>818</v>
      </c>
      <c r="B728" s="2">
        <v>46140</v>
      </c>
      <c r="C728" t="s">
        <v>48</v>
      </c>
      <c r="D728" t="s">
        <v>49</v>
      </c>
      <c r="E728" t="s">
        <v>50</v>
      </c>
      <c r="F728" t="s">
        <v>135</v>
      </c>
      <c r="G728" t="s">
        <v>32</v>
      </c>
      <c r="H728">
        <v>307</v>
      </c>
      <c r="I728">
        <v>300</v>
      </c>
      <c r="J728">
        <v>11</v>
      </c>
      <c r="K728">
        <v>3.8</v>
      </c>
      <c r="L728">
        <v>68344.63</v>
      </c>
      <c r="M728">
        <v>5.57</v>
      </c>
      <c r="N728">
        <v>122.54</v>
      </c>
      <c r="O728">
        <v>312</v>
      </c>
      <c r="P728" s="2">
        <v>46146</v>
      </c>
      <c r="Q728" s="2">
        <v>46147</v>
      </c>
      <c r="R728" t="s">
        <v>100</v>
      </c>
      <c r="S728" t="s">
        <v>86</v>
      </c>
    </row>
    <row r="729" spans="1:19" x14ac:dyDescent="0.25">
      <c r="A729" t="s">
        <v>819</v>
      </c>
      <c r="B729" s="2">
        <v>46099</v>
      </c>
      <c r="C729" t="s">
        <v>80</v>
      </c>
      <c r="D729" t="s">
        <v>21</v>
      </c>
      <c r="E729" t="s">
        <v>66</v>
      </c>
      <c r="F729" t="s">
        <v>74</v>
      </c>
      <c r="G729" t="s">
        <v>24</v>
      </c>
      <c r="H729">
        <v>108</v>
      </c>
      <c r="I729">
        <v>94</v>
      </c>
      <c r="J729">
        <v>0</v>
      </c>
      <c r="K729">
        <v>6.6</v>
      </c>
      <c r="L729">
        <v>20262.05</v>
      </c>
      <c r="M729">
        <v>1.91</v>
      </c>
      <c r="N729">
        <v>38.200000000000003</v>
      </c>
      <c r="O729">
        <v>194</v>
      </c>
      <c r="P729" s="2">
        <v>46107</v>
      </c>
      <c r="Q729" s="2">
        <v>46107</v>
      </c>
      <c r="R729" t="s">
        <v>25</v>
      </c>
      <c r="S729" t="s">
        <v>26</v>
      </c>
    </row>
    <row r="730" spans="1:19" x14ac:dyDescent="0.25">
      <c r="A730" t="s">
        <v>820</v>
      </c>
      <c r="B730" s="2">
        <v>46085</v>
      </c>
      <c r="C730" t="s">
        <v>53</v>
      </c>
      <c r="D730" t="s">
        <v>54</v>
      </c>
      <c r="E730" t="s">
        <v>55</v>
      </c>
      <c r="F730" t="s">
        <v>46</v>
      </c>
      <c r="G730" t="s">
        <v>57</v>
      </c>
      <c r="H730">
        <v>99</v>
      </c>
      <c r="I730">
        <v>85</v>
      </c>
      <c r="J730">
        <v>0</v>
      </c>
      <c r="K730">
        <v>5.5</v>
      </c>
      <c r="L730">
        <v>14220.66</v>
      </c>
      <c r="M730">
        <v>1.74</v>
      </c>
      <c r="N730">
        <v>45.24</v>
      </c>
      <c r="O730">
        <v>79</v>
      </c>
      <c r="P730" s="2">
        <v>46092</v>
      </c>
      <c r="Q730" s="2">
        <v>46092</v>
      </c>
      <c r="R730" t="s">
        <v>100</v>
      </c>
      <c r="S730" t="s">
        <v>51</v>
      </c>
    </row>
    <row r="731" spans="1:19" x14ac:dyDescent="0.25">
      <c r="A731" t="s">
        <v>821</v>
      </c>
      <c r="B731" s="2">
        <v>46088</v>
      </c>
      <c r="C731" t="s">
        <v>20</v>
      </c>
      <c r="D731" t="s">
        <v>21</v>
      </c>
      <c r="E731" t="s">
        <v>90</v>
      </c>
      <c r="F731" t="s">
        <v>197</v>
      </c>
      <c r="G731" t="s">
        <v>32</v>
      </c>
      <c r="H731">
        <v>109</v>
      </c>
      <c r="I731">
        <v>115</v>
      </c>
      <c r="J731">
        <v>6</v>
      </c>
      <c r="K731">
        <v>9</v>
      </c>
      <c r="L731">
        <v>39199.06</v>
      </c>
      <c r="M731">
        <v>4.26</v>
      </c>
      <c r="N731">
        <v>76.680000000000007</v>
      </c>
      <c r="O731">
        <v>164</v>
      </c>
      <c r="P731" s="2">
        <v>46099</v>
      </c>
      <c r="Q731" s="2">
        <v>46103</v>
      </c>
      <c r="R731" t="s">
        <v>25</v>
      </c>
      <c r="S731" t="s">
        <v>86</v>
      </c>
    </row>
    <row r="732" spans="1:19" x14ac:dyDescent="0.25">
      <c r="A732" t="s">
        <v>822</v>
      </c>
      <c r="B732" s="2">
        <v>46199</v>
      </c>
      <c r="C732" t="s">
        <v>43</v>
      </c>
      <c r="D732" t="s">
        <v>44</v>
      </c>
      <c r="E732" t="s">
        <v>161</v>
      </c>
      <c r="F732" t="s">
        <v>122</v>
      </c>
      <c r="G732" t="s">
        <v>32</v>
      </c>
      <c r="H732">
        <v>208</v>
      </c>
      <c r="I732">
        <v>209</v>
      </c>
      <c r="J732">
        <v>12</v>
      </c>
      <c r="K732">
        <v>8.1999999999999993</v>
      </c>
      <c r="L732">
        <v>24537.38</v>
      </c>
      <c r="M732">
        <v>5.8</v>
      </c>
      <c r="N732">
        <v>104.4</v>
      </c>
      <c r="O732">
        <v>274</v>
      </c>
      <c r="P732" s="2">
        <v>46211</v>
      </c>
      <c r="Q732" s="2">
        <v>46211</v>
      </c>
      <c r="R732" t="s">
        <v>25</v>
      </c>
      <c r="S732" t="s">
        <v>26</v>
      </c>
    </row>
    <row r="733" spans="1:19" x14ac:dyDescent="0.25">
      <c r="A733" t="s">
        <v>823</v>
      </c>
      <c r="B733" s="2">
        <v>46185</v>
      </c>
      <c r="C733" t="s">
        <v>48</v>
      </c>
      <c r="D733" t="s">
        <v>49</v>
      </c>
      <c r="E733" t="s">
        <v>50</v>
      </c>
      <c r="F733" t="s">
        <v>46</v>
      </c>
      <c r="G733" t="s">
        <v>32</v>
      </c>
      <c r="H733">
        <v>136</v>
      </c>
      <c r="I733">
        <v>111</v>
      </c>
      <c r="J733">
        <v>7</v>
      </c>
      <c r="K733">
        <v>2</v>
      </c>
      <c r="L733">
        <v>24503.69</v>
      </c>
      <c r="M733">
        <v>3.62</v>
      </c>
      <c r="N733">
        <v>86.88</v>
      </c>
      <c r="O733">
        <v>203</v>
      </c>
      <c r="P733" s="2">
        <v>46197</v>
      </c>
      <c r="Q733" s="2">
        <v>46198</v>
      </c>
      <c r="R733" t="s">
        <v>39</v>
      </c>
      <c r="S733" t="s">
        <v>26</v>
      </c>
    </row>
    <row r="734" spans="1:19" x14ac:dyDescent="0.25">
      <c r="A734" t="s">
        <v>824</v>
      </c>
      <c r="B734" s="2">
        <v>46026</v>
      </c>
      <c r="C734" t="s">
        <v>48</v>
      </c>
      <c r="D734" t="s">
        <v>49</v>
      </c>
      <c r="E734" t="s">
        <v>76</v>
      </c>
      <c r="F734" t="s">
        <v>88</v>
      </c>
      <c r="G734" t="s">
        <v>24</v>
      </c>
      <c r="H734">
        <v>161</v>
      </c>
      <c r="I734">
        <v>139</v>
      </c>
      <c r="J734">
        <v>6</v>
      </c>
      <c r="K734">
        <v>4.2</v>
      </c>
      <c r="L734">
        <v>27889.49</v>
      </c>
      <c r="M734">
        <v>4.83</v>
      </c>
      <c r="N734">
        <v>115.92</v>
      </c>
      <c r="O734">
        <v>186</v>
      </c>
      <c r="P734" s="2">
        <v>46034</v>
      </c>
      <c r="Q734" s="2">
        <v>46032</v>
      </c>
      <c r="R734" t="s">
        <v>39</v>
      </c>
      <c r="S734" t="s">
        <v>72</v>
      </c>
    </row>
    <row r="735" spans="1:19" x14ac:dyDescent="0.25">
      <c r="A735" t="s">
        <v>825</v>
      </c>
      <c r="B735" s="2">
        <v>46166</v>
      </c>
      <c r="C735" t="s">
        <v>48</v>
      </c>
      <c r="D735" t="s">
        <v>49</v>
      </c>
      <c r="E735" t="s">
        <v>50</v>
      </c>
      <c r="F735" t="s">
        <v>77</v>
      </c>
      <c r="G735" t="s">
        <v>32</v>
      </c>
      <c r="H735">
        <v>133</v>
      </c>
      <c r="I735">
        <v>138</v>
      </c>
      <c r="J735">
        <v>7</v>
      </c>
      <c r="K735">
        <v>2.7</v>
      </c>
      <c r="L735">
        <v>29705.5</v>
      </c>
      <c r="M735">
        <v>4.03</v>
      </c>
      <c r="N735">
        <v>80.599999999999994</v>
      </c>
      <c r="O735">
        <v>135</v>
      </c>
      <c r="P735" s="2">
        <v>46177</v>
      </c>
      <c r="Q735" s="2">
        <v>46178</v>
      </c>
      <c r="R735" t="s">
        <v>39</v>
      </c>
      <c r="S735" t="s">
        <v>33</v>
      </c>
    </row>
    <row r="736" spans="1:19" x14ac:dyDescent="0.25">
      <c r="A736" t="s">
        <v>826</v>
      </c>
      <c r="B736" s="2">
        <v>46095</v>
      </c>
      <c r="C736" t="s">
        <v>53</v>
      </c>
      <c r="D736" t="s">
        <v>54</v>
      </c>
      <c r="E736" t="s">
        <v>55</v>
      </c>
      <c r="F736" t="s">
        <v>137</v>
      </c>
      <c r="G736" t="s">
        <v>32</v>
      </c>
      <c r="H736">
        <v>176</v>
      </c>
      <c r="I736">
        <v>196</v>
      </c>
      <c r="J736">
        <v>3</v>
      </c>
      <c r="K736">
        <v>5.5</v>
      </c>
      <c r="L736">
        <v>28126.81</v>
      </c>
      <c r="M736">
        <v>4.55</v>
      </c>
      <c r="N736">
        <v>81.900000000000006</v>
      </c>
      <c r="O736">
        <v>210</v>
      </c>
      <c r="P736" s="2">
        <v>46099</v>
      </c>
      <c r="Q736" s="2">
        <v>46099</v>
      </c>
      <c r="R736" t="s">
        <v>100</v>
      </c>
      <c r="S736" t="s">
        <v>86</v>
      </c>
    </row>
    <row r="737" spans="1:19" x14ac:dyDescent="0.25">
      <c r="A737" t="s">
        <v>827</v>
      </c>
      <c r="B737" s="2">
        <v>46078</v>
      </c>
      <c r="C737" t="s">
        <v>35</v>
      </c>
      <c r="D737" t="s">
        <v>36</v>
      </c>
      <c r="E737" t="s">
        <v>69</v>
      </c>
      <c r="F737" t="s">
        <v>56</v>
      </c>
      <c r="G737" t="s">
        <v>32</v>
      </c>
      <c r="H737">
        <v>161</v>
      </c>
      <c r="I737">
        <v>169</v>
      </c>
      <c r="J737">
        <v>10</v>
      </c>
      <c r="K737">
        <v>6</v>
      </c>
      <c r="L737">
        <v>17199.22</v>
      </c>
      <c r="M737">
        <v>5.62</v>
      </c>
      <c r="N737">
        <v>146.12</v>
      </c>
      <c r="O737">
        <v>258</v>
      </c>
      <c r="P737" s="2">
        <v>46088</v>
      </c>
      <c r="Q737" s="2">
        <v>46090</v>
      </c>
      <c r="R737" t="s">
        <v>25</v>
      </c>
      <c r="S737" t="s">
        <v>72</v>
      </c>
    </row>
    <row r="738" spans="1:19" x14ac:dyDescent="0.25">
      <c r="A738" t="s">
        <v>828</v>
      </c>
      <c r="B738" s="2">
        <v>46141</v>
      </c>
      <c r="C738" t="s">
        <v>59</v>
      </c>
      <c r="D738" t="s">
        <v>49</v>
      </c>
      <c r="E738" t="s">
        <v>76</v>
      </c>
      <c r="F738" t="s">
        <v>77</v>
      </c>
      <c r="G738" t="s">
        <v>57</v>
      </c>
      <c r="H738">
        <v>120</v>
      </c>
      <c r="I738">
        <v>134</v>
      </c>
      <c r="J738">
        <v>2</v>
      </c>
      <c r="K738">
        <v>2.6</v>
      </c>
      <c r="L738">
        <v>22623.13</v>
      </c>
      <c r="M738">
        <v>3.9</v>
      </c>
      <c r="N738">
        <v>78</v>
      </c>
      <c r="O738">
        <v>105</v>
      </c>
      <c r="P738" s="2">
        <v>46149</v>
      </c>
      <c r="Q738" s="2">
        <v>46151</v>
      </c>
      <c r="R738" t="s">
        <v>100</v>
      </c>
      <c r="S738" t="s">
        <v>33</v>
      </c>
    </row>
    <row r="739" spans="1:19" x14ac:dyDescent="0.25">
      <c r="A739" t="s">
        <v>829</v>
      </c>
      <c r="B739" s="2">
        <v>46181</v>
      </c>
      <c r="C739" t="s">
        <v>28</v>
      </c>
      <c r="D739" t="s">
        <v>29</v>
      </c>
      <c r="E739" t="s">
        <v>63</v>
      </c>
      <c r="F739" t="s">
        <v>91</v>
      </c>
      <c r="G739" t="s">
        <v>57</v>
      </c>
      <c r="H739">
        <v>236</v>
      </c>
      <c r="I739">
        <v>232</v>
      </c>
      <c r="J739">
        <v>22</v>
      </c>
      <c r="K739">
        <v>5.4</v>
      </c>
      <c r="L739">
        <v>64321.38</v>
      </c>
      <c r="M739">
        <v>5.99</v>
      </c>
      <c r="N739">
        <v>119.8</v>
      </c>
      <c r="O739">
        <v>238</v>
      </c>
      <c r="P739" s="2">
        <v>46192</v>
      </c>
      <c r="Q739" s="2">
        <v>46196</v>
      </c>
      <c r="R739" t="s">
        <v>25</v>
      </c>
      <c r="S739" t="s">
        <v>26</v>
      </c>
    </row>
    <row r="740" spans="1:19" x14ac:dyDescent="0.25">
      <c r="A740" t="s">
        <v>830</v>
      </c>
      <c r="B740" s="2">
        <v>46190</v>
      </c>
      <c r="C740" t="s">
        <v>35</v>
      </c>
      <c r="D740" t="s">
        <v>36</v>
      </c>
      <c r="E740" t="s">
        <v>37</v>
      </c>
      <c r="F740" t="s">
        <v>38</v>
      </c>
      <c r="G740" t="s">
        <v>57</v>
      </c>
      <c r="H740">
        <v>297</v>
      </c>
      <c r="I740">
        <v>330</v>
      </c>
      <c r="J740">
        <v>15</v>
      </c>
      <c r="K740">
        <v>6.5</v>
      </c>
      <c r="L740">
        <v>27328.1</v>
      </c>
      <c r="M740">
        <v>11.59</v>
      </c>
      <c r="N740">
        <v>231.8</v>
      </c>
      <c r="O740">
        <v>339</v>
      </c>
      <c r="P740" s="2">
        <v>46194</v>
      </c>
      <c r="Q740" s="2">
        <v>46194</v>
      </c>
      <c r="R740" t="s">
        <v>25</v>
      </c>
      <c r="S740" t="s">
        <v>51</v>
      </c>
    </row>
    <row r="741" spans="1:19" x14ac:dyDescent="0.25">
      <c r="A741" t="s">
        <v>831</v>
      </c>
      <c r="B741" s="2">
        <v>46170</v>
      </c>
      <c r="C741" t="s">
        <v>53</v>
      </c>
      <c r="D741" t="s">
        <v>54</v>
      </c>
      <c r="E741" t="s">
        <v>131</v>
      </c>
      <c r="F741" t="s">
        <v>112</v>
      </c>
      <c r="G741" t="s">
        <v>57</v>
      </c>
      <c r="H741">
        <v>142</v>
      </c>
      <c r="I741">
        <v>143</v>
      </c>
      <c r="J741">
        <v>6</v>
      </c>
      <c r="K741">
        <v>2.2000000000000002</v>
      </c>
      <c r="L741">
        <v>17867.95</v>
      </c>
      <c r="M741">
        <v>4.78</v>
      </c>
      <c r="N741">
        <v>124.28</v>
      </c>
      <c r="O741">
        <v>186</v>
      </c>
      <c r="P741" s="2">
        <v>46174</v>
      </c>
      <c r="Q741" s="2">
        <v>46174</v>
      </c>
      <c r="R741" t="s">
        <v>100</v>
      </c>
      <c r="S741" t="s">
        <v>33</v>
      </c>
    </row>
    <row r="742" spans="1:19" x14ac:dyDescent="0.25">
      <c r="A742" t="s">
        <v>832</v>
      </c>
      <c r="B742" s="2">
        <v>46031</v>
      </c>
      <c r="C742" t="s">
        <v>35</v>
      </c>
      <c r="D742" t="s">
        <v>36</v>
      </c>
      <c r="E742" t="s">
        <v>69</v>
      </c>
      <c r="F742" t="s">
        <v>61</v>
      </c>
      <c r="G742" t="s">
        <v>24</v>
      </c>
      <c r="H742">
        <v>300</v>
      </c>
      <c r="I742">
        <v>265</v>
      </c>
      <c r="J742">
        <v>20</v>
      </c>
      <c r="K742">
        <v>8.6</v>
      </c>
      <c r="L742">
        <v>28044.85</v>
      </c>
      <c r="M742">
        <v>9.32</v>
      </c>
      <c r="N742">
        <v>242.32</v>
      </c>
      <c r="O742">
        <v>396</v>
      </c>
      <c r="P742" s="2">
        <v>46033</v>
      </c>
      <c r="Q742" s="2">
        <v>46037</v>
      </c>
      <c r="R742" t="s">
        <v>100</v>
      </c>
      <c r="S742" t="s">
        <v>33</v>
      </c>
    </row>
    <row r="743" spans="1:19" x14ac:dyDescent="0.25">
      <c r="A743" t="s">
        <v>833</v>
      </c>
      <c r="B743" s="2">
        <v>46097</v>
      </c>
      <c r="C743" t="s">
        <v>35</v>
      </c>
      <c r="D743" t="s">
        <v>36</v>
      </c>
      <c r="E743" t="s">
        <v>37</v>
      </c>
      <c r="F743" t="s">
        <v>41</v>
      </c>
      <c r="G743" t="s">
        <v>32</v>
      </c>
      <c r="H743">
        <v>173</v>
      </c>
      <c r="I743">
        <v>154</v>
      </c>
      <c r="J743">
        <v>13</v>
      </c>
      <c r="K743">
        <v>5.7</v>
      </c>
      <c r="L743">
        <v>14941.04</v>
      </c>
      <c r="M743">
        <v>3.15</v>
      </c>
      <c r="N743">
        <v>69.3</v>
      </c>
      <c r="O743">
        <v>161</v>
      </c>
      <c r="P743" s="2">
        <v>46101</v>
      </c>
      <c r="Q743" s="2">
        <v>46102</v>
      </c>
      <c r="R743" t="s">
        <v>100</v>
      </c>
      <c r="S743" t="s">
        <v>51</v>
      </c>
    </row>
    <row r="744" spans="1:19" x14ac:dyDescent="0.25">
      <c r="A744" t="s">
        <v>834</v>
      </c>
      <c r="B744" s="2">
        <v>46085</v>
      </c>
      <c r="C744" t="s">
        <v>53</v>
      </c>
      <c r="D744" t="s">
        <v>54</v>
      </c>
      <c r="E744" t="s">
        <v>55</v>
      </c>
      <c r="F744" t="s">
        <v>83</v>
      </c>
      <c r="G744" t="s">
        <v>32</v>
      </c>
      <c r="H744">
        <v>147</v>
      </c>
      <c r="I744">
        <v>111</v>
      </c>
      <c r="J744">
        <v>6</v>
      </c>
      <c r="K744">
        <v>0.7</v>
      </c>
      <c r="L744">
        <v>18097.34</v>
      </c>
      <c r="M744">
        <v>2.65</v>
      </c>
      <c r="N744">
        <v>58.3</v>
      </c>
      <c r="O744">
        <v>194</v>
      </c>
      <c r="P744" s="2">
        <v>46091</v>
      </c>
      <c r="Q744" s="2">
        <v>46095</v>
      </c>
      <c r="R744" t="s">
        <v>25</v>
      </c>
      <c r="S744" t="s">
        <v>86</v>
      </c>
    </row>
    <row r="745" spans="1:19" x14ac:dyDescent="0.25">
      <c r="A745" t="s">
        <v>835</v>
      </c>
      <c r="B745" s="2">
        <v>46168</v>
      </c>
      <c r="C745" t="s">
        <v>59</v>
      </c>
      <c r="D745" t="s">
        <v>49</v>
      </c>
      <c r="E745" t="s">
        <v>60</v>
      </c>
      <c r="F745" t="s">
        <v>106</v>
      </c>
      <c r="G745" t="s">
        <v>32</v>
      </c>
      <c r="H745">
        <v>89</v>
      </c>
      <c r="I745">
        <v>93</v>
      </c>
      <c r="J745">
        <v>1</v>
      </c>
      <c r="K745">
        <v>2.6</v>
      </c>
      <c r="L745">
        <v>14103.98</v>
      </c>
      <c r="M745">
        <v>2.48</v>
      </c>
      <c r="N745">
        <v>54.56</v>
      </c>
      <c r="O745">
        <v>128</v>
      </c>
      <c r="P745" s="2">
        <v>46172</v>
      </c>
      <c r="Q745" s="2">
        <v>46172</v>
      </c>
      <c r="R745" t="s">
        <v>100</v>
      </c>
      <c r="S745" t="s">
        <v>86</v>
      </c>
    </row>
    <row r="746" spans="1:19" x14ac:dyDescent="0.25">
      <c r="A746" t="s">
        <v>836</v>
      </c>
      <c r="B746" s="2">
        <v>46062</v>
      </c>
      <c r="C746" t="s">
        <v>43</v>
      </c>
      <c r="D746" t="s">
        <v>44</v>
      </c>
      <c r="E746" t="s">
        <v>93</v>
      </c>
      <c r="F746" t="s">
        <v>112</v>
      </c>
      <c r="G746" t="s">
        <v>24</v>
      </c>
      <c r="H746">
        <v>235</v>
      </c>
      <c r="I746">
        <v>198</v>
      </c>
      <c r="J746">
        <v>7</v>
      </c>
      <c r="K746">
        <v>5.7</v>
      </c>
      <c r="L746">
        <v>17817.32</v>
      </c>
      <c r="M746">
        <v>5</v>
      </c>
      <c r="N746">
        <v>130</v>
      </c>
      <c r="O746">
        <v>198</v>
      </c>
      <c r="P746" s="2">
        <v>46068</v>
      </c>
      <c r="Q746" s="2">
        <v>46069</v>
      </c>
      <c r="R746" t="s">
        <v>39</v>
      </c>
      <c r="S746" t="s">
        <v>72</v>
      </c>
    </row>
    <row r="747" spans="1:19" x14ac:dyDescent="0.25">
      <c r="A747" t="s">
        <v>837</v>
      </c>
      <c r="B747" s="2">
        <v>46145</v>
      </c>
      <c r="C747" t="s">
        <v>43</v>
      </c>
      <c r="D747" t="s">
        <v>44</v>
      </c>
      <c r="E747" t="s">
        <v>161</v>
      </c>
      <c r="F747" t="s">
        <v>38</v>
      </c>
      <c r="G747" t="s">
        <v>32</v>
      </c>
      <c r="H747">
        <v>244</v>
      </c>
      <c r="I747">
        <v>192</v>
      </c>
      <c r="J747">
        <v>15</v>
      </c>
      <c r="K747">
        <v>2.8</v>
      </c>
      <c r="L747">
        <v>23641.73</v>
      </c>
      <c r="M747">
        <v>5.69</v>
      </c>
      <c r="N747">
        <v>113.8</v>
      </c>
      <c r="O747">
        <v>338</v>
      </c>
      <c r="P747" s="2">
        <v>46154</v>
      </c>
      <c r="Q747" s="2">
        <v>46154</v>
      </c>
      <c r="R747" t="s">
        <v>100</v>
      </c>
      <c r="S747" t="s">
        <v>33</v>
      </c>
    </row>
    <row r="748" spans="1:19" x14ac:dyDescent="0.25">
      <c r="A748" t="s">
        <v>838</v>
      </c>
      <c r="B748" s="2">
        <v>46194</v>
      </c>
      <c r="C748" t="s">
        <v>20</v>
      </c>
      <c r="D748" t="s">
        <v>21</v>
      </c>
      <c r="E748" t="s">
        <v>90</v>
      </c>
      <c r="F748" t="s">
        <v>38</v>
      </c>
      <c r="G748" t="s">
        <v>57</v>
      </c>
      <c r="H748">
        <v>137</v>
      </c>
      <c r="I748">
        <v>116</v>
      </c>
      <c r="J748">
        <v>2</v>
      </c>
      <c r="K748">
        <v>2.5</v>
      </c>
      <c r="L748">
        <v>44526.93</v>
      </c>
      <c r="M748">
        <v>3.9</v>
      </c>
      <c r="N748">
        <v>85.8</v>
      </c>
      <c r="O748">
        <v>224</v>
      </c>
      <c r="P748" s="2">
        <v>46203</v>
      </c>
      <c r="Q748" s="2">
        <v>46201</v>
      </c>
      <c r="R748" t="s">
        <v>39</v>
      </c>
      <c r="S748" t="s">
        <v>51</v>
      </c>
    </row>
    <row r="749" spans="1:19" x14ac:dyDescent="0.25">
      <c r="A749" t="s">
        <v>839</v>
      </c>
      <c r="B749" s="2">
        <v>46116</v>
      </c>
      <c r="C749" t="s">
        <v>80</v>
      </c>
      <c r="D749" t="s">
        <v>21</v>
      </c>
      <c r="E749" t="s">
        <v>90</v>
      </c>
      <c r="F749" t="s">
        <v>122</v>
      </c>
      <c r="G749" t="s">
        <v>24</v>
      </c>
      <c r="H749">
        <v>240</v>
      </c>
      <c r="I749">
        <v>183</v>
      </c>
      <c r="J749">
        <v>6</v>
      </c>
      <c r="K749">
        <v>0.6</v>
      </c>
      <c r="L749">
        <v>50205.13</v>
      </c>
      <c r="M749">
        <v>6.55</v>
      </c>
      <c r="N749">
        <v>117.9</v>
      </c>
      <c r="O749">
        <v>214</v>
      </c>
      <c r="P749" s="2">
        <v>46125</v>
      </c>
      <c r="Q749" s="2">
        <v>46125</v>
      </c>
      <c r="R749" t="s">
        <v>25</v>
      </c>
      <c r="S749" t="s">
        <v>51</v>
      </c>
    </row>
    <row r="750" spans="1:19" x14ac:dyDescent="0.25">
      <c r="A750" t="s">
        <v>840</v>
      </c>
      <c r="B750" s="2">
        <v>46199</v>
      </c>
      <c r="C750" t="s">
        <v>28</v>
      </c>
      <c r="D750" t="s">
        <v>29</v>
      </c>
      <c r="E750" t="s">
        <v>63</v>
      </c>
      <c r="F750" t="s">
        <v>31</v>
      </c>
      <c r="G750" t="s">
        <v>57</v>
      </c>
      <c r="H750">
        <v>256</v>
      </c>
      <c r="I750">
        <v>263</v>
      </c>
      <c r="J750">
        <v>5</v>
      </c>
      <c r="K750">
        <v>8.8000000000000007</v>
      </c>
      <c r="L750">
        <v>51772.39</v>
      </c>
      <c r="M750">
        <v>9.42</v>
      </c>
      <c r="N750">
        <v>169.56</v>
      </c>
      <c r="O750">
        <v>249</v>
      </c>
      <c r="P750" s="2">
        <v>46209</v>
      </c>
      <c r="Q750" s="2">
        <v>46209</v>
      </c>
      <c r="R750" t="s">
        <v>25</v>
      </c>
      <c r="S750" t="s">
        <v>51</v>
      </c>
    </row>
    <row r="751" spans="1:19" x14ac:dyDescent="0.25">
      <c r="A751" t="s">
        <v>841</v>
      </c>
      <c r="B751" s="2">
        <v>46172</v>
      </c>
      <c r="C751" t="s">
        <v>53</v>
      </c>
      <c r="D751" t="s">
        <v>54</v>
      </c>
      <c r="E751" t="s">
        <v>131</v>
      </c>
      <c r="F751" t="s">
        <v>114</v>
      </c>
      <c r="G751" t="s">
        <v>57</v>
      </c>
      <c r="H751">
        <v>105</v>
      </c>
      <c r="I751">
        <v>99</v>
      </c>
      <c r="J751">
        <v>7</v>
      </c>
      <c r="K751">
        <v>2.9</v>
      </c>
      <c r="L751">
        <v>13621.51</v>
      </c>
      <c r="M751">
        <v>2.06</v>
      </c>
      <c r="N751">
        <v>37.08</v>
      </c>
      <c r="O751">
        <v>186</v>
      </c>
      <c r="P751" s="2">
        <v>46177</v>
      </c>
      <c r="Q751" s="2">
        <v>46176</v>
      </c>
      <c r="R751" t="s">
        <v>39</v>
      </c>
      <c r="S751" t="s">
        <v>26</v>
      </c>
    </row>
    <row r="752" spans="1:19" x14ac:dyDescent="0.25">
      <c r="A752" t="s">
        <v>842</v>
      </c>
      <c r="B752" s="2">
        <v>46147</v>
      </c>
      <c r="C752" t="s">
        <v>59</v>
      </c>
      <c r="D752" t="s">
        <v>49</v>
      </c>
      <c r="E752" t="s">
        <v>60</v>
      </c>
      <c r="F752" t="s">
        <v>104</v>
      </c>
      <c r="G752" t="s">
        <v>32</v>
      </c>
      <c r="H752">
        <v>82</v>
      </c>
      <c r="I752">
        <v>79</v>
      </c>
      <c r="J752">
        <v>6</v>
      </c>
      <c r="K752">
        <v>1</v>
      </c>
      <c r="L752">
        <v>16882</v>
      </c>
      <c r="M752">
        <v>1.79</v>
      </c>
      <c r="N752">
        <v>46.54</v>
      </c>
      <c r="O752">
        <v>166</v>
      </c>
      <c r="P752" s="2">
        <v>46149</v>
      </c>
      <c r="Q752" s="2">
        <v>46149</v>
      </c>
      <c r="R752" t="s">
        <v>100</v>
      </c>
      <c r="S752" t="s">
        <v>72</v>
      </c>
    </row>
    <row r="753" spans="1:19" x14ac:dyDescent="0.25">
      <c r="A753" t="s">
        <v>843</v>
      </c>
      <c r="B753" s="2">
        <v>46184</v>
      </c>
      <c r="C753" t="s">
        <v>43</v>
      </c>
      <c r="D753" t="s">
        <v>44</v>
      </c>
      <c r="E753" t="s">
        <v>161</v>
      </c>
      <c r="F753" t="s">
        <v>197</v>
      </c>
      <c r="G753" t="s">
        <v>57</v>
      </c>
      <c r="H753">
        <v>209</v>
      </c>
      <c r="I753">
        <v>193</v>
      </c>
      <c r="J753">
        <v>5</v>
      </c>
      <c r="K753">
        <v>5.8</v>
      </c>
      <c r="L753">
        <v>20926.84</v>
      </c>
      <c r="M753">
        <v>5.05</v>
      </c>
      <c r="N753">
        <v>131.30000000000001</v>
      </c>
      <c r="O753">
        <v>297</v>
      </c>
      <c r="P753" s="2">
        <v>46190</v>
      </c>
      <c r="Q753" s="2">
        <v>46194</v>
      </c>
      <c r="R753" t="s">
        <v>25</v>
      </c>
      <c r="S753" t="s">
        <v>72</v>
      </c>
    </row>
    <row r="754" spans="1:19" x14ac:dyDescent="0.25">
      <c r="A754" t="s">
        <v>844</v>
      </c>
      <c r="B754" s="2">
        <v>46024</v>
      </c>
      <c r="C754" t="s">
        <v>48</v>
      </c>
      <c r="D754" t="s">
        <v>49</v>
      </c>
      <c r="E754" t="s">
        <v>60</v>
      </c>
      <c r="F754" t="s">
        <v>197</v>
      </c>
      <c r="G754" t="s">
        <v>57</v>
      </c>
      <c r="H754">
        <v>200</v>
      </c>
      <c r="I754">
        <v>186</v>
      </c>
      <c r="J754">
        <v>3</v>
      </c>
      <c r="K754">
        <v>6.8</v>
      </c>
      <c r="L754">
        <v>35231.75</v>
      </c>
      <c r="M754">
        <v>7.2</v>
      </c>
      <c r="N754">
        <v>158.4</v>
      </c>
      <c r="O754">
        <v>297</v>
      </c>
      <c r="P754" s="2">
        <v>46028</v>
      </c>
      <c r="Q754" s="2">
        <v>46028</v>
      </c>
      <c r="R754" t="s">
        <v>25</v>
      </c>
      <c r="S754" t="s">
        <v>51</v>
      </c>
    </row>
    <row r="755" spans="1:19" x14ac:dyDescent="0.25">
      <c r="A755" t="s">
        <v>845</v>
      </c>
      <c r="B755" s="2">
        <v>46101</v>
      </c>
      <c r="C755" t="s">
        <v>59</v>
      </c>
      <c r="D755" t="s">
        <v>49</v>
      </c>
      <c r="E755" t="s">
        <v>76</v>
      </c>
      <c r="F755" t="s">
        <v>104</v>
      </c>
      <c r="G755" t="s">
        <v>24</v>
      </c>
      <c r="H755">
        <v>276</v>
      </c>
      <c r="I755">
        <v>261</v>
      </c>
      <c r="J755">
        <v>3</v>
      </c>
      <c r="K755">
        <v>2.7</v>
      </c>
      <c r="L755">
        <v>48274.8</v>
      </c>
      <c r="M755">
        <v>5.67</v>
      </c>
      <c r="N755">
        <v>113.4</v>
      </c>
      <c r="O755">
        <v>285</v>
      </c>
      <c r="P755" s="2">
        <v>46109</v>
      </c>
      <c r="Q755" s="2">
        <v>46109</v>
      </c>
      <c r="R755" t="s">
        <v>25</v>
      </c>
      <c r="S755" t="s">
        <v>51</v>
      </c>
    </row>
    <row r="756" spans="1:19" x14ac:dyDescent="0.25">
      <c r="A756" t="s">
        <v>846</v>
      </c>
      <c r="B756" s="2">
        <v>46106</v>
      </c>
      <c r="C756" t="s">
        <v>53</v>
      </c>
      <c r="D756" t="s">
        <v>54</v>
      </c>
      <c r="E756" t="s">
        <v>131</v>
      </c>
      <c r="F756" t="s">
        <v>125</v>
      </c>
      <c r="G756" t="s">
        <v>32</v>
      </c>
      <c r="H756">
        <v>279</v>
      </c>
      <c r="I756">
        <v>288</v>
      </c>
      <c r="J756">
        <v>7</v>
      </c>
      <c r="K756">
        <v>2.4</v>
      </c>
      <c r="L756">
        <v>51842.09</v>
      </c>
      <c r="M756">
        <v>7.75</v>
      </c>
      <c r="N756">
        <v>170.5</v>
      </c>
      <c r="O756">
        <v>324</v>
      </c>
      <c r="P756" s="2">
        <v>46113</v>
      </c>
      <c r="Q756" s="2">
        <v>46114</v>
      </c>
      <c r="R756" t="s">
        <v>100</v>
      </c>
      <c r="S756" t="s">
        <v>26</v>
      </c>
    </row>
    <row r="757" spans="1:19" x14ac:dyDescent="0.25">
      <c r="A757" t="s">
        <v>847</v>
      </c>
      <c r="B757" s="2">
        <v>46123</v>
      </c>
      <c r="C757" t="s">
        <v>35</v>
      </c>
      <c r="D757" t="s">
        <v>36</v>
      </c>
      <c r="E757" t="s">
        <v>37</v>
      </c>
      <c r="F757" t="s">
        <v>125</v>
      </c>
      <c r="G757" t="s">
        <v>32</v>
      </c>
      <c r="H757">
        <v>275</v>
      </c>
      <c r="I757">
        <v>309</v>
      </c>
      <c r="J757">
        <v>3</v>
      </c>
      <c r="K757">
        <v>3.7</v>
      </c>
      <c r="L757">
        <v>27057.9</v>
      </c>
      <c r="M757">
        <v>8.9499999999999993</v>
      </c>
      <c r="N757">
        <v>196.9</v>
      </c>
      <c r="O757">
        <v>239</v>
      </c>
      <c r="P757" s="2">
        <v>46128</v>
      </c>
      <c r="Q757" s="2">
        <v>46128</v>
      </c>
      <c r="R757" t="s">
        <v>25</v>
      </c>
      <c r="S757" t="s">
        <v>33</v>
      </c>
    </row>
    <row r="758" spans="1:19" x14ac:dyDescent="0.25">
      <c r="A758" t="s">
        <v>848</v>
      </c>
      <c r="B758" s="2">
        <v>46105</v>
      </c>
      <c r="C758" t="s">
        <v>35</v>
      </c>
      <c r="D758" t="s">
        <v>36</v>
      </c>
      <c r="E758" t="s">
        <v>69</v>
      </c>
      <c r="F758" t="s">
        <v>112</v>
      </c>
      <c r="G758" t="s">
        <v>24</v>
      </c>
      <c r="H758">
        <v>163</v>
      </c>
      <c r="I758">
        <v>156</v>
      </c>
      <c r="J758">
        <v>11</v>
      </c>
      <c r="K758">
        <v>7.2</v>
      </c>
      <c r="L758">
        <v>14731.5</v>
      </c>
      <c r="M758">
        <v>3.83</v>
      </c>
      <c r="N758">
        <v>68.94</v>
      </c>
      <c r="O758">
        <v>185</v>
      </c>
      <c r="P758" s="2">
        <v>46109</v>
      </c>
      <c r="Q758" s="2">
        <v>46110</v>
      </c>
      <c r="R758" t="s">
        <v>100</v>
      </c>
      <c r="S758" t="s">
        <v>72</v>
      </c>
    </row>
    <row r="759" spans="1:19" x14ac:dyDescent="0.25">
      <c r="A759" t="s">
        <v>849</v>
      </c>
      <c r="B759" s="2">
        <v>46034</v>
      </c>
      <c r="C759" t="s">
        <v>35</v>
      </c>
      <c r="D759" t="s">
        <v>36</v>
      </c>
      <c r="E759" t="s">
        <v>69</v>
      </c>
      <c r="F759" t="s">
        <v>170</v>
      </c>
      <c r="G759" t="s">
        <v>24</v>
      </c>
      <c r="H759">
        <v>143</v>
      </c>
      <c r="I759">
        <v>120</v>
      </c>
      <c r="J759">
        <v>7</v>
      </c>
      <c r="K759">
        <v>3.4</v>
      </c>
      <c r="L759">
        <v>9817.43</v>
      </c>
      <c r="M759">
        <v>2.96</v>
      </c>
      <c r="N759">
        <v>65.12</v>
      </c>
      <c r="O759">
        <v>215</v>
      </c>
      <c r="P759" s="2">
        <v>46040</v>
      </c>
      <c r="Q759" s="2">
        <v>46039</v>
      </c>
      <c r="R759" t="s">
        <v>100</v>
      </c>
      <c r="S759" t="s">
        <v>33</v>
      </c>
    </row>
    <row r="760" spans="1:19" x14ac:dyDescent="0.25">
      <c r="A760" t="s">
        <v>850</v>
      </c>
      <c r="B760" s="2">
        <v>46106</v>
      </c>
      <c r="C760" t="s">
        <v>35</v>
      </c>
      <c r="D760" t="s">
        <v>36</v>
      </c>
      <c r="E760" t="s">
        <v>37</v>
      </c>
      <c r="F760" t="s">
        <v>197</v>
      </c>
      <c r="G760" t="s">
        <v>57</v>
      </c>
      <c r="H760">
        <v>303</v>
      </c>
      <c r="I760">
        <v>237</v>
      </c>
      <c r="J760">
        <v>7</v>
      </c>
      <c r="K760">
        <v>1.8</v>
      </c>
      <c r="L760">
        <v>17317.57</v>
      </c>
      <c r="M760">
        <v>7.52</v>
      </c>
      <c r="N760">
        <v>165.44</v>
      </c>
      <c r="O760">
        <v>398</v>
      </c>
      <c r="P760" s="2">
        <v>46112</v>
      </c>
      <c r="Q760" s="2">
        <v>46110</v>
      </c>
      <c r="R760" t="s">
        <v>25</v>
      </c>
      <c r="S760" t="s">
        <v>86</v>
      </c>
    </row>
    <row r="761" spans="1:19" x14ac:dyDescent="0.25">
      <c r="A761" t="s">
        <v>851</v>
      </c>
      <c r="B761" s="2">
        <v>46115</v>
      </c>
      <c r="C761" t="s">
        <v>53</v>
      </c>
      <c r="D761" t="s">
        <v>54</v>
      </c>
      <c r="E761" t="s">
        <v>55</v>
      </c>
      <c r="F761" t="s">
        <v>77</v>
      </c>
      <c r="G761" t="s">
        <v>32</v>
      </c>
      <c r="H761">
        <v>127</v>
      </c>
      <c r="I761">
        <v>108</v>
      </c>
      <c r="J761">
        <v>2</v>
      </c>
      <c r="K761">
        <v>3.3</v>
      </c>
      <c r="L761">
        <v>15494.84</v>
      </c>
      <c r="M761">
        <v>2.62</v>
      </c>
      <c r="N761">
        <v>68.12</v>
      </c>
      <c r="O761">
        <v>92</v>
      </c>
      <c r="P761" s="2">
        <v>46119</v>
      </c>
      <c r="Q761" s="2">
        <v>46118</v>
      </c>
      <c r="R761" t="s">
        <v>100</v>
      </c>
      <c r="S761" t="s">
        <v>72</v>
      </c>
    </row>
    <row r="762" spans="1:19" x14ac:dyDescent="0.25">
      <c r="A762" t="s">
        <v>852</v>
      </c>
      <c r="B762" s="2">
        <v>46035</v>
      </c>
      <c r="C762" t="s">
        <v>80</v>
      </c>
      <c r="D762" t="s">
        <v>21</v>
      </c>
      <c r="E762" t="s">
        <v>66</v>
      </c>
      <c r="F762" t="s">
        <v>112</v>
      </c>
      <c r="G762" t="s">
        <v>57</v>
      </c>
      <c r="H762">
        <v>175</v>
      </c>
      <c r="I762">
        <v>127</v>
      </c>
      <c r="J762">
        <v>5</v>
      </c>
      <c r="K762">
        <v>0.3</v>
      </c>
      <c r="L762">
        <v>36631.08</v>
      </c>
      <c r="M762">
        <v>4.6900000000000004</v>
      </c>
      <c r="N762">
        <v>112.56</v>
      </c>
      <c r="O762">
        <v>207</v>
      </c>
      <c r="P762" s="2">
        <v>46046</v>
      </c>
      <c r="Q762" s="2">
        <v>46047</v>
      </c>
      <c r="R762" t="s">
        <v>25</v>
      </c>
      <c r="S762" t="s">
        <v>26</v>
      </c>
    </row>
    <row r="763" spans="1:19" x14ac:dyDescent="0.25">
      <c r="A763" t="s">
        <v>853</v>
      </c>
      <c r="B763" s="2">
        <v>46046</v>
      </c>
      <c r="C763" t="s">
        <v>20</v>
      </c>
      <c r="D763" t="s">
        <v>21</v>
      </c>
      <c r="E763" t="s">
        <v>66</v>
      </c>
      <c r="F763" t="s">
        <v>38</v>
      </c>
      <c r="G763" t="s">
        <v>24</v>
      </c>
      <c r="H763">
        <v>120</v>
      </c>
      <c r="I763">
        <v>127</v>
      </c>
      <c r="J763">
        <v>10</v>
      </c>
      <c r="K763">
        <v>0.8</v>
      </c>
      <c r="L763">
        <v>48780.44</v>
      </c>
      <c r="M763">
        <v>5.31</v>
      </c>
      <c r="N763">
        <v>95.58</v>
      </c>
      <c r="O763">
        <v>190</v>
      </c>
      <c r="P763" s="2">
        <v>46052</v>
      </c>
      <c r="Q763" s="2">
        <v>46056</v>
      </c>
      <c r="R763" t="s">
        <v>100</v>
      </c>
      <c r="S763" t="s">
        <v>51</v>
      </c>
    </row>
    <row r="764" spans="1:19" x14ac:dyDescent="0.25">
      <c r="A764" t="s">
        <v>854</v>
      </c>
      <c r="B764" s="2">
        <v>46189</v>
      </c>
      <c r="C764" t="s">
        <v>48</v>
      </c>
      <c r="D764" t="s">
        <v>49</v>
      </c>
      <c r="E764" t="s">
        <v>50</v>
      </c>
      <c r="F764" t="s">
        <v>104</v>
      </c>
      <c r="G764" t="s">
        <v>32</v>
      </c>
      <c r="H764">
        <v>126</v>
      </c>
      <c r="I764">
        <v>125</v>
      </c>
      <c r="J764">
        <v>4</v>
      </c>
      <c r="K764">
        <v>4.7</v>
      </c>
      <c r="L764">
        <v>29028.62</v>
      </c>
      <c r="M764">
        <v>3.55</v>
      </c>
      <c r="N764">
        <v>63.9</v>
      </c>
      <c r="O764">
        <v>188</v>
      </c>
      <c r="P764" s="2">
        <v>46200</v>
      </c>
      <c r="Q764" s="2">
        <v>46200</v>
      </c>
      <c r="R764" t="s">
        <v>25</v>
      </c>
      <c r="S764" t="s">
        <v>33</v>
      </c>
    </row>
    <row r="765" spans="1:19" x14ac:dyDescent="0.25">
      <c r="A765" t="s">
        <v>855</v>
      </c>
      <c r="B765" s="2">
        <v>46025</v>
      </c>
      <c r="C765" t="s">
        <v>28</v>
      </c>
      <c r="D765" t="s">
        <v>29</v>
      </c>
      <c r="E765" t="s">
        <v>95</v>
      </c>
      <c r="F765" t="s">
        <v>197</v>
      </c>
      <c r="G765" t="s">
        <v>57</v>
      </c>
      <c r="H765">
        <v>189</v>
      </c>
      <c r="I765">
        <v>148</v>
      </c>
      <c r="J765">
        <v>12</v>
      </c>
      <c r="K765">
        <v>5.3</v>
      </c>
      <c r="L765">
        <v>37415.699999999997</v>
      </c>
      <c r="M765">
        <v>4.99</v>
      </c>
      <c r="N765">
        <v>99.8</v>
      </c>
      <c r="O765">
        <v>239</v>
      </c>
      <c r="P765" s="2">
        <v>46036</v>
      </c>
      <c r="Q765" s="2">
        <v>46036</v>
      </c>
      <c r="R765" t="s">
        <v>25</v>
      </c>
      <c r="S765" t="s">
        <v>51</v>
      </c>
    </row>
    <row r="766" spans="1:19" x14ac:dyDescent="0.25">
      <c r="A766" t="s">
        <v>856</v>
      </c>
      <c r="B766" s="2">
        <v>46101</v>
      </c>
      <c r="C766" t="s">
        <v>43</v>
      </c>
      <c r="D766" t="s">
        <v>44</v>
      </c>
      <c r="E766" t="s">
        <v>93</v>
      </c>
      <c r="F766" t="s">
        <v>125</v>
      </c>
      <c r="G766" t="s">
        <v>57</v>
      </c>
      <c r="H766">
        <v>86</v>
      </c>
      <c r="I766">
        <v>81</v>
      </c>
      <c r="J766">
        <v>7</v>
      </c>
      <c r="K766">
        <v>0.4</v>
      </c>
      <c r="L766">
        <v>7904.73</v>
      </c>
      <c r="M766">
        <v>1.59</v>
      </c>
      <c r="N766">
        <v>34.979999999999997</v>
      </c>
      <c r="O766">
        <v>108</v>
      </c>
      <c r="P766" s="2">
        <v>46113</v>
      </c>
      <c r="Q766" s="2">
        <v>46113</v>
      </c>
      <c r="R766" t="s">
        <v>25</v>
      </c>
      <c r="S766" t="s">
        <v>72</v>
      </c>
    </row>
    <row r="767" spans="1:19" x14ac:dyDescent="0.25">
      <c r="A767" t="s">
        <v>857</v>
      </c>
      <c r="B767" s="2">
        <v>46092</v>
      </c>
      <c r="C767" t="s">
        <v>28</v>
      </c>
      <c r="D767" t="s">
        <v>29</v>
      </c>
      <c r="E767" t="s">
        <v>63</v>
      </c>
      <c r="F767" t="s">
        <v>74</v>
      </c>
      <c r="G767" t="s">
        <v>32</v>
      </c>
      <c r="H767">
        <v>277</v>
      </c>
      <c r="I767">
        <v>241</v>
      </c>
      <c r="J767">
        <v>4</v>
      </c>
      <c r="K767">
        <v>8.1</v>
      </c>
      <c r="L767">
        <v>58716.94</v>
      </c>
      <c r="M767">
        <v>6.51</v>
      </c>
      <c r="N767">
        <v>156.24</v>
      </c>
      <c r="O767">
        <v>290</v>
      </c>
      <c r="P767" s="2">
        <v>46100</v>
      </c>
      <c r="Q767" s="2">
        <v>46098</v>
      </c>
      <c r="R767" t="s">
        <v>100</v>
      </c>
      <c r="S767" t="s">
        <v>51</v>
      </c>
    </row>
    <row r="768" spans="1:19" x14ac:dyDescent="0.25">
      <c r="A768" t="s">
        <v>858</v>
      </c>
      <c r="B768" s="2">
        <v>46075</v>
      </c>
      <c r="C768" t="s">
        <v>35</v>
      </c>
      <c r="D768" t="s">
        <v>36</v>
      </c>
      <c r="E768" t="s">
        <v>37</v>
      </c>
      <c r="F768" t="s">
        <v>31</v>
      </c>
      <c r="G768" t="s">
        <v>57</v>
      </c>
      <c r="H768">
        <v>103</v>
      </c>
      <c r="I768">
        <v>117</v>
      </c>
      <c r="J768">
        <v>5</v>
      </c>
      <c r="K768">
        <v>5.2</v>
      </c>
      <c r="L768">
        <v>9858.7099999999991</v>
      </c>
      <c r="M768">
        <v>2.69</v>
      </c>
      <c r="N768">
        <v>64.56</v>
      </c>
      <c r="O768">
        <v>154</v>
      </c>
      <c r="P768" s="2">
        <v>46082</v>
      </c>
      <c r="Q768" s="2">
        <v>46084</v>
      </c>
      <c r="R768" t="s">
        <v>25</v>
      </c>
      <c r="S768" t="s">
        <v>26</v>
      </c>
    </row>
    <row r="769" spans="1:19" x14ac:dyDescent="0.25">
      <c r="A769" t="s">
        <v>859</v>
      </c>
      <c r="B769" s="2">
        <v>46115</v>
      </c>
      <c r="C769" t="s">
        <v>53</v>
      </c>
      <c r="D769" t="s">
        <v>54</v>
      </c>
      <c r="E769" t="s">
        <v>131</v>
      </c>
      <c r="F769" t="s">
        <v>56</v>
      </c>
      <c r="G769" t="s">
        <v>24</v>
      </c>
      <c r="H769">
        <v>210</v>
      </c>
      <c r="I769">
        <v>161</v>
      </c>
      <c r="J769">
        <v>7</v>
      </c>
      <c r="K769">
        <v>0.1</v>
      </c>
      <c r="L769">
        <v>24834.45</v>
      </c>
      <c r="M769">
        <v>6.21</v>
      </c>
      <c r="N769">
        <v>136.62</v>
      </c>
      <c r="O769">
        <v>262</v>
      </c>
      <c r="P769" s="2">
        <v>46121</v>
      </c>
      <c r="Q769" s="2">
        <v>46120</v>
      </c>
      <c r="R769" t="s">
        <v>100</v>
      </c>
      <c r="S769" t="s">
        <v>86</v>
      </c>
    </row>
    <row r="770" spans="1:19" x14ac:dyDescent="0.25">
      <c r="A770" t="s">
        <v>860</v>
      </c>
      <c r="B770" s="2">
        <v>46081</v>
      </c>
      <c r="C770" t="s">
        <v>20</v>
      </c>
      <c r="D770" t="s">
        <v>21</v>
      </c>
      <c r="E770" t="s">
        <v>66</v>
      </c>
      <c r="F770" t="s">
        <v>135</v>
      </c>
      <c r="G770" t="s">
        <v>57</v>
      </c>
      <c r="H770">
        <v>244</v>
      </c>
      <c r="I770">
        <v>260</v>
      </c>
      <c r="J770">
        <v>21</v>
      </c>
      <c r="K770">
        <v>0.1</v>
      </c>
      <c r="L770">
        <v>104314.43</v>
      </c>
      <c r="M770">
        <v>10.28</v>
      </c>
      <c r="N770">
        <v>185.04</v>
      </c>
      <c r="O770">
        <v>240</v>
      </c>
      <c r="P770" s="2">
        <v>46086</v>
      </c>
      <c r="Q770" s="2">
        <v>46086</v>
      </c>
      <c r="R770" t="s">
        <v>39</v>
      </c>
      <c r="S770" t="s">
        <v>26</v>
      </c>
    </row>
    <row r="771" spans="1:19" x14ac:dyDescent="0.25">
      <c r="A771" t="s">
        <v>861</v>
      </c>
      <c r="B771" s="2">
        <v>46062</v>
      </c>
      <c r="C771" t="s">
        <v>43</v>
      </c>
      <c r="D771" t="s">
        <v>44</v>
      </c>
      <c r="E771" t="s">
        <v>45</v>
      </c>
      <c r="F771" t="s">
        <v>67</v>
      </c>
      <c r="G771" t="s">
        <v>24</v>
      </c>
      <c r="H771">
        <v>200</v>
      </c>
      <c r="I771">
        <v>209</v>
      </c>
      <c r="J771">
        <v>2</v>
      </c>
      <c r="K771">
        <v>7.2</v>
      </c>
      <c r="L771">
        <v>28987.81</v>
      </c>
      <c r="M771">
        <v>5.63</v>
      </c>
      <c r="N771">
        <v>135.12</v>
      </c>
      <c r="O771">
        <v>200</v>
      </c>
      <c r="P771" s="2">
        <v>46070</v>
      </c>
      <c r="Q771" s="2">
        <v>46070</v>
      </c>
      <c r="R771" t="s">
        <v>25</v>
      </c>
      <c r="S771" t="s">
        <v>51</v>
      </c>
    </row>
    <row r="772" spans="1:19" x14ac:dyDescent="0.25">
      <c r="A772" t="s">
        <v>862</v>
      </c>
      <c r="B772" s="2">
        <v>46194</v>
      </c>
      <c r="C772" t="s">
        <v>43</v>
      </c>
      <c r="D772" t="s">
        <v>44</v>
      </c>
      <c r="E772" t="s">
        <v>161</v>
      </c>
      <c r="F772" t="s">
        <v>135</v>
      </c>
      <c r="G772" t="s">
        <v>32</v>
      </c>
      <c r="H772">
        <v>305</v>
      </c>
      <c r="I772">
        <v>340</v>
      </c>
      <c r="J772">
        <v>25</v>
      </c>
      <c r="K772">
        <v>0.3</v>
      </c>
      <c r="L772">
        <v>34765.97</v>
      </c>
      <c r="M772">
        <v>9.17</v>
      </c>
      <c r="N772">
        <v>201.74</v>
      </c>
      <c r="O772">
        <v>347</v>
      </c>
      <c r="P772" s="2">
        <v>46196</v>
      </c>
      <c r="Q772" s="2">
        <v>46194</v>
      </c>
      <c r="R772" t="s">
        <v>25</v>
      </c>
      <c r="S772" t="s">
        <v>33</v>
      </c>
    </row>
    <row r="773" spans="1:19" x14ac:dyDescent="0.25">
      <c r="A773" t="s">
        <v>863</v>
      </c>
      <c r="B773" s="2">
        <v>46059</v>
      </c>
      <c r="C773" t="s">
        <v>35</v>
      </c>
      <c r="D773" t="s">
        <v>36</v>
      </c>
      <c r="E773" t="s">
        <v>37</v>
      </c>
      <c r="F773" t="s">
        <v>74</v>
      </c>
      <c r="G773" t="s">
        <v>32</v>
      </c>
      <c r="H773">
        <v>218</v>
      </c>
      <c r="I773">
        <v>192</v>
      </c>
      <c r="J773">
        <v>11</v>
      </c>
      <c r="K773">
        <v>4.7</v>
      </c>
      <c r="L773">
        <v>13489.74</v>
      </c>
      <c r="M773">
        <v>7.59</v>
      </c>
      <c r="N773">
        <v>136.62</v>
      </c>
      <c r="O773">
        <v>285</v>
      </c>
      <c r="P773" s="2">
        <v>46062</v>
      </c>
      <c r="Q773" s="2">
        <v>46061</v>
      </c>
      <c r="R773" t="s">
        <v>100</v>
      </c>
      <c r="S773" t="s">
        <v>26</v>
      </c>
    </row>
    <row r="774" spans="1:19" x14ac:dyDescent="0.25">
      <c r="A774" t="s">
        <v>864</v>
      </c>
      <c r="B774" s="2">
        <v>46135</v>
      </c>
      <c r="C774" t="s">
        <v>43</v>
      </c>
      <c r="D774" t="s">
        <v>44</v>
      </c>
      <c r="E774" t="s">
        <v>45</v>
      </c>
      <c r="F774" t="s">
        <v>31</v>
      </c>
      <c r="G774" t="s">
        <v>57</v>
      </c>
      <c r="H774">
        <v>287</v>
      </c>
      <c r="I774">
        <v>285</v>
      </c>
      <c r="J774">
        <v>9</v>
      </c>
      <c r="K774">
        <v>4.2</v>
      </c>
      <c r="L774">
        <v>34520.400000000001</v>
      </c>
      <c r="M774">
        <v>9.6199999999999992</v>
      </c>
      <c r="N774">
        <v>211.64</v>
      </c>
      <c r="O774">
        <v>271</v>
      </c>
      <c r="P774" s="2">
        <v>46144</v>
      </c>
      <c r="Q774" s="2">
        <v>46148</v>
      </c>
      <c r="R774" t="s">
        <v>39</v>
      </c>
      <c r="S774" t="s">
        <v>51</v>
      </c>
    </row>
    <row r="775" spans="1:19" x14ac:dyDescent="0.25">
      <c r="A775" t="s">
        <v>865</v>
      </c>
      <c r="B775" s="2">
        <v>46154</v>
      </c>
      <c r="C775" t="s">
        <v>43</v>
      </c>
      <c r="D775" t="s">
        <v>44</v>
      </c>
      <c r="E775" t="s">
        <v>93</v>
      </c>
      <c r="F775" t="s">
        <v>106</v>
      </c>
      <c r="G775" t="s">
        <v>32</v>
      </c>
      <c r="H775">
        <v>137</v>
      </c>
      <c r="I775">
        <v>137</v>
      </c>
      <c r="J775">
        <v>9</v>
      </c>
      <c r="K775">
        <v>6.5</v>
      </c>
      <c r="L775">
        <v>15289.47</v>
      </c>
      <c r="M775">
        <v>3.29</v>
      </c>
      <c r="N775">
        <v>72.38</v>
      </c>
      <c r="O775">
        <v>144</v>
      </c>
      <c r="P775" s="2">
        <v>46166</v>
      </c>
      <c r="Q775" s="2">
        <v>46166</v>
      </c>
      <c r="R775" t="s">
        <v>25</v>
      </c>
      <c r="S775" t="s">
        <v>26</v>
      </c>
    </row>
    <row r="776" spans="1:19" x14ac:dyDescent="0.25">
      <c r="A776" t="s">
        <v>866</v>
      </c>
      <c r="B776" s="2">
        <v>46156</v>
      </c>
      <c r="C776" t="s">
        <v>59</v>
      </c>
      <c r="D776" t="s">
        <v>49</v>
      </c>
      <c r="E776" t="s">
        <v>50</v>
      </c>
      <c r="F776" t="s">
        <v>170</v>
      </c>
      <c r="G776" t="s">
        <v>24</v>
      </c>
      <c r="H776">
        <v>163</v>
      </c>
      <c r="I776">
        <v>146</v>
      </c>
      <c r="J776">
        <v>9</v>
      </c>
      <c r="K776">
        <v>5.2</v>
      </c>
      <c r="L776">
        <v>25807.79</v>
      </c>
      <c r="M776">
        <v>5.8</v>
      </c>
      <c r="N776">
        <v>139.19999999999999</v>
      </c>
      <c r="O776">
        <v>135</v>
      </c>
      <c r="P776" s="2">
        <v>46161</v>
      </c>
      <c r="Q776" s="2">
        <v>46161</v>
      </c>
      <c r="R776" t="s">
        <v>25</v>
      </c>
      <c r="S776" t="s">
        <v>33</v>
      </c>
    </row>
    <row r="777" spans="1:19" x14ac:dyDescent="0.25">
      <c r="A777" t="s">
        <v>867</v>
      </c>
      <c r="B777" s="2">
        <v>46083</v>
      </c>
      <c r="C777" t="s">
        <v>43</v>
      </c>
      <c r="D777" t="s">
        <v>44</v>
      </c>
      <c r="E777" t="s">
        <v>161</v>
      </c>
      <c r="F777" t="s">
        <v>122</v>
      </c>
      <c r="G777" t="s">
        <v>24</v>
      </c>
      <c r="H777">
        <v>162</v>
      </c>
      <c r="I777">
        <v>117</v>
      </c>
      <c r="J777">
        <v>5</v>
      </c>
      <c r="K777">
        <v>7.7</v>
      </c>
      <c r="L777">
        <v>13406.42</v>
      </c>
      <c r="M777">
        <v>4.83</v>
      </c>
      <c r="N777">
        <v>115.92</v>
      </c>
      <c r="O777">
        <v>237</v>
      </c>
      <c r="P777" s="2">
        <v>46088</v>
      </c>
      <c r="Q777" s="2">
        <v>46092</v>
      </c>
      <c r="R777" t="s">
        <v>39</v>
      </c>
      <c r="S777" t="s">
        <v>72</v>
      </c>
    </row>
    <row r="778" spans="1:19" x14ac:dyDescent="0.25">
      <c r="A778" t="s">
        <v>868</v>
      </c>
      <c r="B778" s="2">
        <v>46053</v>
      </c>
      <c r="C778" t="s">
        <v>59</v>
      </c>
      <c r="D778" t="s">
        <v>49</v>
      </c>
      <c r="E778" t="s">
        <v>60</v>
      </c>
      <c r="F778" t="s">
        <v>197</v>
      </c>
      <c r="G778" t="s">
        <v>24</v>
      </c>
      <c r="H778">
        <v>276</v>
      </c>
      <c r="I778">
        <v>259</v>
      </c>
      <c r="J778">
        <v>9</v>
      </c>
      <c r="K778">
        <v>9</v>
      </c>
      <c r="L778">
        <v>38412.53</v>
      </c>
      <c r="M778">
        <v>10.08</v>
      </c>
      <c r="N778">
        <v>262.08</v>
      </c>
      <c r="O778">
        <v>352</v>
      </c>
      <c r="P778" s="2">
        <v>46065</v>
      </c>
      <c r="Q778" s="2">
        <v>46064</v>
      </c>
      <c r="R778" t="s">
        <v>25</v>
      </c>
      <c r="S778" t="s">
        <v>86</v>
      </c>
    </row>
    <row r="779" spans="1:19" x14ac:dyDescent="0.25">
      <c r="A779" t="s">
        <v>869</v>
      </c>
      <c r="B779" s="2">
        <v>46039</v>
      </c>
      <c r="C779" t="s">
        <v>48</v>
      </c>
      <c r="D779" t="s">
        <v>49</v>
      </c>
      <c r="E779" t="s">
        <v>76</v>
      </c>
      <c r="F779" t="s">
        <v>77</v>
      </c>
      <c r="G779" t="s">
        <v>24</v>
      </c>
      <c r="H779">
        <v>244</v>
      </c>
      <c r="I779">
        <v>178</v>
      </c>
      <c r="J779">
        <v>9</v>
      </c>
      <c r="K779">
        <v>0.9</v>
      </c>
      <c r="L779">
        <v>45378.32</v>
      </c>
      <c r="M779">
        <v>3.72</v>
      </c>
      <c r="N779">
        <v>81.84</v>
      </c>
      <c r="O779">
        <v>236</v>
      </c>
      <c r="P779" s="2">
        <v>46046</v>
      </c>
      <c r="Q779" s="2">
        <v>46046</v>
      </c>
      <c r="R779" t="s">
        <v>100</v>
      </c>
      <c r="S779" t="s">
        <v>33</v>
      </c>
    </row>
    <row r="780" spans="1:19" x14ac:dyDescent="0.25">
      <c r="A780" t="s">
        <v>870</v>
      </c>
      <c r="B780" s="2">
        <v>46152</v>
      </c>
      <c r="C780" t="s">
        <v>43</v>
      </c>
      <c r="D780" t="s">
        <v>44</v>
      </c>
      <c r="E780" t="s">
        <v>161</v>
      </c>
      <c r="F780" t="s">
        <v>56</v>
      </c>
      <c r="G780" t="s">
        <v>24</v>
      </c>
      <c r="H780">
        <v>289</v>
      </c>
      <c r="I780">
        <v>325</v>
      </c>
      <c r="J780">
        <v>30</v>
      </c>
      <c r="K780">
        <v>1.8</v>
      </c>
      <c r="L780">
        <v>39661.75</v>
      </c>
      <c r="M780">
        <v>5.98</v>
      </c>
      <c r="N780">
        <v>131.56</v>
      </c>
      <c r="O780">
        <v>383</v>
      </c>
      <c r="P780" s="2">
        <v>46163</v>
      </c>
      <c r="Q780" s="2">
        <v>46163</v>
      </c>
      <c r="R780" t="s">
        <v>39</v>
      </c>
      <c r="S780" t="s">
        <v>26</v>
      </c>
    </row>
    <row r="781" spans="1:19" x14ac:dyDescent="0.25">
      <c r="A781" t="s">
        <v>871</v>
      </c>
      <c r="B781" s="2">
        <v>46035</v>
      </c>
      <c r="C781" t="s">
        <v>48</v>
      </c>
      <c r="D781" t="s">
        <v>49</v>
      </c>
      <c r="E781" t="s">
        <v>60</v>
      </c>
      <c r="F781" t="s">
        <v>122</v>
      </c>
      <c r="G781" t="s">
        <v>57</v>
      </c>
      <c r="H781">
        <v>138</v>
      </c>
      <c r="I781">
        <v>140</v>
      </c>
      <c r="J781">
        <v>13</v>
      </c>
      <c r="K781">
        <v>1.5</v>
      </c>
      <c r="L781">
        <v>25749.56</v>
      </c>
      <c r="M781">
        <v>4.6500000000000004</v>
      </c>
      <c r="N781">
        <v>120.9</v>
      </c>
      <c r="O781">
        <v>155</v>
      </c>
      <c r="P781" s="2">
        <v>46039</v>
      </c>
      <c r="Q781" s="2">
        <v>46041</v>
      </c>
      <c r="R781" t="s">
        <v>25</v>
      </c>
      <c r="S781" t="s">
        <v>72</v>
      </c>
    </row>
    <row r="782" spans="1:19" x14ac:dyDescent="0.25">
      <c r="A782" t="s">
        <v>872</v>
      </c>
      <c r="B782" s="2">
        <v>46098</v>
      </c>
      <c r="C782" t="s">
        <v>35</v>
      </c>
      <c r="D782" t="s">
        <v>36</v>
      </c>
      <c r="E782" t="s">
        <v>69</v>
      </c>
      <c r="F782" t="s">
        <v>197</v>
      </c>
      <c r="G782" t="s">
        <v>32</v>
      </c>
      <c r="H782">
        <v>308</v>
      </c>
      <c r="I782">
        <v>284</v>
      </c>
      <c r="J782">
        <v>9</v>
      </c>
      <c r="K782">
        <v>6.5</v>
      </c>
      <c r="L782">
        <v>21504.62</v>
      </c>
      <c r="M782">
        <v>9.94</v>
      </c>
      <c r="N782">
        <v>218.68</v>
      </c>
      <c r="O782">
        <v>321</v>
      </c>
      <c r="P782" s="2">
        <v>46109</v>
      </c>
      <c r="Q782" s="2">
        <v>46108</v>
      </c>
      <c r="R782" t="s">
        <v>25</v>
      </c>
      <c r="S782" t="s">
        <v>51</v>
      </c>
    </row>
    <row r="783" spans="1:19" x14ac:dyDescent="0.25">
      <c r="A783" t="s">
        <v>873</v>
      </c>
      <c r="B783" s="2">
        <v>46059</v>
      </c>
      <c r="C783" t="s">
        <v>53</v>
      </c>
      <c r="D783" t="s">
        <v>54</v>
      </c>
      <c r="E783" t="s">
        <v>55</v>
      </c>
      <c r="F783" t="s">
        <v>23</v>
      </c>
      <c r="G783" t="s">
        <v>32</v>
      </c>
      <c r="H783">
        <v>275</v>
      </c>
      <c r="I783">
        <v>312</v>
      </c>
      <c r="J783">
        <v>28</v>
      </c>
      <c r="K783">
        <v>8.8000000000000007</v>
      </c>
      <c r="L783">
        <v>38926.550000000003</v>
      </c>
      <c r="M783">
        <v>8.75</v>
      </c>
      <c r="N783">
        <v>227.5</v>
      </c>
      <c r="O783">
        <v>284</v>
      </c>
      <c r="P783" s="2">
        <v>46064</v>
      </c>
      <c r="Q783" s="2">
        <v>46065</v>
      </c>
      <c r="R783" t="s">
        <v>25</v>
      </c>
      <c r="S783" t="s">
        <v>51</v>
      </c>
    </row>
    <row r="784" spans="1:19" x14ac:dyDescent="0.25">
      <c r="A784" t="s">
        <v>874</v>
      </c>
      <c r="B784" s="2">
        <v>46125</v>
      </c>
      <c r="C784" t="s">
        <v>20</v>
      </c>
      <c r="D784" t="s">
        <v>21</v>
      </c>
      <c r="E784" t="s">
        <v>66</v>
      </c>
      <c r="F784" t="s">
        <v>119</v>
      </c>
      <c r="G784" t="s">
        <v>57</v>
      </c>
      <c r="H784">
        <v>269</v>
      </c>
      <c r="I784">
        <v>261</v>
      </c>
      <c r="J784">
        <v>17</v>
      </c>
      <c r="K784">
        <v>1.9</v>
      </c>
      <c r="L784">
        <v>69216.97</v>
      </c>
      <c r="M784">
        <v>6.75</v>
      </c>
      <c r="N784">
        <v>121.5</v>
      </c>
      <c r="O784">
        <v>362</v>
      </c>
      <c r="P784" s="2">
        <v>46131</v>
      </c>
      <c r="Q784" s="2">
        <v>46130</v>
      </c>
      <c r="R784" t="s">
        <v>39</v>
      </c>
      <c r="S784" t="s">
        <v>72</v>
      </c>
    </row>
    <row r="785" spans="1:19" x14ac:dyDescent="0.25">
      <c r="A785" t="s">
        <v>875</v>
      </c>
      <c r="B785" s="2">
        <v>46099</v>
      </c>
      <c r="C785" t="s">
        <v>20</v>
      </c>
      <c r="D785" t="s">
        <v>21</v>
      </c>
      <c r="E785" t="s">
        <v>66</v>
      </c>
      <c r="F785" t="s">
        <v>77</v>
      </c>
      <c r="G785" t="s">
        <v>24</v>
      </c>
      <c r="H785">
        <v>270</v>
      </c>
      <c r="I785">
        <v>265</v>
      </c>
      <c r="J785">
        <v>4</v>
      </c>
      <c r="K785">
        <v>7.9</v>
      </c>
      <c r="L785">
        <v>99192.82</v>
      </c>
      <c r="M785">
        <v>10.34</v>
      </c>
      <c r="N785">
        <v>186.12</v>
      </c>
      <c r="O785">
        <v>327</v>
      </c>
      <c r="P785" s="2">
        <v>46105</v>
      </c>
      <c r="Q785" s="2">
        <v>46104</v>
      </c>
      <c r="R785" t="s">
        <v>100</v>
      </c>
      <c r="S785" t="s">
        <v>51</v>
      </c>
    </row>
    <row r="786" spans="1:19" x14ac:dyDescent="0.25">
      <c r="A786" t="s">
        <v>876</v>
      </c>
      <c r="B786" s="2">
        <v>46200</v>
      </c>
      <c r="C786" t="s">
        <v>53</v>
      </c>
      <c r="D786" t="s">
        <v>54</v>
      </c>
      <c r="E786" t="s">
        <v>131</v>
      </c>
      <c r="F786" t="s">
        <v>56</v>
      </c>
      <c r="G786" t="s">
        <v>32</v>
      </c>
      <c r="H786">
        <v>137</v>
      </c>
      <c r="I786">
        <v>129</v>
      </c>
      <c r="J786">
        <v>1</v>
      </c>
      <c r="K786">
        <v>6.6</v>
      </c>
      <c r="L786">
        <v>23580.83</v>
      </c>
      <c r="M786">
        <v>3.07</v>
      </c>
      <c r="N786">
        <v>73.680000000000007</v>
      </c>
      <c r="O786">
        <v>207</v>
      </c>
      <c r="P786" s="2">
        <v>46208</v>
      </c>
      <c r="Q786" s="2">
        <v>46206</v>
      </c>
      <c r="R786" t="s">
        <v>25</v>
      </c>
      <c r="S786" t="s">
        <v>86</v>
      </c>
    </row>
    <row r="787" spans="1:19" x14ac:dyDescent="0.25">
      <c r="A787" t="s">
        <v>877</v>
      </c>
      <c r="B787" s="2">
        <v>46087</v>
      </c>
      <c r="C787" t="s">
        <v>48</v>
      </c>
      <c r="D787" t="s">
        <v>49</v>
      </c>
      <c r="E787" t="s">
        <v>76</v>
      </c>
      <c r="F787" t="s">
        <v>71</v>
      </c>
      <c r="G787" t="s">
        <v>24</v>
      </c>
      <c r="H787">
        <v>250</v>
      </c>
      <c r="I787">
        <v>269</v>
      </c>
      <c r="J787">
        <v>25</v>
      </c>
      <c r="K787">
        <v>0.7</v>
      </c>
      <c r="L787">
        <v>49855.33</v>
      </c>
      <c r="M787">
        <v>6.41</v>
      </c>
      <c r="N787">
        <v>153.84</v>
      </c>
      <c r="O787">
        <v>266</v>
      </c>
      <c r="P787" s="2">
        <v>46098</v>
      </c>
      <c r="Q787" s="2">
        <v>46100</v>
      </c>
      <c r="R787" t="s">
        <v>25</v>
      </c>
      <c r="S787" t="s">
        <v>72</v>
      </c>
    </row>
    <row r="788" spans="1:19" x14ac:dyDescent="0.25">
      <c r="A788" t="s">
        <v>878</v>
      </c>
      <c r="B788" s="2">
        <v>46166</v>
      </c>
      <c r="C788" t="s">
        <v>35</v>
      </c>
      <c r="D788" t="s">
        <v>36</v>
      </c>
      <c r="E788" t="s">
        <v>69</v>
      </c>
      <c r="F788" t="s">
        <v>106</v>
      </c>
      <c r="G788" t="s">
        <v>24</v>
      </c>
      <c r="H788">
        <v>90</v>
      </c>
      <c r="I788">
        <v>88</v>
      </c>
      <c r="J788">
        <v>5</v>
      </c>
      <c r="K788">
        <v>7.1</v>
      </c>
      <c r="L788">
        <v>9617.9599999999991</v>
      </c>
      <c r="M788">
        <v>1.83</v>
      </c>
      <c r="N788">
        <v>36.6</v>
      </c>
      <c r="O788">
        <v>142</v>
      </c>
      <c r="P788" s="2">
        <v>46177</v>
      </c>
      <c r="Q788" s="2">
        <v>46179</v>
      </c>
      <c r="R788" t="s">
        <v>100</v>
      </c>
      <c r="S788" t="s">
        <v>33</v>
      </c>
    </row>
    <row r="789" spans="1:19" x14ac:dyDescent="0.25">
      <c r="A789" t="s">
        <v>879</v>
      </c>
      <c r="B789" s="2">
        <v>46111</v>
      </c>
      <c r="C789" t="s">
        <v>53</v>
      </c>
      <c r="D789" t="s">
        <v>54</v>
      </c>
      <c r="E789" t="s">
        <v>131</v>
      </c>
      <c r="F789" t="s">
        <v>110</v>
      </c>
      <c r="G789" t="s">
        <v>32</v>
      </c>
      <c r="H789">
        <v>226</v>
      </c>
      <c r="I789">
        <v>246</v>
      </c>
      <c r="J789">
        <v>2</v>
      </c>
      <c r="K789">
        <v>3.6</v>
      </c>
      <c r="L789">
        <v>41561.440000000002</v>
      </c>
      <c r="M789">
        <v>6.98</v>
      </c>
      <c r="N789">
        <v>125.64</v>
      </c>
      <c r="O789">
        <v>241</v>
      </c>
      <c r="P789" s="2">
        <v>46122</v>
      </c>
      <c r="Q789" s="2">
        <v>46122</v>
      </c>
      <c r="R789" t="s">
        <v>25</v>
      </c>
      <c r="S789" t="s">
        <v>33</v>
      </c>
    </row>
    <row r="790" spans="1:19" x14ac:dyDescent="0.25">
      <c r="A790" t="s">
        <v>880</v>
      </c>
      <c r="B790" s="2">
        <v>46097</v>
      </c>
      <c r="C790" t="s">
        <v>35</v>
      </c>
      <c r="D790" t="s">
        <v>36</v>
      </c>
      <c r="E790" t="s">
        <v>37</v>
      </c>
      <c r="F790" t="s">
        <v>106</v>
      </c>
      <c r="G790" t="s">
        <v>24</v>
      </c>
      <c r="H790">
        <v>266</v>
      </c>
      <c r="I790">
        <v>243</v>
      </c>
      <c r="J790">
        <v>20</v>
      </c>
      <c r="K790">
        <v>3.2</v>
      </c>
      <c r="L790">
        <v>22905.83</v>
      </c>
      <c r="M790">
        <v>10.01</v>
      </c>
      <c r="N790">
        <v>220.22</v>
      </c>
      <c r="O790">
        <v>340</v>
      </c>
      <c r="P790" s="2">
        <v>46099</v>
      </c>
      <c r="Q790" s="2">
        <v>46100</v>
      </c>
      <c r="R790" t="s">
        <v>100</v>
      </c>
      <c r="S790" t="s">
        <v>86</v>
      </c>
    </row>
    <row r="791" spans="1:19" x14ac:dyDescent="0.25">
      <c r="A791" t="s">
        <v>881</v>
      </c>
      <c r="B791" s="2">
        <v>46064</v>
      </c>
      <c r="C791" t="s">
        <v>28</v>
      </c>
      <c r="D791" t="s">
        <v>29</v>
      </c>
      <c r="E791" t="s">
        <v>30</v>
      </c>
      <c r="F791" t="s">
        <v>137</v>
      </c>
      <c r="G791" t="s">
        <v>24</v>
      </c>
      <c r="H791">
        <v>277</v>
      </c>
      <c r="I791">
        <v>302</v>
      </c>
      <c r="J791">
        <v>19</v>
      </c>
      <c r="K791">
        <v>6.7</v>
      </c>
      <c r="L791">
        <v>80999.58</v>
      </c>
      <c r="M791">
        <v>6.68</v>
      </c>
      <c r="N791">
        <v>160.32</v>
      </c>
      <c r="O791">
        <v>259</v>
      </c>
      <c r="P791" s="2">
        <v>46071</v>
      </c>
      <c r="Q791" s="2">
        <v>46072</v>
      </c>
      <c r="R791" t="s">
        <v>39</v>
      </c>
      <c r="S791" t="s">
        <v>51</v>
      </c>
    </row>
    <row r="792" spans="1:19" x14ac:dyDescent="0.25">
      <c r="A792" t="s">
        <v>882</v>
      </c>
      <c r="B792" s="2">
        <v>46104</v>
      </c>
      <c r="C792" t="s">
        <v>59</v>
      </c>
      <c r="D792" t="s">
        <v>49</v>
      </c>
      <c r="E792" t="s">
        <v>50</v>
      </c>
      <c r="F792" t="s">
        <v>38</v>
      </c>
      <c r="G792" t="s">
        <v>32</v>
      </c>
      <c r="H792">
        <v>314</v>
      </c>
      <c r="I792">
        <v>323</v>
      </c>
      <c r="J792">
        <v>20</v>
      </c>
      <c r="K792">
        <v>2.8</v>
      </c>
      <c r="L792">
        <v>51613.08</v>
      </c>
      <c r="M792">
        <v>8.7799999999999994</v>
      </c>
      <c r="N792">
        <v>193.16</v>
      </c>
      <c r="O792">
        <v>398</v>
      </c>
      <c r="P792" s="2">
        <v>46111</v>
      </c>
      <c r="Q792" s="2">
        <v>46112</v>
      </c>
      <c r="R792" t="s">
        <v>100</v>
      </c>
      <c r="S792" t="s">
        <v>51</v>
      </c>
    </row>
    <row r="793" spans="1:19" x14ac:dyDescent="0.25">
      <c r="A793" t="s">
        <v>883</v>
      </c>
      <c r="B793" s="2">
        <v>46066</v>
      </c>
      <c r="C793" t="s">
        <v>48</v>
      </c>
      <c r="D793" t="s">
        <v>49</v>
      </c>
      <c r="E793" t="s">
        <v>50</v>
      </c>
      <c r="F793" t="s">
        <v>88</v>
      </c>
      <c r="G793" t="s">
        <v>57</v>
      </c>
      <c r="H793">
        <v>108</v>
      </c>
      <c r="I793">
        <v>86</v>
      </c>
      <c r="J793">
        <v>2</v>
      </c>
      <c r="K793">
        <v>4.5999999999999996</v>
      </c>
      <c r="L793">
        <v>17096.8</v>
      </c>
      <c r="M793">
        <v>2.7</v>
      </c>
      <c r="N793">
        <v>54</v>
      </c>
      <c r="O793">
        <v>169</v>
      </c>
      <c r="P793" s="2">
        <v>46077</v>
      </c>
      <c r="Q793" s="2">
        <v>46076</v>
      </c>
      <c r="R793" t="s">
        <v>25</v>
      </c>
      <c r="S793" t="s">
        <v>26</v>
      </c>
    </row>
    <row r="794" spans="1:19" x14ac:dyDescent="0.25">
      <c r="A794" t="s">
        <v>884</v>
      </c>
      <c r="B794" s="2">
        <v>46192</v>
      </c>
      <c r="C794" t="s">
        <v>35</v>
      </c>
      <c r="D794" t="s">
        <v>36</v>
      </c>
      <c r="E794" t="s">
        <v>69</v>
      </c>
      <c r="F794" t="s">
        <v>61</v>
      </c>
      <c r="G794" t="s">
        <v>57</v>
      </c>
      <c r="H794">
        <v>117</v>
      </c>
      <c r="I794">
        <v>120</v>
      </c>
      <c r="J794">
        <v>6</v>
      </c>
      <c r="K794">
        <v>3.6</v>
      </c>
      <c r="L794">
        <v>11374.33</v>
      </c>
      <c r="M794">
        <v>4.91</v>
      </c>
      <c r="N794">
        <v>108.02</v>
      </c>
      <c r="O794">
        <v>98</v>
      </c>
      <c r="P794" s="2">
        <v>46199</v>
      </c>
      <c r="Q794" s="2">
        <v>46199</v>
      </c>
      <c r="R794" t="s">
        <v>100</v>
      </c>
      <c r="S794" t="s">
        <v>51</v>
      </c>
    </row>
    <row r="795" spans="1:19" x14ac:dyDescent="0.25">
      <c r="A795" t="s">
        <v>885</v>
      </c>
      <c r="B795" s="2">
        <v>46163</v>
      </c>
      <c r="C795" t="s">
        <v>43</v>
      </c>
      <c r="D795" t="s">
        <v>44</v>
      </c>
      <c r="E795" t="s">
        <v>45</v>
      </c>
      <c r="F795" t="s">
        <v>135</v>
      </c>
      <c r="G795" t="s">
        <v>24</v>
      </c>
      <c r="H795">
        <v>150</v>
      </c>
      <c r="I795">
        <v>109</v>
      </c>
      <c r="J795">
        <v>2</v>
      </c>
      <c r="K795">
        <v>6.3</v>
      </c>
      <c r="L795">
        <v>12665.21</v>
      </c>
      <c r="M795">
        <v>3.11</v>
      </c>
      <c r="N795">
        <v>62.2</v>
      </c>
      <c r="O795">
        <v>147</v>
      </c>
      <c r="P795" s="2">
        <v>46165</v>
      </c>
      <c r="Q795" s="2">
        <v>46165</v>
      </c>
      <c r="R795" t="s">
        <v>25</v>
      </c>
      <c r="S795" t="s">
        <v>72</v>
      </c>
    </row>
    <row r="796" spans="1:19" x14ac:dyDescent="0.25">
      <c r="A796" t="s">
        <v>886</v>
      </c>
      <c r="B796" s="2">
        <v>46135</v>
      </c>
      <c r="C796" t="s">
        <v>35</v>
      </c>
      <c r="D796" t="s">
        <v>36</v>
      </c>
      <c r="E796" t="s">
        <v>37</v>
      </c>
      <c r="F796" t="s">
        <v>91</v>
      </c>
      <c r="G796" t="s">
        <v>57</v>
      </c>
      <c r="H796">
        <v>185</v>
      </c>
      <c r="I796">
        <v>148</v>
      </c>
      <c r="J796">
        <v>7</v>
      </c>
      <c r="K796">
        <v>3.6</v>
      </c>
      <c r="L796">
        <v>15504.97</v>
      </c>
      <c r="M796">
        <v>4.04</v>
      </c>
      <c r="N796">
        <v>88.88</v>
      </c>
      <c r="O796">
        <v>238</v>
      </c>
      <c r="P796" s="2">
        <v>46141</v>
      </c>
      <c r="Q796" s="2">
        <v>46143</v>
      </c>
      <c r="R796" t="s">
        <v>25</v>
      </c>
      <c r="S796" t="s">
        <v>86</v>
      </c>
    </row>
    <row r="797" spans="1:19" x14ac:dyDescent="0.25">
      <c r="A797" t="s">
        <v>887</v>
      </c>
      <c r="B797" s="2">
        <v>46161</v>
      </c>
      <c r="C797" t="s">
        <v>48</v>
      </c>
      <c r="D797" t="s">
        <v>49</v>
      </c>
      <c r="E797" t="s">
        <v>50</v>
      </c>
      <c r="F797" t="s">
        <v>83</v>
      </c>
      <c r="G797" t="s">
        <v>24</v>
      </c>
      <c r="H797">
        <v>257</v>
      </c>
      <c r="I797">
        <v>199</v>
      </c>
      <c r="J797">
        <v>16</v>
      </c>
      <c r="K797">
        <v>8.9</v>
      </c>
      <c r="L797">
        <v>36548.75</v>
      </c>
      <c r="M797">
        <v>4.2</v>
      </c>
      <c r="N797">
        <v>109.2</v>
      </c>
      <c r="O797">
        <v>338</v>
      </c>
      <c r="P797" s="2">
        <v>46171</v>
      </c>
      <c r="Q797" s="2">
        <v>46172</v>
      </c>
      <c r="R797" t="s">
        <v>25</v>
      </c>
      <c r="S797" t="s">
        <v>51</v>
      </c>
    </row>
    <row r="798" spans="1:19" x14ac:dyDescent="0.25">
      <c r="A798" t="s">
        <v>888</v>
      </c>
      <c r="B798" s="2">
        <v>46112</v>
      </c>
      <c r="C798" t="s">
        <v>28</v>
      </c>
      <c r="D798" t="s">
        <v>29</v>
      </c>
      <c r="E798" t="s">
        <v>95</v>
      </c>
      <c r="F798" t="s">
        <v>110</v>
      </c>
      <c r="G798" t="s">
        <v>57</v>
      </c>
      <c r="H798">
        <v>148</v>
      </c>
      <c r="I798">
        <v>143</v>
      </c>
      <c r="J798">
        <v>1</v>
      </c>
      <c r="K798">
        <v>5.6</v>
      </c>
      <c r="L798">
        <v>32098.15</v>
      </c>
      <c r="M798">
        <v>5.85</v>
      </c>
      <c r="N798">
        <v>117</v>
      </c>
      <c r="O798">
        <v>113</v>
      </c>
      <c r="P798" s="2">
        <v>46122</v>
      </c>
      <c r="Q798" s="2">
        <v>46126</v>
      </c>
      <c r="R798" t="s">
        <v>39</v>
      </c>
      <c r="S798" t="s">
        <v>86</v>
      </c>
    </row>
    <row r="799" spans="1:19" x14ac:dyDescent="0.25">
      <c r="A799" t="s">
        <v>889</v>
      </c>
      <c r="B799" s="2">
        <v>46145</v>
      </c>
      <c r="C799" t="s">
        <v>43</v>
      </c>
      <c r="D799" t="s">
        <v>44</v>
      </c>
      <c r="E799" t="s">
        <v>93</v>
      </c>
      <c r="F799" t="s">
        <v>31</v>
      </c>
      <c r="G799" t="s">
        <v>24</v>
      </c>
      <c r="H799">
        <v>254</v>
      </c>
      <c r="I799">
        <v>221</v>
      </c>
      <c r="J799">
        <v>20</v>
      </c>
      <c r="K799">
        <v>2.5</v>
      </c>
      <c r="L799">
        <v>26154.21</v>
      </c>
      <c r="M799">
        <v>4.12</v>
      </c>
      <c r="N799">
        <v>107.12</v>
      </c>
      <c r="O799">
        <v>339</v>
      </c>
      <c r="P799" s="2">
        <v>46153</v>
      </c>
      <c r="Q799" s="2">
        <v>46153</v>
      </c>
      <c r="R799" t="s">
        <v>100</v>
      </c>
      <c r="S799" t="s">
        <v>72</v>
      </c>
    </row>
    <row r="800" spans="1:19" x14ac:dyDescent="0.25">
      <c r="A800" t="s">
        <v>890</v>
      </c>
      <c r="B800" s="2">
        <v>46102</v>
      </c>
      <c r="C800" t="s">
        <v>59</v>
      </c>
      <c r="D800" t="s">
        <v>49</v>
      </c>
      <c r="E800" t="s">
        <v>76</v>
      </c>
      <c r="F800" t="s">
        <v>114</v>
      </c>
      <c r="G800" t="s">
        <v>57</v>
      </c>
      <c r="H800">
        <v>139</v>
      </c>
      <c r="I800">
        <v>134</v>
      </c>
      <c r="J800">
        <v>11</v>
      </c>
      <c r="K800">
        <v>8.5</v>
      </c>
      <c r="L800">
        <v>20619.169999999998</v>
      </c>
      <c r="M800">
        <v>4.5999999999999996</v>
      </c>
      <c r="N800">
        <v>101.2</v>
      </c>
      <c r="O800">
        <v>100</v>
      </c>
      <c r="P800" s="2">
        <v>46113</v>
      </c>
      <c r="Q800" s="2">
        <v>46111</v>
      </c>
      <c r="R800" t="s">
        <v>25</v>
      </c>
      <c r="S800" t="s">
        <v>33</v>
      </c>
    </row>
    <row r="801" spans="1:19" x14ac:dyDescent="0.25">
      <c r="A801" t="s">
        <v>891</v>
      </c>
      <c r="B801" s="2">
        <v>46180</v>
      </c>
      <c r="C801" t="s">
        <v>20</v>
      </c>
      <c r="D801" t="s">
        <v>21</v>
      </c>
      <c r="E801" t="s">
        <v>66</v>
      </c>
      <c r="F801" t="s">
        <v>96</v>
      </c>
      <c r="G801" t="s">
        <v>57</v>
      </c>
      <c r="H801">
        <v>185</v>
      </c>
      <c r="I801">
        <v>191</v>
      </c>
      <c r="J801">
        <v>13</v>
      </c>
      <c r="K801">
        <v>2.2000000000000002</v>
      </c>
      <c r="L801">
        <v>68558.759999999995</v>
      </c>
      <c r="M801">
        <v>4.26</v>
      </c>
      <c r="N801">
        <v>85.2</v>
      </c>
      <c r="O801">
        <v>152</v>
      </c>
      <c r="P801" s="2">
        <v>46192</v>
      </c>
      <c r="Q801" s="2">
        <v>46196</v>
      </c>
      <c r="R801" t="s">
        <v>25</v>
      </c>
      <c r="S801" t="s">
        <v>33</v>
      </c>
    </row>
    <row r="802" spans="1:19" x14ac:dyDescent="0.25">
      <c r="A802" t="s">
        <v>892</v>
      </c>
      <c r="B802" s="2">
        <v>46126</v>
      </c>
      <c r="C802" t="s">
        <v>35</v>
      </c>
      <c r="D802" t="s">
        <v>36</v>
      </c>
      <c r="E802" t="s">
        <v>69</v>
      </c>
      <c r="F802" t="s">
        <v>46</v>
      </c>
      <c r="G802" t="s">
        <v>57</v>
      </c>
      <c r="H802">
        <v>177</v>
      </c>
      <c r="I802">
        <v>180</v>
      </c>
      <c r="J802">
        <v>3</v>
      </c>
      <c r="K802">
        <v>3.1</v>
      </c>
      <c r="L802">
        <v>13613.07</v>
      </c>
      <c r="M802">
        <v>6.3</v>
      </c>
      <c r="N802">
        <v>138.6</v>
      </c>
      <c r="O802">
        <v>264</v>
      </c>
      <c r="P802" s="2">
        <v>46129</v>
      </c>
      <c r="Q802" s="2">
        <v>46129</v>
      </c>
      <c r="R802" t="s">
        <v>25</v>
      </c>
      <c r="S802" t="s">
        <v>51</v>
      </c>
    </row>
    <row r="803" spans="1:19" x14ac:dyDescent="0.25">
      <c r="A803" t="s">
        <v>893</v>
      </c>
      <c r="B803" s="2">
        <v>46112</v>
      </c>
      <c r="C803" t="s">
        <v>20</v>
      </c>
      <c r="D803" t="s">
        <v>21</v>
      </c>
      <c r="E803" t="s">
        <v>90</v>
      </c>
      <c r="F803" t="s">
        <v>135</v>
      </c>
      <c r="G803" t="s">
        <v>57</v>
      </c>
      <c r="H803">
        <v>195</v>
      </c>
      <c r="I803">
        <v>203</v>
      </c>
      <c r="J803">
        <v>10</v>
      </c>
      <c r="K803">
        <v>0.2</v>
      </c>
      <c r="L803">
        <v>77061.66</v>
      </c>
      <c r="M803">
        <v>3.94</v>
      </c>
      <c r="N803">
        <v>86.68</v>
      </c>
      <c r="O803">
        <v>179</v>
      </c>
      <c r="P803" s="2">
        <v>46116</v>
      </c>
      <c r="Q803" s="2">
        <v>46114</v>
      </c>
      <c r="R803" t="s">
        <v>39</v>
      </c>
      <c r="S803" t="s">
        <v>86</v>
      </c>
    </row>
    <row r="804" spans="1:19" x14ac:dyDescent="0.25">
      <c r="A804" t="s">
        <v>894</v>
      </c>
      <c r="B804" s="2">
        <v>46121</v>
      </c>
      <c r="C804" t="s">
        <v>59</v>
      </c>
      <c r="D804" t="s">
        <v>49</v>
      </c>
      <c r="E804" t="s">
        <v>50</v>
      </c>
      <c r="F804" t="s">
        <v>56</v>
      </c>
      <c r="G804" t="s">
        <v>24</v>
      </c>
      <c r="H804">
        <v>284</v>
      </c>
      <c r="I804">
        <v>315</v>
      </c>
      <c r="J804">
        <v>17</v>
      </c>
      <c r="K804">
        <v>7.7</v>
      </c>
      <c r="L804">
        <v>58691</v>
      </c>
      <c r="M804">
        <v>10.36</v>
      </c>
      <c r="N804">
        <v>207.2</v>
      </c>
      <c r="O804">
        <v>381</v>
      </c>
      <c r="P804" s="2">
        <v>46126</v>
      </c>
      <c r="Q804" s="2">
        <v>46127</v>
      </c>
      <c r="R804" t="s">
        <v>25</v>
      </c>
      <c r="S804" t="s">
        <v>51</v>
      </c>
    </row>
    <row r="805" spans="1:19" x14ac:dyDescent="0.25">
      <c r="A805" t="s">
        <v>895</v>
      </c>
      <c r="B805" s="2">
        <v>46176</v>
      </c>
      <c r="C805" t="s">
        <v>48</v>
      </c>
      <c r="D805" t="s">
        <v>49</v>
      </c>
      <c r="E805" t="s">
        <v>60</v>
      </c>
      <c r="F805" t="s">
        <v>67</v>
      </c>
      <c r="G805" t="s">
        <v>32</v>
      </c>
      <c r="H805">
        <v>125</v>
      </c>
      <c r="I805">
        <v>137</v>
      </c>
      <c r="J805">
        <v>9</v>
      </c>
      <c r="K805">
        <v>7.9</v>
      </c>
      <c r="L805">
        <v>21944.75</v>
      </c>
      <c r="M805">
        <v>5.16</v>
      </c>
      <c r="N805">
        <v>92.88</v>
      </c>
      <c r="O805">
        <v>94</v>
      </c>
      <c r="P805" s="2">
        <v>46186</v>
      </c>
      <c r="Q805" s="2">
        <v>46185</v>
      </c>
      <c r="R805" t="s">
        <v>25</v>
      </c>
      <c r="S805" t="s">
        <v>33</v>
      </c>
    </row>
    <row r="806" spans="1:19" x14ac:dyDescent="0.25">
      <c r="A806" t="s">
        <v>896</v>
      </c>
      <c r="B806" s="2">
        <v>46112</v>
      </c>
      <c r="C806" t="s">
        <v>43</v>
      </c>
      <c r="D806" t="s">
        <v>44</v>
      </c>
      <c r="E806" t="s">
        <v>45</v>
      </c>
      <c r="F806" t="s">
        <v>41</v>
      </c>
      <c r="G806" t="s">
        <v>24</v>
      </c>
      <c r="H806">
        <v>212</v>
      </c>
      <c r="I806">
        <v>167</v>
      </c>
      <c r="J806">
        <v>2</v>
      </c>
      <c r="K806">
        <v>1.7</v>
      </c>
      <c r="L806">
        <v>17704.23</v>
      </c>
      <c r="M806">
        <v>4.3600000000000003</v>
      </c>
      <c r="N806">
        <v>104.64</v>
      </c>
      <c r="O806">
        <v>312</v>
      </c>
      <c r="P806" s="2">
        <v>46120</v>
      </c>
      <c r="Q806" s="2">
        <v>46124</v>
      </c>
      <c r="R806" t="s">
        <v>25</v>
      </c>
      <c r="S806" t="s">
        <v>33</v>
      </c>
    </row>
    <row r="807" spans="1:19" x14ac:dyDescent="0.25">
      <c r="A807" t="s">
        <v>897</v>
      </c>
      <c r="B807" s="2">
        <v>46109</v>
      </c>
      <c r="C807" t="s">
        <v>28</v>
      </c>
      <c r="D807" t="s">
        <v>29</v>
      </c>
      <c r="E807" t="s">
        <v>95</v>
      </c>
      <c r="F807" t="s">
        <v>67</v>
      </c>
      <c r="G807" t="s">
        <v>24</v>
      </c>
      <c r="H807">
        <v>116</v>
      </c>
      <c r="I807">
        <v>95</v>
      </c>
      <c r="J807">
        <v>7</v>
      </c>
      <c r="K807">
        <v>1.7</v>
      </c>
      <c r="L807">
        <v>20173.349999999999</v>
      </c>
      <c r="M807">
        <v>3.8</v>
      </c>
      <c r="N807">
        <v>91.2</v>
      </c>
      <c r="O807">
        <v>101</v>
      </c>
      <c r="P807" s="2">
        <v>46119</v>
      </c>
      <c r="Q807" s="2">
        <v>46118</v>
      </c>
      <c r="R807" t="s">
        <v>25</v>
      </c>
      <c r="S807" t="s">
        <v>26</v>
      </c>
    </row>
    <row r="808" spans="1:19" x14ac:dyDescent="0.25">
      <c r="A808" t="s">
        <v>898</v>
      </c>
      <c r="B808" s="2">
        <v>46170</v>
      </c>
      <c r="C808" t="s">
        <v>35</v>
      </c>
      <c r="D808" t="s">
        <v>36</v>
      </c>
      <c r="E808" t="s">
        <v>37</v>
      </c>
      <c r="F808" t="s">
        <v>96</v>
      </c>
      <c r="G808" t="s">
        <v>24</v>
      </c>
      <c r="H808">
        <v>152</v>
      </c>
      <c r="I808">
        <v>130</v>
      </c>
      <c r="J808">
        <v>5</v>
      </c>
      <c r="K808">
        <v>1.8</v>
      </c>
      <c r="L808">
        <v>13610.19</v>
      </c>
      <c r="M808">
        <v>3.7</v>
      </c>
      <c r="N808">
        <v>66.599999999999994</v>
      </c>
      <c r="O808">
        <v>237</v>
      </c>
      <c r="P808" s="2">
        <v>46172</v>
      </c>
      <c r="Q808" s="2">
        <v>46176</v>
      </c>
      <c r="R808" t="s">
        <v>25</v>
      </c>
      <c r="S808" t="s">
        <v>72</v>
      </c>
    </row>
    <row r="809" spans="1:19" x14ac:dyDescent="0.25">
      <c r="A809" t="s">
        <v>899</v>
      </c>
      <c r="B809" s="2">
        <v>46179</v>
      </c>
      <c r="C809" t="s">
        <v>35</v>
      </c>
      <c r="D809" t="s">
        <v>36</v>
      </c>
      <c r="E809" t="s">
        <v>69</v>
      </c>
      <c r="F809" t="s">
        <v>112</v>
      </c>
      <c r="G809" t="s">
        <v>57</v>
      </c>
      <c r="H809">
        <v>207</v>
      </c>
      <c r="I809">
        <v>237</v>
      </c>
      <c r="J809">
        <v>17</v>
      </c>
      <c r="K809">
        <v>6.9</v>
      </c>
      <c r="L809">
        <v>23556.79</v>
      </c>
      <c r="M809">
        <v>4.5</v>
      </c>
      <c r="N809">
        <v>81</v>
      </c>
      <c r="O809">
        <v>245</v>
      </c>
      <c r="P809" s="2">
        <v>46190</v>
      </c>
      <c r="Q809" s="2">
        <v>46190</v>
      </c>
      <c r="R809" t="s">
        <v>25</v>
      </c>
      <c r="S809" t="s">
        <v>26</v>
      </c>
    </row>
    <row r="810" spans="1:19" x14ac:dyDescent="0.25">
      <c r="A810" t="s">
        <v>900</v>
      </c>
      <c r="B810" s="2">
        <v>46030</v>
      </c>
      <c r="C810" t="s">
        <v>80</v>
      </c>
      <c r="D810" t="s">
        <v>21</v>
      </c>
      <c r="E810" t="s">
        <v>90</v>
      </c>
      <c r="F810" t="s">
        <v>67</v>
      </c>
      <c r="G810" t="s">
        <v>57</v>
      </c>
      <c r="H810">
        <v>178</v>
      </c>
      <c r="I810">
        <v>142</v>
      </c>
      <c r="J810">
        <v>13</v>
      </c>
      <c r="K810">
        <v>0.5</v>
      </c>
      <c r="L810">
        <v>46540.49</v>
      </c>
      <c r="M810">
        <v>5.07</v>
      </c>
      <c r="N810">
        <v>131.82</v>
      </c>
      <c r="O810">
        <v>183</v>
      </c>
      <c r="P810" s="2">
        <v>46040</v>
      </c>
      <c r="Q810" s="2">
        <v>46041</v>
      </c>
      <c r="R810" t="s">
        <v>25</v>
      </c>
      <c r="S810" t="s">
        <v>33</v>
      </c>
    </row>
    <row r="811" spans="1:19" x14ac:dyDescent="0.25">
      <c r="A811" t="s">
        <v>901</v>
      </c>
      <c r="B811" s="2">
        <v>46140</v>
      </c>
      <c r="C811" t="s">
        <v>43</v>
      </c>
      <c r="D811" t="s">
        <v>44</v>
      </c>
      <c r="E811" t="s">
        <v>93</v>
      </c>
      <c r="F811" t="s">
        <v>38</v>
      </c>
      <c r="G811" t="s">
        <v>57</v>
      </c>
      <c r="H811">
        <v>262</v>
      </c>
      <c r="I811">
        <v>224</v>
      </c>
      <c r="J811">
        <v>15</v>
      </c>
      <c r="K811">
        <v>4.5</v>
      </c>
      <c r="L811">
        <v>27804.95</v>
      </c>
      <c r="M811">
        <v>4.28</v>
      </c>
      <c r="N811">
        <v>102.72</v>
      </c>
      <c r="O811">
        <v>274</v>
      </c>
      <c r="P811" s="2">
        <v>46143</v>
      </c>
      <c r="Q811" s="2">
        <v>46143</v>
      </c>
      <c r="R811" t="s">
        <v>25</v>
      </c>
      <c r="S811" t="s">
        <v>86</v>
      </c>
    </row>
    <row r="812" spans="1:19" x14ac:dyDescent="0.25">
      <c r="A812" t="s">
        <v>902</v>
      </c>
      <c r="B812" s="2">
        <v>46068</v>
      </c>
      <c r="C812" t="s">
        <v>35</v>
      </c>
      <c r="D812" t="s">
        <v>36</v>
      </c>
      <c r="E812" t="s">
        <v>37</v>
      </c>
      <c r="F812" t="s">
        <v>106</v>
      </c>
      <c r="G812" t="s">
        <v>57</v>
      </c>
      <c r="H812">
        <v>175</v>
      </c>
      <c r="I812">
        <v>195</v>
      </c>
      <c r="J812">
        <v>8</v>
      </c>
      <c r="K812">
        <v>1.4</v>
      </c>
      <c r="L812">
        <v>19199.02</v>
      </c>
      <c r="M812">
        <v>4.72</v>
      </c>
      <c r="N812">
        <v>113.28</v>
      </c>
      <c r="O812">
        <v>214</v>
      </c>
      <c r="P812" s="2">
        <v>46073</v>
      </c>
      <c r="Q812" s="2">
        <v>46073</v>
      </c>
      <c r="R812" t="s">
        <v>100</v>
      </c>
      <c r="S812" t="s">
        <v>72</v>
      </c>
    </row>
    <row r="813" spans="1:19" x14ac:dyDescent="0.25">
      <c r="A813" t="s">
        <v>903</v>
      </c>
      <c r="B813" s="2">
        <v>46128</v>
      </c>
      <c r="C813" t="s">
        <v>35</v>
      </c>
      <c r="D813" t="s">
        <v>36</v>
      </c>
      <c r="E813" t="s">
        <v>69</v>
      </c>
      <c r="F813" t="s">
        <v>110</v>
      </c>
      <c r="G813" t="s">
        <v>57</v>
      </c>
      <c r="H813">
        <v>295</v>
      </c>
      <c r="I813">
        <v>326</v>
      </c>
      <c r="J813">
        <v>25</v>
      </c>
      <c r="K813">
        <v>4.4000000000000004</v>
      </c>
      <c r="L813">
        <v>32151.94</v>
      </c>
      <c r="M813">
        <v>8.9600000000000009</v>
      </c>
      <c r="N813">
        <v>215.04</v>
      </c>
      <c r="O813">
        <v>287</v>
      </c>
      <c r="P813" s="2">
        <v>46140</v>
      </c>
      <c r="Q813" s="2">
        <v>46140</v>
      </c>
      <c r="R813" t="s">
        <v>25</v>
      </c>
      <c r="S813" t="s">
        <v>33</v>
      </c>
    </row>
    <row r="814" spans="1:19" x14ac:dyDescent="0.25">
      <c r="A814" t="s">
        <v>904</v>
      </c>
      <c r="B814" s="2">
        <v>46063</v>
      </c>
      <c r="C814" t="s">
        <v>53</v>
      </c>
      <c r="D814" t="s">
        <v>54</v>
      </c>
      <c r="E814" t="s">
        <v>55</v>
      </c>
      <c r="F814" t="s">
        <v>122</v>
      </c>
      <c r="G814" t="s">
        <v>57</v>
      </c>
      <c r="H814">
        <v>126</v>
      </c>
      <c r="I814">
        <v>119</v>
      </c>
      <c r="J814">
        <v>2</v>
      </c>
      <c r="K814">
        <v>6.7</v>
      </c>
      <c r="L814">
        <v>20928.18</v>
      </c>
      <c r="M814">
        <v>4.13</v>
      </c>
      <c r="N814">
        <v>90.86</v>
      </c>
      <c r="O814">
        <v>223</v>
      </c>
      <c r="P814" s="2">
        <v>46069</v>
      </c>
      <c r="Q814" s="2">
        <v>46069</v>
      </c>
      <c r="R814" t="s">
        <v>39</v>
      </c>
      <c r="S814" t="s">
        <v>33</v>
      </c>
    </row>
    <row r="815" spans="1:19" x14ac:dyDescent="0.25">
      <c r="A815" t="s">
        <v>905</v>
      </c>
      <c r="B815" s="2">
        <v>46124</v>
      </c>
      <c r="C815" t="s">
        <v>28</v>
      </c>
      <c r="D815" t="s">
        <v>29</v>
      </c>
      <c r="E815" t="s">
        <v>63</v>
      </c>
      <c r="F815" t="s">
        <v>23</v>
      </c>
      <c r="G815" t="s">
        <v>32</v>
      </c>
      <c r="H815">
        <v>222</v>
      </c>
      <c r="I815">
        <v>240</v>
      </c>
      <c r="J815">
        <v>5</v>
      </c>
      <c r="K815">
        <v>4.7</v>
      </c>
      <c r="L815">
        <v>45434.400000000001</v>
      </c>
      <c r="M815">
        <v>4.96</v>
      </c>
      <c r="N815">
        <v>89.28</v>
      </c>
      <c r="O815">
        <v>281</v>
      </c>
      <c r="P815" s="2">
        <v>46128</v>
      </c>
      <c r="Q815" s="2">
        <v>46127</v>
      </c>
      <c r="R815" t="s">
        <v>25</v>
      </c>
      <c r="S815" t="s">
        <v>26</v>
      </c>
    </row>
    <row r="816" spans="1:19" x14ac:dyDescent="0.25">
      <c r="A816" t="s">
        <v>906</v>
      </c>
      <c r="B816" s="2">
        <v>46117</v>
      </c>
      <c r="C816" t="s">
        <v>53</v>
      </c>
      <c r="D816" t="s">
        <v>54</v>
      </c>
      <c r="E816" t="s">
        <v>55</v>
      </c>
      <c r="F816" t="s">
        <v>96</v>
      </c>
      <c r="G816" t="s">
        <v>32</v>
      </c>
      <c r="H816">
        <v>193</v>
      </c>
      <c r="I816">
        <v>188</v>
      </c>
      <c r="J816">
        <v>1</v>
      </c>
      <c r="K816">
        <v>8.4</v>
      </c>
      <c r="L816">
        <v>26988.87</v>
      </c>
      <c r="M816">
        <v>4.33</v>
      </c>
      <c r="N816">
        <v>95.26</v>
      </c>
      <c r="O816">
        <v>164</v>
      </c>
      <c r="P816" s="2">
        <v>46128</v>
      </c>
      <c r="Q816" s="2">
        <v>46126</v>
      </c>
      <c r="R816" t="s">
        <v>25</v>
      </c>
      <c r="S816" t="s">
        <v>51</v>
      </c>
    </row>
    <row r="817" spans="1:19" x14ac:dyDescent="0.25">
      <c r="A817" t="s">
        <v>907</v>
      </c>
      <c r="B817" s="2">
        <v>46112</v>
      </c>
      <c r="C817" t="s">
        <v>53</v>
      </c>
      <c r="D817" t="s">
        <v>54</v>
      </c>
      <c r="E817" t="s">
        <v>55</v>
      </c>
      <c r="F817" t="s">
        <v>56</v>
      </c>
      <c r="G817" t="s">
        <v>32</v>
      </c>
      <c r="H817">
        <v>310</v>
      </c>
      <c r="I817">
        <v>309</v>
      </c>
      <c r="J817">
        <v>12</v>
      </c>
      <c r="K817">
        <v>1.4</v>
      </c>
      <c r="L817">
        <v>36068.660000000003</v>
      </c>
      <c r="M817">
        <v>6.93</v>
      </c>
      <c r="N817">
        <v>138.6</v>
      </c>
      <c r="O817">
        <v>355</v>
      </c>
      <c r="P817" s="2">
        <v>46124</v>
      </c>
      <c r="Q817" s="2">
        <v>46128</v>
      </c>
      <c r="R817" t="s">
        <v>25</v>
      </c>
      <c r="S817" t="s">
        <v>33</v>
      </c>
    </row>
    <row r="818" spans="1:19" x14ac:dyDescent="0.25">
      <c r="A818" t="s">
        <v>908</v>
      </c>
      <c r="B818" s="2">
        <v>46085</v>
      </c>
      <c r="C818" t="s">
        <v>59</v>
      </c>
      <c r="D818" t="s">
        <v>49</v>
      </c>
      <c r="E818" t="s">
        <v>60</v>
      </c>
      <c r="F818" t="s">
        <v>170</v>
      </c>
      <c r="G818" t="s">
        <v>57</v>
      </c>
      <c r="H818">
        <v>121</v>
      </c>
      <c r="I818">
        <v>94</v>
      </c>
      <c r="J818">
        <v>8</v>
      </c>
      <c r="K818">
        <v>0.5</v>
      </c>
      <c r="L818">
        <v>17084.400000000001</v>
      </c>
      <c r="M818">
        <v>2.9</v>
      </c>
      <c r="N818">
        <v>75.400000000000006</v>
      </c>
      <c r="O818">
        <v>124</v>
      </c>
      <c r="P818" s="2">
        <v>46092</v>
      </c>
      <c r="Q818" s="2">
        <v>46093</v>
      </c>
      <c r="R818" t="s">
        <v>25</v>
      </c>
      <c r="S818" t="s">
        <v>51</v>
      </c>
    </row>
    <row r="819" spans="1:19" x14ac:dyDescent="0.25">
      <c r="A819" t="s">
        <v>909</v>
      </c>
      <c r="B819" s="2">
        <v>46024</v>
      </c>
      <c r="C819" t="s">
        <v>35</v>
      </c>
      <c r="D819" t="s">
        <v>36</v>
      </c>
      <c r="E819" t="s">
        <v>37</v>
      </c>
      <c r="F819" t="s">
        <v>110</v>
      </c>
      <c r="G819" t="s">
        <v>32</v>
      </c>
      <c r="H819">
        <v>224</v>
      </c>
      <c r="I819">
        <v>166</v>
      </c>
      <c r="J819">
        <v>6</v>
      </c>
      <c r="K819">
        <v>5.0999999999999996</v>
      </c>
      <c r="L819">
        <v>18459.5</v>
      </c>
      <c r="M819">
        <v>3.13</v>
      </c>
      <c r="N819">
        <v>81.38</v>
      </c>
      <c r="O819">
        <v>202</v>
      </c>
      <c r="P819" s="2">
        <v>46026</v>
      </c>
      <c r="Q819" s="2">
        <v>46030</v>
      </c>
      <c r="R819" t="s">
        <v>39</v>
      </c>
      <c r="S819" t="s">
        <v>86</v>
      </c>
    </row>
    <row r="820" spans="1:19" x14ac:dyDescent="0.25">
      <c r="A820" t="s">
        <v>910</v>
      </c>
      <c r="B820" s="2">
        <v>46198</v>
      </c>
      <c r="C820" t="s">
        <v>35</v>
      </c>
      <c r="D820" t="s">
        <v>36</v>
      </c>
      <c r="E820" t="s">
        <v>69</v>
      </c>
      <c r="F820" t="s">
        <v>170</v>
      </c>
      <c r="G820" t="s">
        <v>32</v>
      </c>
      <c r="H820">
        <v>313</v>
      </c>
      <c r="I820">
        <v>326</v>
      </c>
      <c r="J820">
        <v>21</v>
      </c>
      <c r="K820">
        <v>5.5</v>
      </c>
      <c r="L820">
        <v>32045.85</v>
      </c>
      <c r="M820">
        <v>9.43</v>
      </c>
      <c r="N820">
        <v>188.6</v>
      </c>
      <c r="O820">
        <v>389</v>
      </c>
      <c r="P820" s="2">
        <v>46208</v>
      </c>
      <c r="Q820" s="2">
        <v>46209</v>
      </c>
      <c r="R820" t="s">
        <v>25</v>
      </c>
      <c r="S820" t="s">
        <v>51</v>
      </c>
    </row>
    <row r="821" spans="1:19" x14ac:dyDescent="0.25">
      <c r="A821" t="s">
        <v>911</v>
      </c>
      <c r="B821" s="2">
        <v>46122</v>
      </c>
      <c r="C821" t="s">
        <v>59</v>
      </c>
      <c r="D821" t="s">
        <v>49</v>
      </c>
      <c r="E821" t="s">
        <v>50</v>
      </c>
      <c r="F821" t="s">
        <v>46</v>
      </c>
      <c r="G821" t="s">
        <v>32</v>
      </c>
      <c r="H821">
        <v>174</v>
      </c>
      <c r="I821">
        <v>180</v>
      </c>
      <c r="J821">
        <v>7</v>
      </c>
      <c r="K821">
        <v>2.7</v>
      </c>
      <c r="L821">
        <v>25626.17</v>
      </c>
      <c r="M821">
        <v>7.04</v>
      </c>
      <c r="N821">
        <v>140.80000000000001</v>
      </c>
      <c r="O821">
        <v>236</v>
      </c>
      <c r="P821" s="2">
        <v>46126</v>
      </c>
      <c r="Q821" s="2">
        <v>46127</v>
      </c>
      <c r="R821" t="s">
        <v>25</v>
      </c>
      <c r="S821" t="s">
        <v>72</v>
      </c>
    </row>
    <row r="822" spans="1:19" x14ac:dyDescent="0.25">
      <c r="A822" t="s">
        <v>912</v>
      </c>
      <c r="B822" s="2">
        <v>46140</v>
      </c>
      <c r="C822" t="s">
        <v>53</v>
      </c>
      <c r="D822" t="s">
        <v>54</v>
      </c>
      <c r="E822" t="s">
        <v>131</v>
      </c>
      <c r="F822" t="s">
        <v>137</v>
      </c>
      <c r="G822" t="s">
        <v>32</v>
      </c>
      <c r="H822">
        <v>179</v>
      </c>
      <c r="I822">
        <v>164</v>
      </c>
      <c r="J822">
        <v>5</v>
      </c>
      <c r="K822">
        <v>6</v>
      </c>
      <c r="L822">
        <v>20499.689999999999</v>
      </c>
      <c r="M822">
        <v>3.92</v>
      </c>
      <c r="N822">
        <v>78.400000000000006</v>
      </c>
      <c r="O822">
        <v>188</v>
      </c>
      <c r="P822" s="2">
        <v>46152</v>
      </c>
      <c r="Q822" s="2">
        <v>46153</v>
      </c>
      <c r="R822" t="s">
        <v>100</v>
      </c>
      <c r="S822" t="s">
        <v>86</v>
      </c>
    </row>
    <row r="823" spans="1:19" x14ac:dyDescent="0.25">
      <c r="A823" t="s">
        <v>913</v>
      </c>
      <c r="B823" s="2">
        <v>46187</v>
      </c>
      <c r="C823" t="s">
        <v>59</v>
      </c>
      <c r="D823" t="s">
        <v>49</v>
      </c>
      <c r="E823" t="s">
        <v>50</v>
      </c>
      <c r="F823" t="s">
        <v>96</v>
      </c>
      <c r="G823" t="s">
        <v>24</v>
      </c>
      <c r="H823">
        <v>180</v>
      </c>
      <c r="I823">
        <v>140</v>
      </c>
      <c r="J823">
        <v>2</v>
      </c>
      <c r="K823">
        <v>5.9</v>
      </c>
      <c r="L823">
        <v>24712.23</v>
      </c>
      <c r="M823">
        <v>5.12</v>
      </c>
      <c r="N823">
        <v>133.12</v>
      </c>
      <c r="O823">
        <v>245</v>
      </c>
      <c r="P823" s="2">
        <v>46189</v>
      </c>
      <c r="Q823" s="2">
        <v>46189</v>
      </c>
      <c r="R823" t="s">
        <v>25</v>
      </c>
      <c r="S823" t="s">
        <v>51</v>
      </c>
    </row>
    <row r="824" spans="1:19" x14ac:dyDescent="0.25">
      <c r="A824" t="s">
        <v>914</v>
      </c>
      <c r="B824" s="2">
        <v>46191</v>
      </c>
      <c r="C824" t="s">
        <v>35</v>
      </c>
      <c r="D824" t="s">
        <v>36</v>
      </c>
      <c r="E824" t="s">
        <v>69</v>
      </c>
      <c r="F824" t="s">
        <v>83</v>
      </c>
      <c r="G824" t="s">
        <v>57</v>
      </c>
      <c r="H824">
        <v>126</v>
      </c>
      <c r="I824">
        <v>141</v>
      </c>
      <c r="J824">
        <v>1</v>
      </c>
      <c r="K824">
        <v>1.9</v>
      </c>
      <c r="L824">
        <v>12131.09</v>
      </c>
      <c r="M824">
        <v>5.87</v>
      </c>
      <c r="N824">
        <v>152.62</v>
      </c>
      <c r="O824">
        <v>125</v>
      </c>
      <c r="P824" s="2">
        <v>46203</v>
      </c>
      <c r="Q824" s="2">
        <v>46205</v>
      </c>
      <c r="R824" t="s">
        <v>39</v>
      </c>
      <c r="S824" t="s">
        <v>51</v>
      </c>
    </row>
    <row r="825" spans="1:19" x14ac:dyDescent="0.25">
      <c r="A825" t="s">
        <v>915</v>
      </c>
      <c r="B825" s="2">
        <v>46128</v>
      </c>
      <c r="C825" t="s">
        <v>48</v>
      </c>
      <c r="D825" t="s">
        <v>49</v>
      </c>
      <c r="E825" t="s">
        <v>76</v>
      </c>
      <c r="F825" t="s">
        <v>135</v>
      </c>
      <c r="G825" t="s">
        <v>57</v>
      </c>
      <c r="H825">
        <v>142</v>
      </c>
      <c r="I825">
        <v>155</v>
      </c>
      <c r="J825">
        <v>2</v>
      </c>
      <c r="K825">
        <v>8.4</v>
      </c>
      <c r="L825">
        <v>32308.95</v>
      </c>
      <c r="M825">
        <v>5.07</v>
      </c>
      <c r="N825">
        <v>91.26</v>
      </c>
      <c r="O825">
        <v>126</v>
      </c>
      <c r="P825" s="2">
        <v>46131</v>
      </c>
      <c r="Q825" s="2">
        <v>46130</v>
      </c>
      <c r="R825" t="s">
        <v>25</v>
      </c>
      <c r="S825" t="s">
        <v>86</v>
      </c>
    </row>
    <row r="826" spans="1:19" x14ac:dyDescent="0.25">
      <c r="A826" t="s">
        <v>916</v>
      </c>
      <c r="B826" s="2">
        <v>46046</v>
      </c>
      <c r="C826" t="s">
        <v>48</v>
      </c>
      <c r="D826" t="s">
        <v>49</v>
      </c>
      <c r="E826" t="s">
        <v>76</v>
      </c>
      <c r="F826" t="s">
        <v>125</v>
      </c>
      <c r="G826" t="s">
        <v>57</v>
      </c>
      <c r="H826">
        <v>131</v>
      </c>
      <c r="I826">
        <v>136</v>
      </c>
      <c r="J826">
        <v>12</v>
      </c>
      <c r="K826">
        <v>2.8</v>
      </c>
      <c r="L826">
        <v>23710.63</v>
      </c>
      <c r="M826">
        <v>3.48</v>
      </c>
      <c r="N826">
        <v>83.52</v>
      </c>
      <c r="O826">
        <v>212</v>
      </c>
      <c r="P826" s="2">
        <v>46053</v>
      </c>
      <c r="Q826" s="2">
        <v>46053</v>
      </c>
      <c r="R826" t="s">
        <v>25</v>
      </c>
      <c r="S826" t="s">
        <v>26</v>
      </c>
    </row>
    <row r="827" spans="1:19" x14ac:dyDescent="0.25">
      <c r="A827" t="s">
        <v>917</v>
      </c>
      <c r="B827" s="2">
        <v>46063</v>
      </c>
      <c r="C827" t="s">
        <v>43</v>
      </c>
      <c r="D827" t="s">
        <v>44</v>
      </c>
      <c r="E827" t="s">
        <v>93</v>
      </c>
      <c r="F827" t="s">
        <v>71</v>
      </c>
      <c r="G827" t="s">
        <v>57</v>
      </c>
      <c r="H827">
        <v>186</v>
      </c>
      <c r="I827">
        <v>143</v>
      </c>
      <c r="J827">
        <v>12</v>
      </c>
      <c r="K827">
        <v>3.7</v>
      </c>
      <c r="L827">
        <v>17763.419999999998</v>
      </c>
      <c r="M827">
        <v>4.9800000000000004</v>
      </c>
      <c r="N827">
        <v>109.56</v>
      </c>
      <c r="O827">
        <v>209</v>
      </c>
      <c r="P827" s="2">
        <v>46066</v>
      </c>
      <c r="Q827" s="2">
        <v>46066</v>
      </c>
      <c r="R827" t="s">
        <v>100</v>
      </c>
      <c r="S827" t="s">
        <v>51</v>
      </c>
    </row>
    <row r="828" spans="1:19" x14ac:dyDescent="0.25">
      <c r="A828" t="s">
        <v>918</v>
      </c>
      <c r="B828" s="2">
        <v>46120</v>
      </c>
      <c r="C828" t="s">
        <v>53</v>
      </c>
      <c r="D828" t="s">
        <v>54</v>
      </c>
      <c r="E828" t="s">
        <v>131</v>
      </c>
      <c r="F828" t="s">
        <v>91</v>
      </c>
      <c r="G828" t="s">
        <v>32</v>
      </c>
      <c r="H828">
        <v>202</v>
      </c>
      <c r="I828">
        <v>160</v>
      </c>
      <c r="J828">
        <v>1</v>
      </c>
      <c r="K828">
        <v>6.2</v>
      </c>
      <c r="L828">
        <v>28415.86</v>
      </c>
      <c r="M828">
        <v>5.13</v>
      </c>
      <c r="N828">
        <v>102.6</v>
      </c>
      <c r="O828">
        <v>276</v>
      </c>
      <c r="P828" s="2">
        <v>46122</v>
      </c>
      <c r="Q828" s="2">
        <v>46126</v>
      </c>
      <c r="R828" t="s">
        <v>39</v>
      </c>
      <c r="S828" t="s">
        <v>33</v>
      </c>
    </row>
    <row r="829" spans="1:19" x14ac:dyDescent="0.25">
      <c r="A829" t="s">
        <v>919</v>
      </c>
      <c r="B829" s="2">
        <v>46117</v>
      </c>
      <c r="C829" t="s">
        <v>20</v>
      </c>
      <c r="D829" t="s">
        <v>21</v>
      </c>
      <c r="E829" t="s">
        <v>22</v>
      </c>
      <c r="F829" t="s">
        <v>104</v>
      </c>
      <c r="G829" t="s">
        <v>32</v>
      </c>
      <c r="H829">
        <v>114</v>
      </c>
      <c r="I829">
        <v>112</v>
      </c>
      <c r="J829">
        <v>7</v>
      </c>
      <c r="K829">
        <v>8.3000000000000007</v>
      </c>
      <c r="L829">
        <v>34824.1</v>
      </c>
      <c r="M829">
        <v>4.5999999999999996</v>
      </c>
      <c r="N829">
        <v>92</v>
      </c>
      <c r="O829">
        <v>156</v>
      </c>
      <c r="P829" s="2">
        <v>46123</v>
      </c>
      <c r="Q829" s="2">
        <v>46122</v>
      </c>
      <c r="R829" t="s">
        <v>25</v>
      </c>
      <c r="S829" t="s">
        <v>33</v>
      </c>
    </row>
    <row r="830" spans="1:19" x14ac:dyDescent="0.25">
      <c r="A830" t="s">
        <v>920</v>
      </c>
      <c r="B830" s="2">
        <v>46182</v>
      </c>
      <c r="C830" t="s">
        <v>35</v>
      </c>
      <c r="D830" t="s">
        <v>36</v>
      </c>
      <c r="E830" t="s">
        <v>37</v>
      </c>
      <c r="F830" t="s">
        <v>122</v>
      </c>
      <c r="G830" t="s">
        <v>32</v>
      </c>
      <c r="H830">
        <v>173</v>
      </c>
      <c r="I830">
        <v>187</v>
      </c>
      <c r="J830">
        <v>4</v>
      </c>
      <c r="K830">
        <v>2.5</v>
      </c>
      <c r="L830">
        <v>19276</v>
      </c>
      <c r="M830">
        <v>5.56</v>
      </c>
      <c r="N830">
        <v>111.2</v>
      </c>
      <c r="O830">
        <v>146</v>
      </c>
      <c r="P830" s="2">
        <v>46194</v>
      </c>
      <c r="Q830" s="2">
        <v>46194</v>
      </c>
      <c r="R830" t="s">
        <v>25</v>
      </c>
      <c r="S830" t="s">
        <v>72</v>
      </c>
    </row>
    <row r="831" spans="1:19" x14ac:dyDescent="0.25">
      <c r="A831" t="s">
        <v>921</v>
      </c>
      <c r="B831" s="2">
        <v>46109</v>
      </c>
      <c r="C831" t="s">
        <v>80</v>
      </c>
      <c r="D831" t="s">
        <v>21</v>
      </c>
      <c r="E831" t="s">
        <v>90</v>
      </c>
      <c r="F831" t="s">
        <v>46</v>
      </c>
      <c r="G831" t="s">
        <v>57</v>
      </c>
      <c r="H831">
        <v>271</v>
      </c>
      <c r="I831">
        <v>311</v>
      </c>
      <c r="J831">
        <v>19</v>
      </c>
      <c r="K831">
        <v>5.9</v>
      </c>
      <c r="L831">
        <v>68174.58</v>
      </c>
      <c r="M831">
        <v>12.11</v>
      </c>
      <c r="N831">
        <v>314.86</v>
      </c>
      <c r="O831">
        <v>233</v>
      </c>
      <c r="P831" s="2">
        <v>46120</v>
      </c>
      <c r="Q831" s="2">
        <v>46118</v>
      </c>
      <c r="R831" t="s">
        <v>25</v>
      </c>
      <c r="S831" t="s">
        <v>72</v>
      </c>
    </row>
    <row r="832" spans="1:19" x14ac:dyDescent="0.25">
      <c r="A832" t="s">
        <v>922</v>
      </c>
      <c r="B832" s="2">
        <v>46120</v>
      </c>
      <c r="C832" t="s">
        <v>35</v>
      </c>
      <c r="D832" t="s">
        <v>36</v>
      </c>
      <c r="E832" t="s">
        <v>37</v>
      </c>
      <c r="F832" t="s">
        <v>137</v>
      </c>
      <c r="G832" t="s">
        <v>57</v>
      </c>
      <c r="H832">
        <v>257</v>
      </c>
      <c r="I832">
        <v>259</v>
      </c>
      <c r="J832">
        <v>17</v>
      </c>
      <c r="K832">
        <v>3</v>
      </c>
      <c r="L832">
        <v>28954.02</v>
      </c>
      <c r="M832">
        <v>9.5399999999999991</v>
      </c>
      <c r="N832">
        <v>228.96</v>
      </c>
      <c r="O832">
        <v>304</v>
      </c>
      <c r="P832" s="2">
        <v>46124</v>
      </c>
      <c r="Q832" s="2">
        <v>46125</v>
      </c>
      <c r="R832" t="s">
        <v>25</v>
      </c>
      <c r="S832" t="s">
        <v>72</v>
      </c>
    </row>
    <row r="833" spans="1:19" x14ac:dyDescent="0.25">
      <c r="A833" t="s">
        <v>923</v>
      </c>
      <c r="B833" s="2">
        <v>46095</v>
      </c>
      <c r="C833" t="s">
        <v>59</v>
      </c>
      <c r="D833" t="s">
        <v>49</v>
      </c>
      <c r="E833" t="s">
        <v>50</v>
      </c>
      <c r="F833" t="s">
        <v>244</v>
      </c>
      <c r="G833" t="s">
        <v>32</v>
      </c>
      <c r="H833">
        <v>313</v>
      </c>
      <c r="I833">
        <v>285</v>
      </c>
      <c r="J833">
        <v>18</v>
      </c>
      <c r="K833">
        <v>7.2</v>
      </c>
      <c r="L833">
        <v>62706.7</v>
      </c>
      <c r="M833">
        <v>11.26</v>
      </c>
      <c r="N833">
        <v>202.68</v>
      </c>
      <c r="O833">
        <v>305</v>
      </c>
      <c r="P833" s="2">
        <v>46098</v>
      </c>
      <c r="Q833" s="2">
        <v>46098</v>
      </c>
      <c r="R833" t="s">
        <v>25</v>
      </c>
      <c r="S833" t="s">
        <v>33</v>
      </c>
    </row>
    <row r="834" spans="1:19" x14ac:dyDescent="0.25">
      <c r="A834" t="s">
        <v>924</v>
      </c>
      <c r="B834" s="2">
        <v>46062</v>
      </c>
      <c r="C834" t="s">
        <v>28</v>
      </c>
      <c r="D834" t="s">
        <v>29</v>
      </c>
      <c r="E834" t="s">
        <v>63</v>
      </c>
      <c r="F834" t="s">
        <v>104</v>
      </c>
      <c r="G834" t="s">
        <v>406</v>
      </c>
      <c r="H834">
        <v>301</v>
      </c>
      <c r="I834">
        <v>226</v>
      </c>
      <c r="J834">
        <v>15</v>
      </c>
      <c r="K834">
        <v>6.6</v>
      </c>
      <c r="L834">
        <v>54041.16</v>
      </c>
      <c r="M834">
        <v>4.45</v>
      </c>
      <c r="N834">
        <v>115.7</v>
      </c>
      <c r="O834">
        <v>378</v>
      </c>
      <c r="P834" s="2">
        <v>46074</v>
      </c>
      <c r="Q834" s="2">
        <v>46075</v>
      </c>
      <c r="R834" t="s">
        <v>25</v>
      </c>
      <c r="S834" t="s">
        <v>33</v>
      </c>
    </row>
    <row r="835" spans="1:19" x14ac:dyDescent="0.25">
      <c r="A835" t="s">
        <v>925</v>
      </c>
      <c r="B835" s="2">
        <v>46058</v>
      </c>
      <c r="C835" t="s">
        <v>28</v>
      </c>
      <c r="D835" t="s">
        <v>29</v>
      </c>
      <c r="E835" t="s">
        <v>30</v>
      </c>
      <c r="F835" t="s">
        <v>31</v>
      </c>
      <c r="G835" t="s">
        <v>32</v>
      </c>
      <c r="H835">
        <v>317</v>
      </c>
      <c r="I835">
        <v>239</v>
      </c>
      <c r="J835">
        <v>3</v>
      </c>
      <c r="K835">
        <v>8.6</v>
      </c>
      <c r="L835">
        <v>48379.83</v>
      </c>
      <c r="M835">
        <v>5.64</v>
      </c>
      <c r="N835">
        <v>101.52</v>
      </c>
      <c r="O835">
        <v>297</v>
      </c>
      <c r="P835" s="2">
        <v>46066</v>
      </c>
      <c r="Q835" s="2">
        <v>46067</v>
      </c>
      <c r="R835" t="s">
        <v>39</v>
      </c>
      <c r="S835" t="s">
        <v>51</v>
      </c>
    </row>
    <row r="836" spans="1:19" x14ac:dyDescent="0.25">
      <c r="A836" t="s">
        <v>926</v>
      </c>
      <c r="B836" s="2">
        <v>46149</v>
      </c>
      <c r="C836" t="s">
        <v>43</v>
      </c>
      <c r="D836" t="s">
        <v>44</v>
      </c>
      <c r="E836" t="s">
        <v>161</v>
      </c>
      <c r="F836" t="s">
        <v>106</v>
      </c>
      <c r="G836" t="s">
        <v>57</v>
      </c>
      <c r="H836">
        <v>153</v>
      </c>
      <c r="I836">
        <v>158</v>
      </c>
      <c r="J836">
        <v>9</v>
      </c>
      <c r="K836">
        <v>7.7</v>
      </c>
      <c r="L836">
        <v>18213.849999999999</v>
      </c>
      <c r="M836">
        <v>3.15</v>
      </c>
      <c r="N836">
        <v>63</v>
      </c>
      <c r="O836">
        <v>180</v>
      </c>
      <c r="P836" s="2">
        <v>46153</v>
      </c>
      <c r="Q836" s="2">
        <v>46153</v>
      </c>
      <c r="R836" t="s">
        <v>25</v>
      </c>
      <c r="S836" t="s">
        <v>51</v>
      </c>
    </row>
    <row r="837" spans="1:19" x14ac:dyDescent="0.25">
      <c r="A837" t="s">
        <v>927</v>
      </c>
      <c r="B837" s="2">
        <v>46070</v>
      </c>
      <c r="C837" t="s">
        <v>48</v>
      </c>
      <c r="D837" t="s">
        <v>49</v>
      </c>
      <c r="E837" t="s">
        <v>50</v>
      </c>
      <c r="F837" t="s">
        <v>125</v>
      </c>
      <c r="G837" t="s">
        <v>57</v>
      </c>
      <c r="H837">
        <v>121</v>
      </c>
      <c r="I837">
        <v>107</v>
      </c>
      <c r="J837">
        <v>8</v>
      </c>
      <c r="K837">
        <v>2.7</v>
      </c>
      <c r="L837">
        <v>21506.959999999999</v>
      </c>
      <c r="M837">
        <v>2.4900000000000002</v>
      </c>
      <c r="N837">
        <v>54.78</v>
      </c>
      <c r="O837">
        <v>169</v>
      </c>
      <c r="P837" s="2">
        <v>46075</v>
      </c>
      <c r="Q837" s="2">
        <v>46073</v>
      </c>
      <c r="R837" t="s">
        <v>25</v>
      </c>
      <c r="S837" t="s">
        <v>33</v>
      </c>
    </row>
    <row r="838" spans="1:19" x14ac:dyDescent="0.25">
      <c r="A838" t="s">
        <v>928</v>
      </c>
      <c r="B838" s="2">
        <v>46038</v>
      </c>
      <c r="C838" t="s">
        <v>20</v>
      </c>
      <c r="D838" t="s">
        <v>21</v>
      </c>
      <c r="E838" t="s">
        <v>90</v>
      </c>
      <c r="F838" t="s">
        <v>114</v>
      </c>
      <c r="G838" t="s">
        <v>32</v>
      </c>
      <c r="H838">
        <v>168</v>
      </c>
      <c r="I838">
        <v>186</v>
      </c>
      <c r="J838">
        <v>1</v>
      </c>
      <c r="K838">
        <v>6.8</v>
      </c>
      <c r="L838">
        <v>61456.1</v>
      </c>
      <c r="M838">
        <v>7.36</v>
      </c>
      <c r="N838">
        <v>176.64</v>
      </c>
      <c r="O838">
        <v>131</v>
      </c>
      <c r="P838" s="2">
        <v>46050</v>
      </c>
      <c r="Q838" s="2">
        <v>46049</v>
      </c>
      <c r="R838" t="s">
        <v>25</v>
      </c>
      <c r="S838" t="s">
        <v>26</v>
      </c>
    </row>
    <row r="839" spans="1:19" x14ac:dyDescent="0.25">
      <c r="A839" t="s">
        <v>929</v>
      </c>
      <c r="B839" s="2">
        <v>46196</v>
      </c>
      <c r="C839" t="s">
        <v>20</v>
      </c>
      <c r="D839" t="s">
        <v>21</v>
      </c>
      <c r="E839" t="s">
        <v>66</v>
      </c>
      <c r="F839" t="s">
        <v>114</v>
      </c>
      <c r="G839" t="s">
        <v>57</v>
      </c>
      <c r="H839">
        <v>147</v>
      </c>
      <c r="I839">
        <v>151</v>
      </c>
      <c r="J839">
        <v>5</v>
      </c>
      <c r="K839">
        <v>3.2</v>
      </c>
      <c r="L839">
        <v>52489.74</v>
      </c>
      <c r="M839">
        <v>3.81</v>
      </c>
      <c r="N839">
        <v>91.44</v>
      </c>
      <c r="O839">
        <v>187</v>
      </c>
      <c r="P839" s="2">
        <v>46206</v>
      </c>
      <c r="Q839" s="2">
        <v>46206</v>
      </c>
      <c r="R839" t="s">
        <v>25</v>
      </c>
      <c r="S839" t="s">
        <v>33</v>
      </c>
    </row>
    <row r="840" spans="1:19" x14ac:dyDescent="0.25">
      <c r="A840" t="s">
        <v>930</v>
      </c>
      <c r="B840" s="2">
        <v>46199</v>
      </c>
      <c r="C840" t="s">
        <v>48</v>
      </c>
      <c r="D840" t="s">
        <v>49</v>
      </c>
      <c r="E840" t="s">
        <v>76</v>
      </c>
      <c r="F840" t="s">
        <v>77</v>
      </c>
      <c r="G840" t="s">
        <v>57</v>
      </c>
      <c r="H840">
        <v>199</v>
      </c>
      <c r="I840">
        <v>218</v>
      </c>
      <c r="J840">
        <v>7</v>
      </c>
      <c r="K840">
        <v>7.2</v>
      </c>
      <c r="L840">
        <v>49283.8</v>
      </c>
      <c r="M840">
        <v>8.4700000000000006</v>
      </c>
      <c r="N840">
        <v>203.28</v>
      </c>
      <c r="O840">
        <v>274</v>
      </c>
      <c r="P840" s="2">
        <v>46203</v>
      </c>
      <c r="Q840" s="2">
        <v>46203</v>
      </c>
      <c r="R840" t="s">
        <v>100</v>
      </c>
      <c r="S840" t="s">
        <v>51</v>
      </c>
    </row>
    <row r="841" spans="1:19" x14ac:dyDescent="0.25">
      <c r="A841" t="s">
        <v>931</v>
      </c>
      <c r="B841" s="2">
        <v>46104</v>
      </c>
      <c r="C841" t="s">
        <v>35</v>
      </c>
      <c r="D841" t="s">
        <v>36</v>
      </c>
      <c r="E841" t="s">
        <v>37</v>
      </c>
      <c r="F841" t="s">
        <v>170</v>
      </c>
      <c r="G841" t="s">
        <v>32</v>
      </c>
      <c r="H841">
        <v>182</v>
      </c>
      <c r="I841">
        <v>159</v>
      </c>
      <c r="J841">
        <v>7</v>
      </c>
      <c r="K841">
        <v>7.4</v>
      </c>
      <c r="L841">
        <v>15209.04</v>
      </c>
      <c r="M841">
        <v>6.47</v>
      </c>
      <c r="N841">
        <v>129.4</v>
      </c>
      <c r="O841">
        <v>166</v>
      </c>
      <c r="P841" s="2">
        <v>46106</v>
      </c>
      <c r="Q841" s="2">
        <v>46108</v>
      </c>
      <c r="R841" t="s">
        <v>100</v>
      </c>
      <c r="S841" t="s">
        <v>86</v>
      </c>
    </row>
    <row r="842" spans="1:19" x14ac:dyDescent="0.25">
      <c r="A842" t="s">
        <v>932</v>
      </c>
      <c r="B842" s="2">
        <v>46073</v>
      </c>
      <c r="C842" t="s">
        <v>80</v>
      </c>
      <c r="D842" t="s">
        <v>21</v>
      </c>
      <c r="E842" t="s">
        <v>90</v>
      </c>
      <c r="F842" t="s">
        <v>41</v>
      </c>
      <c r="G842" t="s">
        <v>57</v>
      </c>
      <c r="H842">
        <v>180</v>
      </c>
      <c r="I842">
        <v>141</v>
      </c>
      <c r="J842">
        <v>11</v>
      </c>
      <c r="K842">
        <v>7.7</v>
      </c>
      <c r="L842">
        <v>31723.26</v>
      </c>
      <c r="M842">
        <v>4.59</v>
      </c>
      <c r="N842">
        <v>110.16</v>
      </c>
      <c r="O842">
        <v>250</v>
      </c>
      <c r="P842" s="2">
        <v>46081</v>
      </c>
      <c r="Q842" s="2">
        <v>46081</v>
      </c>
      <c r="R842" t="s">
        <v>100</v>
      </c>
      <c r="S842" t="s">
        <v>86</v>
      </c>
    </row>
    <row r="843" spans="1:19" x14ac:dyDescent="0.25">
      <c r="A843" t="s">
        <v>933</v>
      </c>
      <c r="B843" s="2">
        <v>46050</v>
      </c>
      <c r="C843" t="s">
        <v>20</v>
      </c>
      <c r="D843" t="s">
        <v>21</v>
      </c>
      <c r="E843" t="s">
        <v>90</v>
      </c>
      <c r="F843" t="s">
        <v>110</v>
      </c>
      <c r="G843" t="s">
        <v>32</v>
      </c>
      <c r="H843">
        <v>260</v>
      </c>
      <c r="I843">
        <v>240</v>
      </c>
      <c r="J843">
        <v>7</v>
      </c>
      <c r="K843">
        <v>2.1</v>
      </c>
      <c r="L843">
        <v>97454.97</v>
      </c>
      <c r="M843">
        <v>6.72</v>
      </c>
      <c r="N843">
        <v>120.96</v>
      </c>
      <c r="O843">
        <v>298</v>
      </c>
      <c r="P843" s="2">
        <v>46062</v>
      </c>
      <c r="Q843" s="2">
        <v>46062</v>
      </c>
      <c r="R843" t="s">
        <v>25</v>
      </c>
      <c r="S843" t="s">
        <v>26</v>
      </c>
    </row>
    <row r="844" spans="1:19" x14ac:dyDescent="0.25">
      <c r="A844" t="s">
        <v>934</v>
      </c>
      <c r="B844" s="2">
        <v>46132</v>
      </c>
      <c r="C844" t="s">
        <v>20</v>
      </c>
      <c r="D844" t="s">
        <v>21</v>
      </c>
      <c r="E844" t="s">
        <v>66</v>
      </c>
      <c r="F844" t="s">
        <v>77</v>
      </c>
      <c r="G844" t="s">
        <v>57</v>
      </c>
      <c r="H844">
        <v>113</v>
      </c>
      <c r="I844">
        <v>107</v>
      </c>
      <c r="J844">
        <v>3</v>
      </c>
      <c r="K844">
        <v>3.4</v>
      </c>
      <c r="L844">
        <v>33319.72</v>
      </c>
      <c r="M844">
        <v>3.38</v>
      </c>
      <c r="N844">
        <v>81.12</v>
      </c>
      <c r="O844">
        <v>89</v>
      </c>
      <c r="P844" s="2">
        <v>46134</v>
      </c>
      <c r="Q844" s="2">
        <v>46138</v>
      </c>
      <c r="R844" t="s">
        <v>25</v>
      </c>
      <c r="S844" t="s">
        <v>51</v>
      </c>
    </row>
    <row r="845" spans="1:19" x14ac:dyDescent="0.25">
      <c r="A845" t="s">
        <v>935</v>
      </c>
      <c r="B845" s="2">
        <v>46106</v>
      </c>
      <c r="C845" t="s">
        <v>28</v>
      </c>
      <c r="D845" t="s">
        <v>29</v>
      </c>
      <c r="E845" t="s">
        <v>95</v>
      </c>
      <c r="F845" t="s">
        <v>104</v>
      </c>
      <c r="G845" t="s">
        <v>57</v>
      </c>
      <c r="H845">
        <v>242</v>
      </c>
      <c r="I845">
        <v>269</v>
      </c>
      <c r="J845">
        <v>24</v>
      </c>
      <c r="K845">
        <v>7.1</v>
      </c>
      <c r="L845">
        <v>64007.3</v>
      </c>
      <c r="M845">
        <v>6.98</v>
      </c>
      <c r="N845">
        <v>139.6</v>
      </c>
      <c r="O845">
        <v>234</v>
      </c>
      <c r="P845" s="2">
        <v>46113</v>
      </c>
      <c r="Q845" s="2">
        <v>46113</v>
      </c>
      <c r="R845" t="s">
        <v>39</v>
      </c>
      <c r="S845" t="s">
        <v>51</v>
      </c>
    </row>
    <row r="846" spans="1:19" x14ac:dyDescent="0.25">
      <c r="A846" t="s">
        <v>936</v>
      </c>
      <c r="B846" s="2">
        <v>46148</v>
      </c>
      <c r="C846" t="s">
        <v>53</v>
      </c>
      <c r="D846" t="s">
        <v>54</v>
      </c>
      <c r="E846" t="s">
        <v>55</v>
      </c>
      <c r="F846" t="s">
        <v>197</v>
      </c>
      <c r="G846" t="s">
        <v>57</v>
      </c>
      <c r="H846">
        <v>160</v>
      </c>
      <c r="I846">
        <v>150</v>
      </c>
      <c r="J846">
        <v>2</v>
      </c>
      <c r="K846">
        <v>6.8</v>
      </c>
      <c r="L846">
        <v>19875.77</v>
      </c>
      <c r="M846">
        <v>4.47</v>
      </c>
      <c r="N846">
        <v>116.22</v>
      </c>
      <c r="O846">
        <v>188</v>
      </c>
      <c r="P846" s="2">
        <v>46151</v>
      </c>
      <c r="Q846" s="2">
        <v>46155</v>
      </c>
      <c r="R846" t="s">
        <v>100</v>
      </c>
      <c r="S846" t="s">
        <v>86</v>
      </c>
    </row>
    <row r="847" spans="1:19" x14ac:dyDescent="0.25">
      <c r="A847" t="s">
        <v>937</v>
      </c>
      <c r="B847" s="2">
        <v>46059</v>
      </c>
      <c r="C847" t="s">
        <v>48</v>
      </c>
      <c r="D847" t="s">
        <v>49</v>
      </c>
      <c r="E847" t="s">
        <v>50</v>
      </c>
      <c r="F847" t="s">
        <v>38</v>
      </c>
      <c r="G847" t="s">
        <v>24</v>
      </c>
      <c r="H847">
        <v>201</v>
      </c>
      <c r="I847">
        <v>166</v>
      </c>
      <c r="J847">
        <v>10</v>
      </c>
      <c r="K847">
        <v>2.9</v>
      </c>
      <c r="L847">
        <v>36913.86</v>
      </c>
      <c r="M847">
        <v>3.57</v>
      </c>
      <c r="N847">
        <v>78.540000000000006</v>
      </c>
      <c r="O847">
        <v>242</v>
      </c>
      <c r="P847" s="2">
        <v>46068</v>
      </c>
      <c r="Q847" s="2">
        <v>46069</v>
      </c>
      <c r="R847" t="s">
        <v>39</v>
      </c>
      <c r="S847" t="s">
        <v>51</v>
      </c>
    </row>
    <row r="848" spans="1:19" x14ac:dyDescent="0.25">
      <c r="A848" t="s">
        <v>938</v>
      </c>
      <c r="B848" s="2">
        <v>46188</v>
      </c>
      <c r="C848" t="s">
        <v>28</v>
      </c>
      <c r="D848" t="s">
        <v>29</v>
      </c>
      <c r="E848" t="s">
        <v>30</v>
      </c>
      <c r="F848" t="s">
        <v>31</v>
      </c>
      <c r="G848" t="s">
        <v>57</v>
      </c>
      <c r="H848">
        <v>234</v>
      </c>
      <c r="I848">
        <v>180</v>
      </c>
      <c r="J848">
        <v>12</v>
      </c>
      <c r="K848">
        <v>6.6</v>
      </c>
      <c r="L848">
        <v>39559.68</v>
      </c>
      <c r="M848">
        <v>4.46</v>
      </c>
      <c r="N848">
        <v>107.04</v>
      </c>
      <c r="O848">
        <v>302</v>
      </c>
      <c r="P848" s="2">
        <v>46190</v>
      </c>
      <c r="Q848" s="2">
        <v>46190</v>
      </c>
      <c r="R848" t="s">
        <v>25</v>
      </c>
      <c r="S848" t="s">
        <v>86</v>
      </c>
    </row>
    <row r="849" spans="1:19" x14ac:dyDescent="0.25">
      <c r="A849" t="s">
        <v>939</v>
      </c>
      <c r="B849" s="2">
        <v>46029</v>
      </c>
      <c r="C849" t="s">
        <v>80</v>
      </c>
      <c r="D849" t="s">
        <v>21</v>
      </c>
      <c r="E849" t="s">
        <v>66</v>
      </c>
      <c r="F849" t="s">
        <v>71</v>
      </c>
      <c r="G849" t="s">
        <v>32</v>
      </c>
      <c r="H849">
        <v>244</v>
      </c>
      <c r="I849">
        <v>255</v>
      </c>
      <c r="J849">
        <v>3</v>
      </c>
      <c r="K849">
        <v>4.2</v>
      </c>
      <c r="L849">
        <v>70679.399999999994</v>
      </c>
      <c r="M849">
        <v>8.42</v>
      </c>
      <c r="N849">
        <v>218.92</v>
      </c>
      <c r="O849">
        <v>244</v>
      </c>
      <c r="P849" s="2">
        <v>46040</v>
      </c>
      <c r="Q849" s="2">
        <v>46044</v>
      </c>
      <c r="R849" t="s">
        <v>25</v>
      </c>
      <c r="S849" t="s">
        <v>72</v>
      </c>
    </row>
    <row r="850" spans="1:19" x14ac:dyDescent="0.25">
      <c r="A850" t="s">
        <v>940</v>
      </c>
      <c r="B850" s="2">
        <v>46093</v>
      </c>
      <c r="C850" t="s">
        <v>28</v>
      </c>
      <c r="D850" t="s">
        <v>29</v>
      </c>
      <c r="E850" t="s">
        <v>30</v>
      </c>
      <c r="F850" t="s">
        <v>61</v>
      </c>
      <c r="G850" t="s">
        <v>24</v>
      </c>
      <c r="H850">
        <v>235</v>
      </c>
      <c r="I850">
        <v>215</v>
      </c>
      <c r="J850">
        <v>4</v>
      </c>
      <c r="K850">
        <v>1.2</v>
      </c>
      <c r="L850">
        <v>51458.1</v>
      </c>
      <c r="M850">
        <v>8.35</v>
      </c>
      <c r="N850">
        <v>217.1</v>
      </c>
      <c r="O850">
        <v>317</v>
      </c>
      <c r="P850" s="2">
        <v>46100</v>
      </c>
      <c r="Q850" s="2">
        <v>46100</v>
      </c>
      <c r="R850" t="s">
        <v>25</v>
      </c>
      <c r="S850" t="s">
        <v>72</v>
      </c>
    </row>
    <row r="851" spans="1:19" x14ac:dyDescent="0.25">
      <c r="A851" t="s">
        <v>941</v>
      </c>
      <c r="B851" s="2">
        <v>46163</v>
      </c>
      <c r="C851" t="s">
        <v>80</v>
      </c>
      <c r="D851" t="s">
        <v>21</v>
      </c>
      <c r="E851" t="s">
        <v>66</v>
      </c>
      <c r="F851" t="s">
        <v>119</v>
      </c>
      <c r="G851" t="s">
        <v>57</v>
      </c>
      <c r="H851">
        <v>191</v>
      </c>
      <c r="I851">
        <v>190</v>
      </c>
      <c r="J851">
        <v>7</v>
      </c>
      <c r="K851">
        <v>2.9</v>
      </c>
      <c r="L851">
        <v>49725.26</v>
      </c>
      <c r="M851">
        <v>4.71</v>
      </c>
      <c r="N851">
        <v>122.46</v>
      </c>
      <c r="O851">
        <v>161</v>
      </c>
      <c r="P851" s="2">
        <v>46173</v>
      </c>
      <c r="Q851" s="2">
        <v>46171</v>
      </c>
      <c r="R851" t="s">
        <v>25</v>
      </c>
      <c r="S851" t="s">
        <v>33</v>
      </c>
    </row>
    <row r="852" spans="1:19" x14ac:dyDescent="0.25">
      <c r="A852" t="s">
        <v>942</v>
      </c>
      <c r="B852" s="2">
        <v>46058</v>
      </c>
      <c r="C852" t="s">
        <v>43</v>
      </c>
      <c r="D852" t="s">
        <v>44</v>
      </c>
      <c r="E852" t="s">
        <v>93</v>
      </c>
      <c r="F852" t="s">
        <v>64</v>
      </c>
      <c r="G852" t="s">
        <v>24</v>
      </c>
      <c r="H852">
        <v>213</v>
      </c>
      <c r="I852">
        <v>168</v>
      </c>
      <c r="J852">
        <v>11</v>
      </c>
      <c r="K852">
        <v>0.8</v>
      </c>
      <c r="L852">
        <v>18026.21</v>
      </c>
      <c r="M852">
        <v>3.35</v>
      </c>
      <c r="N852">
        <v>73.7</v>
      </c>
      <c r="O852">
        <v>190</v>
      </c>
      <c r="P852" s="2">
        <v>46067</v>
      </c>
      <c r="Q852" s="2">
        <v>46069</v>
      </c>
      <c r="R852" t="s">
        <v>39</v>
      </c>
      <c r="S852" t="s">
        <v>72</v>
      </c>
    </row>
    <row r="853" spans="1:19" x14ac:dyDescent="0.25">
      <c r="A853" t="s">
        <v>943</v>
      </c>
      <c r="B853" s="2">
        <v>46187</v>
      </c>
      <c r="C853" t="s">
        <v>35</v>
      </c>
      <c r="D853" t="s">
        <v>36</v>
      </c>
      <c r="E853" t="s">
        <v>37</v>
      </c>
      <c r="F853" t="s">
        <v>110</v>
      </c>
      <c r="G853" t="s">
        <v>24</v>
      </c>
      <c r="H853">
        <v>220</v>
      </c>
      <c r="I853">
        <v>236</v>
      </c>
      <c r="J853">
        <v>18</v>
      </c>
      <c r="K853">
        <v>4</v>
      </c>
      <c r="L853">
        <v>20781.82</v>
      </c>
      <c r="M853">
        <v>5.72</v>
      </c>
      <c r="N853">
        <v>114.4</v>
      </c>
      <c r="O853">
        <v>194</v>
      </c>
      <c r="P853" s="2">
        <v>46199</v>
      </c>
      <c r="Q853" s="2">
        <v>46197</v>
      </c>
      <c r="R853" t="s">
        <v>25</v>
      </c>
      <c r="S853" t="s">
        <v>51</v>
      </c>
    </row>
    <row r="854" spans="1:19" x14ac:dyDescent="0.25">
      <c r="A854" t="s">
        <v>944</v>
      </c>
      <c r="B854" s="2">
        <v>46145</v>
      </c>
      <c r="C854" t="s">
        <v>80</v>
      </c>
      <c r="D854" t="s">
        <v>21</v>
      </c>
      <c r="E854" t="s">
        <v>22</v>
      </c>
      <c r="F854" t="s">
        <v>135</v>
      </c>
      <c r="G854" t="s">
        <v>24</v>
      </c>
      <c r="H854">
        <v>136</v>
      </c>
      <c r="I854">
        <v>142</v>
      </c>
      <c r="J854">
        <v>12</v>
      </c>
      <c r="K854">
        <v>8.6</v>
      </c>
      <c r="L854">
        <v>31339.84</v>
      </c>
      <c r="M854">
        <v>3.88</v>
      </c>
      <c r="N854">
        <v>93.12</v>
      </c>
      <c r="O854">
        <v>100</v>
      </c>
      <c r="P854" s="2">
        <v>46155</v>
      </c>
      <c r="Q854" s="2">
        <v>46155</v>
      </c>
      <c r="R854" t="s">
        <v>100</v>
      </c>
      <c r="S854" t="s">
        <v>72</v>
      </c>
    </row>
    <row r="855" spans="1:19" x14ac:dyDescent="0.25">
      <c r="A855" t="s">
        <v>945</v>
      </c>
      <c r="B855" s="2">
        <v>46163</v>
      </c>
      <c r="C855" t="s">
        <v>20</v>
      </c>
      <c r="D855" t="s">
        <v>21</v>
      </c>
      <c r="E855" t="s">
        <v>22</v>
      </c>
      <c r="F855" t="s">
        <v>170</v>
      </c>
      <c r="G855" t="s">
        <v>24</v>
      </c>
      <c r="H855">
        <v>131</v>
      </c>
      <c r="I855">
        <v>127</v>
      </c>
      <c r="J855">
        <v>3</v>
      </c>
      <c r="K855">
        <v>5.2</v>
      </c>
      <c r="L855">
        <v>35659.620000000003</v>
      </c>
      <c r="M855">
        <v>4.0599999999999996</v>
      </c>
      <c r="N855">
        <v>89.32</v>
      </c>
      <c r="O855">
        <v>221</v>
      </c>
      <c r="P855" s="2">
        <v>46167</v>
      </c>
      <c r="Q855" s="2">
        <v>46169</v>
      </c>
      <c r="R855" t="s">
        <v>25</v>
      </c>
      <c r="S855" t="s">
        <v>33</v>
      </c>
    </row>
    <row r="856" spans="1:19" x14ac:dyDescent="0.25">
      <c r="A856" t="s">
        <v>946</v>
      </c>
      <c r="B856" s="2">
        <v>46183</v>
      </c>
      <c r="C856" t="s">
        <v>59</v>
      </c>
      <c r="D856" t="s">
        <v>49</v>
      </c>
      <c r="E856" t="s">
        <v>76</v>
      </c>
      <c r="F856" t="s">
        <v>135</v>
      </c>
      <c r="G856" t="s">
        <v>32</v>
      </c>
      <c r="H856">
        <v>222</v>
      </c>
      <c r="I856">
        <v>195</v>
      </c>
      <c r="J856">
        <v>7</v>
      </c>
      <c r="K856">
        <v>7.5</v>
      </c>
      <c r="L856">
        <v>34742.550000000003</v>
      </c>
      <c r="M856">
        <v>4.43</v>
      </c>
      <c r="N856">
        <v>97.46</v>
      </c>
      <c r="O856">
        <v>282</v>
      </c>
      <c r="P856" s="2">
        <v>46186</v>
      </c>
      <c r="Q856" s="2">
        <v>46186</v>
      </c>
      <c r="R856" t="s">
        <v>100</v>
      </c>
      <c r="S856" t="s">
        <v>26</v>
      </c>
    </row>
    <row r="857" spans="1:19" x14ac:dyDescent="0.25">
      <c r="A857" t="s">
        <v>947</v>
      </c>
      <c r="B857" s="2">
        <v>46189</v>
      </c>
      <c r="C857" t="s">
        <v>35</v>
      </c>
      <c r="D857" t="s">
        <v>36</v>
      </c>
      <c r="E857" t="s">
        <v>37</v>
      </c>
      <c r="F857" t="s">
        <v>74</v>
      </c>
      <c r="G857" t="s">
        <v>57</v>
      </c>
      <c r="H857">
        <v>127</v>
      </c>
      <c r="I857">
        <v>97</v>
      </c>
      <c r="J857">
        <v>3</v>
      </c>
      <c r="K857">
        <v>1</v>
      </c>
      <c r="L857">
        <v>9510.0300000000007</v>
      </c>
      <c r="M857">
        <v>3.51</v>
      </c>
      <c r="N857">
        <v>77.22</v>
      </c>
      <c r="O857">
        <v>141</v>
      </c>
      <c r="P857" s="2">
        <v>46200</v>
      </c>
      <c r="Q857" s="2">
        <v>46200</v>
      </c>
      <c r="R857" t="s">
        <v>25</v>
      </c>
      <c r="S857" t="s">
        <v>51</v>
      </c>
    </row>
    <row r="858" spans="1:19" x14ac:dyDescent="0.25">
      <c r="A858" t="s">
        <v>948</v>
      </c>
      <c r="B858" s="2">
        <v>46168</v>
      </c>
      <c r="C858" t="s">
        <v>59</v>
      </c>
      <c r="D858" t="s">
        <v>49</v>
      </c>
      <c r="E858" t="s">
        <v>50</v>
      </c>
      <c r="F858" t="s">
        <v>197</v>
      </c>
      <c r="G858" t="s">
        <v>57</v>
      </c>
      <c r="H858">
        <v>210</v>
      </c>
      <c r="I858">
        <v>153</v>
      </c>
      <c r="J858">
        <v>0</v>
      </c>
      <c r="K858">
        <v>7.5</v>
      </c>
      <c r="L858">
        <v>27810.81</v>
      </c>
      <c r="M858">
        <v>6.23</v>
      </c>
      <c r="N858">
        <v>149.52000000000001</v>
      </c>
      <c r="O858">
        <v>253</v>
      </c>
      <c r="P858" s="2">
        <v>46177</v>
      </c>
      <c r="Q858" s="2">
        <v>46179</v>
      </c>
      <c r="R858" t="s">
        <v>39</v>
      </c>
      <c r="S858" t="s">
        <v>72</v>
      </c>
    </row>
    <row r="859" spans="1:19" x14ac:dyDescent="0.25">
      <c r="A859" t="s">
        <v>949</v>
      </c>
      <c r="B859" s="2">
        <v>46145</v>
      </c>
      <c r="C859" t="s">
        <v>59</v>
      </c>
      <c r="D859" t="s">
        <v>49</v>
      </c>
      <c r="E859" t="s">
        <v>60</v>
      </c>
      <c r="F859" t="s">
        <v>46</v>
      </c>
      <c r="G859" t="s">
        <v>24</v>
      </c>
      <c r="H859">
        <v>299</v>
      </c>
      <c r="I859">
        <v>335</v>
      </c>
      <c r="J859">
        <v>4</v>
      </c>
      <c r="K859">
        <v>1</v>
      </c>
      <c r="L859">
        <v>41954.04</v>
      </c>
      <c r="M859">
        <v>6.43</v>
      </c>
      <c r="N859">
        <v>115.74</v>
      </c>
      <c r="O859">
        <v>329</v>
      </c>
      <c r="P859" s="2">
        <v>46147</v>
      </c>
      <c r="Q859" s="2">
        <v>46147</v>
      </c>
      <c r="R859" t="s">
        <v>100</v>
      </c>
      <c r="S859" t="s">
        <v>26</v>
      </c>
    </row>
    <row r="860" spans="1:19" x14ac:dyDescent="0.25">
      <c r="A860" t="s">
        <v>950</v>
      </c>
      <c r="B860" s="2">
        <v>46063</v>
      </c>
      <c r="C860" t="s">
        <v>20</v>
      </c>
      <c r="D860" t="s">
        <v>21</v>
      </c>
      <c r="E860" t="s">
        <v>22</v>
      </c>
      <c r="F860" t="s">
        <v>170</v>
      </c>
      <c r="G860" t="s">
        <v>32</v>
      </c>
      <c r="H860">
        <v>174</v>
      </c>
      <c r="I860">
        <v>141</v>
      </c>
      <c r="J860">
        <v>3</v>
      </c>
      <c r="K860">
        <v>3.8</v>
      </c>
      <c r="L860">
        <v>45966.75</v>
      </c>
      <c r="M860">
        <v>3.95</v>
      </c>
      <c r="N860">
        <v>71.099999999999994</v>
      </c>
      <c r="O860">
        <v>210</v>
      </c>
      <c r="P860" s="2">
        <v>46065</v>
      </c>
      <c r="Q860" s="2">
        <v>46064</v>
      </c>
      <c r="R860" t="s">
        <v>25</v>
      </c>
      <c r="S860" t="s">
        <v>72</v>
      </c>
    </row>
    <row r="861" spans="1:19" x14ac:dyDescent="0.25">
      <c r="A861" t="s">
        <v>951</v>
      </c>
      <c r="B861" s="2">
        <v>46075</v>
      </c>
      <c r="C861" t="s">
        <v>20</v>
      </c>
      <c r="D861" t="s">
        <v>21</v>
      </c>
      <c r="E861" t="s">
        <v>66</v>
      </c>
      <c r="F861" t="s">
        <v>135</v>
      </c>
      <c r="G861" t="s">
        <v>24</v>
      </c>
      <c r="H861">
        <v>270</v>
      </c>
      <c r="I861">
        <v>304</v>
      </c>
      <c r="J861">
        <v>23</v>
      </c>
      <c r="K861">
        <v>7.9</v>
      </c>
      <c r="L861">
        <v>103851.91</v>
      </c>
      <c r="M861">
        <v>6.29</v>
      </c>
      <c r="N861">
        <v>125.8</v>
      </c>
      <c r="O861">
        <v>346</v>
      </c>
      <c r="P861" s="2">
        <v>46086</v>
      </c>
      <c r="Q861" s="2">
        <v>46086</v>
      </c>
      <c r="R861" t="s">
        <v>25</v>
      </c>
      <c r="S861" t="s">
        <v>26</v>
      </c>
    </row>
    <row r="862" spans="1:19" x14ac:dyDescent="0.25">
      <c r="A862" t="s">
        <v>952</v>
      </c>
      <c r="B862" s="2">
        <v>46145</v>
      </c>
      <c r="C862" t="s">
        <v>20</v>
      </c>
      <c r="D862" t="s">
        <v>21</v>
      </c>
      <c r="E862" t="s">
        <v>66</v>
      </c>
      <c r="F862" t="s">
        <v>197</v>
      </c>
      <c r="G862" t="s">
        <v>32</v>
      </c>
      <c r="H862">
        <v>257</v>
      </c>
      <c r="I862">
        <v>201</v>
      </c>
      <c r="J862">
        <v>2</v>
      </c>
      <c r="K862">
        <v>6.1</v>
      </c>
      <c r="L862">
        <v>54040.28</v>
      </c>
      <c r="M862">
        <v>7.62</v>
      </c>
      <c r="N862">
        <v>182.88</v>
      </c>
      <c r="O862">
        <v>261</v>
      </c>
      <c r="P862" s="2">
        <v>46147</v>
      </c>
      <c r="Q862" s="2">
        <v>46145</v>
      </c>
      <c r="R862" t="s">
        <v>25</v>
      </c>
      <c r="S862" t="s">
        <v>86</v>
      </c>
    </row>
    <row r="863" spans="1:19" x14ac:dyDescent="0.25">
      <c r="A863" t="s">
        <v>953</v>
      </c>
      <c r="B863" s="2">
        <v>46145</v>
      </c>
      <c r="C863" t="s">
        <v>28</v>
      </c>
      <c r="D863" t="s">
        <v>29</v>
      </c>
      <c r="E863" t="s">
        <v>95</v>
      </c>
      <c r="F863" t="s">
        <v>106</v>
      </c>
      <c r="G863" t="s">
        <v>24</v>
      </c>
      <c r="H863">
        <v>86</v>
      </c>
      <c r="I863">
        <v>86</v>
      </c>
      <c r="J863">
        <v>7</v>
      </c>
      <c r="K863">
        <v>1.7</v>
      </c>
      <c r="L863">
        <v>22747.01</v>
      </c>
      <c r="M863">
        <v>3.6</v>
      </c>
      <c r="N863">
        <v>64.8</v>
      </c>
      <c r="O863">
        <v>161</v>
      </c>
      <c r="P863" s="2">
        <v>46155</v>
      </c>
      <c r="Q863" s="2">
        <v>46159</v>
      </c>
      <c r="R863" t="s">
        <v>25</v>
      </c>
      <c r="S863" t="s">
        <v>33</v>
      </c>
    </row>
    <row r="864" spans="1:19" x14ac:dyDescent="0.25">
      <c r="A864" t="s">
        <v>954</v>
      </c>
      <c r="B864" s="2">
        <v>46096</v>
      </c>
      <c r="C864" t="s">
        <v>48</v>
      </c>
      <c r="D864" t="s">
        <v>49</v>
      </c>
      <c r="E864" t="s">
        <v>50</v>
      </c>
      <c r="F864" t="s">
        <v>244</v>
      </c>
      <c r="G864" t="s">
        <v>24</v>
      </c>
      <c r="H864">
        <v>233</v>
      </c>
      <c r="I864">
        <v>204</v>
      </c>
      <c r="J864">
        <v>16</v>
      </c>
      <c r="K864">
        <v>4.9000000000000004</v>
      </c>
      <c r="L864">
        <v>43132.72</v>
      </c>
      <c r="M864">
        <v>7.23</v>
      </c>
      <c r="N864">
        <v>187.98</v>
      </c>
      <c r="O864">
        <v>230</v>
      </c>
      <c r="P864" s="2">
        <v>46103</v>
      </c>
      <c r="Q864" s="2">
        <v>46104</v>
      </c>
      <c r="R864" t="s">
        <v>100</v>
      </c>
      <c r="S864" t="s">
        <v>72</v>
      </c>
    </row>
    <row r="865" spans="1:19" x14ac:dyDescent="0.25">
      <c r="A865" t="s">
        <v>955</v>
      </c>
      <c r="B865" s="2">
        <v>46118</v>
      </c>
      <c r="C865" t="s">
        <v>53</v>
      </c>
      <c r="D865" t="s">
        <v>54</v>
      </c>
      <c r="E865" t="s">
        <v>131</v>
      </c>
      <c r="F865" t="s">
        <v>96</v>
      </c>
      <c r="G865" t="s">
        <v>32</v>
      </c>
      <c r="H865">
        <v>276</v>
      </c>
      <c r="I865">
        <v>233</v>
      </c>
      <c r="J865">
        <v>18</v>
      </c>
      <c r="K865">
        <v>6.8</v>
      </c>
      <c r="L865">
        <v>33600.050000000003</v>
      </c>
      <c r="M865">
        <v>6.21</v>
      </c>
      <c r="N865">
        <v>149.04</v>
      </c>
      <c r="O865">
        <v>258</v>
      </c>
      <c r="P865" s="2">
        <v>46129</v>
      </c>
      <c r="Q865" s="2">
        <v>46129</v>
      </c>
      <c r="R865" t="s">
        <v>25</v>
      </c>
      <c r="S865" t="s">
        <v>72</v>
      </c>
    </row>
    <row r="866" spans="1:19" x14ac:dyDescent="0.25">
      <c r="A866" t="s">
        <v>956</v>
      </c>
      <c r="B866" s="2">
        <v>46138</v>
      </c>
      <c r="C866" t="s">
        <v>43</v>
      </c>
      <c r="D866" t="s">
        <v>44</v>
      </c>
      <c r="E866" t="s">
        <v>93</v>
      </c>
      <c r="F866" t="s">
        <v>61</v>
      </c>
      <c r="G866" t="s">
        <v>32</v>
      </c>
      <c r="H866">
        <v>167</v>
      </c>
      <c r="I866">
        <v>156</v>
      </c>
      <c r="J866">
        <v>12</v>
      </c>
      <c r="K866">
        <v>5.6</v>
      </c>
      <c r="L866">
        <v>19182.169999999998</v>
      </c>
      <c r="M866">
        <v>5.92</v>
      </c>
      <c r="N866">
        <v>118.4</v>
      </c>
      <c r="O866">
        <v>162</v>
      </c>
      <c r="P866" s="2">
        <v>46143</v>
      </c>
      <c r="Q866" s="2">
        <v>46145</v>
      </c>
      <c r="R866" t="s">
        <v>25</v>
      </c>
      <c r="S866" t="s">
        <v>33</v>
      </c>
    </row>
    <row r="867" spans="1:19" x14ac:dyDescent="0.25">
      <c r="A867" t="s">
        <v>957</v>
      </c>
      <c r="B867" s="2">
        <v>46151</v>
      </c>
      <c r="C867" t="s">
        <v>80</v>
      </c>
      <c r="D867" t="s">
        <v>21</v>
      </c>
      <c r="E867" t="s">
        <v>66</v>
      </c>
      <c r="F867" t="s">
        <v>137</v>
      </c>
      <c r="G867" t="s">
        <v>32</v>
      </c>
      <c r="H867">
        <v>106</v>
      </c>
      <c r="I867">
        <v>102</v>
      </c>
      <c r="J867">
        <v>2</v>
      </c>
      <c r="K867">
        <v>5</v>
      </c>
      <c r="L867">
        <v>33558.58</v>
      </c>
      <c r="M867">
        <v>3.51</v>
      </c>
      <c r="N867">
        <v>77.22</v>
      </c>
      <c r="O867">
        <v>191</v>
      </c>
      <c r="P867" s="2">
        <v>46154</v>
      </c>
      <c r="Q867" s="2">
        <v>46155</v>
      </c>
      <c r="R867" t="s">
        <v>25</v>
      </c>
      <c r="S867" t="s">
        <v>26</v>
      </c>
    </row>
    <row r="868" spans="1:19" x14ac:dyDescent="0.25">
      <c r="A868" t="s">
        <v>958</v>
      </c>
      <c r="B868" s="2">
        <v>46191</v>
      </c>
      <c r="C868" t="s">
        <v>35</v>
      </c>
      <c r="D868" t="s">
        <v>36</v>
      </c>
      <c r="E868" t="s">
        <v>37</v>
      </c>
      <c r="F868" t="s">
        <v>170</v>
      </c>
      <c r="G868" t="s">
        <v>57</v>
      </c>
      <c r="H868">
        <v>227</v>
      </c>
      <c r="I868">
        <v>197</v>
      </c>
      <c r="J868">
        <v>8</v>
      </c>
      <c r="K868">
        <v>6.8</v>
      </c>
      <c r="L868">
        <v>16154.24</v>
      </c>
      <c r="M868">
        <v>5.69</v>
      </c>
      <c r="N868">
        <v>113.8</v>
      </c>
      <c r="O868">
        <v>187</v>
      </c>
      <c r="P868" s="2">
        <v>46201</v>
      </c>
      <c r="Q868" s="2">
        <v>46200</v>
      </c>
      <c r="R868" t="s">
        <v>100</v>
      </c>
      <c r="S868" t="s">
        <v>86</v>
      </c>
    </row>
    <row r="869" spans="1:19" x14ac:dyDescent="0.25">
      <c r="A869" t="s">
        <v>959</v>
      </c>
      <c r="B869" s="2">
        <v>46084</v>
      </c>
      <c r="C869" t="s">
        <v>35</v>
      </c>
      <c r="D869" t="s">
        <v>36</v>
      </c>
      <c r="E869" t="s">
        <v>69</v>
      </c>
      <c r="F869" t="s">
        <v>122</v>
      </c>
      <c r="G869" t="s">
        <v>32</v>
      </c>
      <c r="H869">
        <v>291</v>
      </c>
      <c r="I869">
        <v>235</v>
      </c>
      <c r="J869">
        <v>14</v>
      </c>
      <c r="K869">
        <v>8.6</v>
      </c>
      <c r="L869">
        <v>16740.02</v>
      </c>
      <c r="M869">
        <v>5.9</v>
      </c>
      <c r="N869">
        <v>118</v>
      </c>
      <c r="O869">
        <v>298</v>
      </c>
      <c r="P869" s="2">
        <v>46096</v>
      </c>
      <c r="Q869" s="2">
        <v>46095</v>
      </c>
      <c r="R869" t="s">
        <v>25</v>
      </c>
      <c r="S869" t="s">
        <v>33</v>
      </c>
    </row>
    <row r="870" spans="1:19" x14ac:dyDescent="0.25">
      <c r="A870" t="s">
        <v>960</v>
      </c>
      <c r="B870" s="2">
        <v>46131</v>
      </c>
      <c r="C870" t="s">
        <v>48</v>
      </c>
      <c r="D870" t="s">
        <v>49</v>
      </c>
      <c r="E870" t="s">
        <v>60</v>
      </c>
      <c r="F870" t="s">
        <v>119</v>
      </c>
      <c r="G870" t="s">
        <v>32</v>
      </c>
      <c r="H870">
        <v>183</v>
      </c>
      <c r="I870">
        <v>132</v>
      </c>
      <c r="J870">
        <v>7</v>
      </c>
      <c r="K870">
        <v>3.1</v>
      </c>
      <c r="L870">
        <v>23889.85</v>
      </c>
      <c r="M870">
        <v>4.34</v>
      </c>
      <c r="N870">
        <v>104.16</v>
      </c>
      <c r="O870">
        <v>153</v>
      </c>
      <c r="P870" s="2">
        <v>46143</v>
      </c>
      <c r="Q870" s="2">
        <v>46147</v>
      </c>
      <c r="R870" t="s">
        <v>25</v>
      </c>
      <c r="S870" t="s">
        <v>86</v>
      </c>
    </row>
    <row r="871" spans="1:19" x14ac:dyDescent="0.25">
      <c r="A871" t="s">
        <v>961</v>
      </c>
      <c r="B871" s="2">
        <v>46030</v>
      </c>
      <c r="C871" t="s">
        <v>59</v>
      </c>
      <c r="D871" t="s">
        <v>49</v>
      </c>
      <c r="E871" t="s">
        <v>60</v>
      </c>
      <c r="F871" t="s">
        <v>119</v>
      </c>
      <c r="G871" t="s">
        <v>57</v>
      </c>
      <c r="H871">
        <v>201</v>
      </c>
      <c r="I871">
        <v>219</v>
      </c>
      <c r="J871">
        <v>8</v>
      </c>
      <c r="K871">
        <v>4.9000000000000004</v>
      </c>
      <c r="L871">
        <v>34359.879999999997</v>
      </c>
      <c r="M871">
        <v>7.2</v>
      </c>
      <c r="N871">
        <v>158.4</v>
      </c>
      <c r="O871">
        <v>286</v>
      </c>
      <c r="P871" s="2">
        <v>46032</v>
      </c>
      <c r="Q871" s="2">
        <v>46034</v>
      </c>
      <c r="R871" t="s">
        <v>25</v>
      </c>
      <c r="S871" t="s">
        <v>72</v>
      </c>
    </row>
    <row r="872" spans="1:19" x14ac:dyDescent="0.25">
      <c r="A872" t="s">
        <v>962</v>
      </c>
      <c r="B872" s="2">
        <v>46087</v>
      </c>
      <c r="C872" t="s">
        <v>20</v>
      </c>
      <c r="D872" t="s">
        <v>21</v>
      </c>
      <c r="E872" t="s">
        <v>22</v>
      </c>
      <c r="F872" t="s">
        <v>197</v>
      </c>
      <c r="G872" t="s">
        <v>24</v>
      </c>
      <c r="H872">
        <v>142</v>
      </c>
      <c r="I872">
        <v>146</v>
      </c>
      <c r="J872">
        <v>10</v>
      </c>
      <c r="K872">
        <v>8.3000000000000007</v>
      </c>
      <c r="L872">
        <v>49611.91</v>
      </c>
      <c r="M872">
        <v>3.47</v>
      </c>
      <c r="N872">
        <v>83.28</v>
      </c>
      <c r="O872">
        <v>110</v>
      </c>
      <c r="P872" s="2">
        <v>46094</v>
      </c>
      <c r="Q872" s="2">
        <v>46094</v>
      </c>
      <c r="R872" t="s">
        <v>39</v>
      </c>
      <c r="S872" t="s">
        <v>72</v>
      </c>
    </row>
    <row r="873" spans="1:19" x14ac:dyDescent="0.25">
      <c r="A873" t="s">
        <v>963</v>
      </c>
      <c r="B873" s="2">
        <v>46078</v>
      </c>
      <c r="C873" t="s">
        <v>35</v>
      </c>
      <c r="D873" t="s">
        <v>36</v>
      </c>
      <c r="E873" t="s">
        <v>37</v>
      </c>
      <c r="F873" t="s">
        <v>110</v>
      </c>
      <c r="G873" t="s">
        <v>24</v>
      </c>
      <c r="H873">
        <v>82</v>
      </c>
      <c r="I873">
        <v>83</v>
      </c>
      <c r="J873">
        <v>4</v>
      </c>
      <c r="K873">
        <v>6.1</v>
      </c>
      <c r="L873">
        <v>6355</v>
      </c>
      <c r="M873">
        <v>1.63</v>
      </c>
      <c r="N873">
        <v>32.6</v>
      </c>
      <c r="O873">
        <v>168</v>
      </c>
      <c r="P873" s="2">
        <v>46084</v>
      </c>
      <c r="Q873" s="2">
        <v>46086</v>
      </c>
      <c r="R873" t="s">
        <v>39</v>
      </c>
      <c r="S873" t="s">
        <v>33</v>
      </c>
    </row>
    <row r="874" spans="1:19" x14ac:dyDescent="0.25">
      <c r="A874" t="s">
        <v>964</v>
      </c>
      <c r="B874" s="2">
        <v>46087</v>
      </c>
      <c r="C874" t="s">
        <v>20</v>
      </c>
      <c r="D874" t="s">
        <v>21</v>
      </c>
      <c r="E874" t="s">
        <v>66</v>
      </c>
      <c r="F874" t="s">
        <v>119</v>
      </c>
      <c r="G874" t="s">
        <v>57</v>
      </c>
      <c r="H874">
        <v>212</v>
      </c>
      <c r="I874">
        <v>197</v>
      </c>
      <c r="J874">
        <v>16</v>
      </c>
      <c r="K874">
        <v>2.6</v>
      </c>
      <c r="L874">
        <v>52905.59</v>
      </c>
      <c r="M874">
        <v>5.1100000000000003</v>
      </c>
      <c r="N874">
        <v>91.98</v>
      </c>
      <c r="O874">
        <v>211</v>
      </c>
      <c r="P874" s="2">
        <v>46090</v>
      </c>
      <c r="Q874" s="2">
        <v>46090</v>
      </c>
      <c r="R874" t="s">
        <v>100</v>
      </c>
      <c r="S874" t="s">
        <v>33</v>
      </c>
    </row>
    <row r="875" spans="1:19" x14ac:dyDescent="0.25">
      <c r="A875" t="s">
        <v>965</v>
      </c>
      <c r="B875" s="2">
        <v>46122</v>
      </c>
      <c r="C875" t="s">
        <v>43</v>
      </c>
      <c r="D875" t="s">
        <v>44</v>
      </c>
      <c r="E875" t="s">
        <v>161</v>
      </c>
      <c r="F875" t="s">
        <v>112</v>
      </c>
      <c r="G875" t="s">
        <v>24</v>
      </c>
      <c r="H875">
        <v>91</v>
      </c>
      <c r="I875">
        <v>77</v>
      </c>
      <c r="J875">
        <v>1</v>
      </c>
      <c r="K875">
        <v>7.8</v>
      </c>
      <c r="L875">
        <v>9301.1299999999992</v>
      </c>
      <c r="M875">
        <v>2.71</v>
      </c>
      <c r="N875">
        <v>48.78</v>
      </c>
      <c r="O875">
        <v>76</v>
      </c>
      <c r="P875" s="2">
        <v>46126</v>
      </c>
      <c r="Q875" s="2">
        <v>46126</v>
      </c>
      <c r="R875" t="s">
        <v>25</v>
      </c>
      <c r="S875" t="s">
        <v>26</v>
      </c>
    </row>
    <row r="876" spans="1:19" x14ac:dyDescent="0.25">
      <c r="A876" t="s">
        <v>966</v>
      </c>
      <c r="B876" s="2">
        <v>46029</v>
      </c>
      <c r="C876" t="s">
        <v>53</v>
      </c>
      <c r="D876" t="s">
        <v>54</v>
      </c>
      <c r="E876" t="s">
        <v>131</v>
      </c>
      <c r="F876" t="s">
        <v>137</v>
      </c>
      <c r="G876" t="s">
        <v>24</v>
      </c>
      <c r="H876">
        <v>173</v>
      </c>
      <c r="I876">
        <v>183</v>
      </c>
      <c r="J876">
        <v>7</v>
      </c>
      <c r="K876">
        <v>6.4</v>
      </c>
      <c r="L876">
        <v>28835.48</v>
      </c>
      <c r="M876">
        <v>5.68</v>
      </c>
      <c r="N876">
        <v>136.32</v>
      </c>
      <c r="O876">
        <v>254</v>
      </c>
      <c r="P876" s="2">
        <v>46031</v>
      </c>
      <c r="Q876" s="2">
        <v>46031</v>
      </c>
      <c r="R876" t="s">
        <v>100</v>
      </c>
      <c r="S876" t="s">
        <v>72</v>
      </c>
    </row>
    <row r="877" spans="1:19" x14ac:dyDescent="0.25">
      <c r="A877" t="s">
        <v>967</v>
      </c>
      <c r="B877" s="2">
        <v>46040</v>
      </c>
      <c r="C877" t="s">
        <v>20</v>
      </c>
      <c r="D877" t="s">
        <v>21</v>
      </c>
      <c r="E877" t="s">
        <v>22</v>
      </c>
      <c r="F877" t="s">
        <v>114</v>
      </c>
      <c r="G877" t="s">
        <v>57</v>
      </c>
      <c r="H877">
        <v>147</v>
      </c>
      <c r="I877">
        <v>161</v>
      </c>
      <c r="J877">
        <v>10</v>
      </c>
      <c r="K877">
        <v>4.3</v>
      </c>
      <c r="L877">
        <v>48680.05</v>
      </c>
      <c r="M877">
        <v>6.48</v>
      </c>
      <c r="N877">
        <v>129.6</v>
      </c>
      <c r="O877">
        <v>137</v>
      </c>
      <c r="P877" s="2">
        <v>46042</v>
      </c>
      <c r="Q877" s="2">
        <v>46042</v>
      </c>
      <c r="R877" t="s">
        <v>25</v>
      </c>
      <c r="S877" t="s">
        <v>51</v>
      </c>
    </row>
    <row r="878" spans="1:19" x14ac:dyDescent="0.25">
      <c r="A878" t="s">
        <v>968</v>
      </c>
      <c r="B878" s="2">
        <v>46137</v>
      </c>
      <c r="C878" t="s">
        <v>48</v>
      </c>
      <c r="D878" t="s">
        <v>49</v>
      </c>
      <c r="E878" t="s">
        <v>60</v>
      </c>
      <c r="F878" t="s">
        <v>135</v>
      </c>
      <c r="G878" t="s">
        <v>32</v>
      </c>
      <c r="H878">
        <v>147</v>
      </c>
      <c r="I878">
        <v>136</v>
      </c>
      <c r="J878">
        <v>12</v>
      </c>
      <c r="K878">
        <v>5.9</v>
      </c>
      <c r="L878">
        <v>25127.23</v>
      </c>
      <c r="M878">
        <v>2.58</v>
      </c>
      <c r="N878">
        <v>51.6</v>
      </c>
      <c r="O878">
        <v>144</v>
      </c>
      <c r="P878" s="2">
        <v>46143</v>
      </c>
      <c r="Q878" s="2">
        <v>46143</v>
      </c>
      <c r="R878" t="s">
        <v>100</v>
      </c>
      <c r="S878" t="s">
        <v>33</v>
      </c>
    </row>
    <row r="879" spans="1:19" x14ac:dyDescent="0.25">
      <c r="A879" t="s">
        <v>969</v>
      </c>
      <c r="B879" s="2">
        <v>46153</v>
      </c>
      <c r="C879" t="s">
        <v>80</v>
      </c>
      <c r="D879" t="s">
        <v>21</v>
      </c>
      <c r="E879" t="s">
        <v>22</v>
      </c>
      <c r="F879" t="s">
        <v>119</v>
      </c>
      <c r="G879" t="s">
        <v>57</v>
      </c>
      <c r="H879">
        <v>214</v>
      </c>
      <c r="I879">
        <v>215</v>
      </c>
      <c r="J879">
        <v>12</v>
      </c>
      <c r="K879">
        <v>0.1</v>
      </c>
      <c r="L879">
        <v>58858.21</v>
      </c>
      <c r="M879">
        <v>8.6199999999999992</v>
      </c>
      <c r="N879">
        <v>206.88</v>
      </c>
      <c r="O879">
        <v>228</v>
      </c>
      <c r="P879" s="2">
        <v>46158</v>
      </c>
      <c r="Q879" s="2">
        <v>46162</v>
      </c>
      <c r="R879" t="s">
        <v>100</v>
      </c>
      <c r="S879" t="s">
        <v>33</v>
      </c>
    </row>
    <row r="880" spans="1:19" x14ac:dyDescent="0.25">
      <c r="A880" t="s">
        <v>970</v>
      </c>
      <c r="B880" s="2">
        <v>46067</v>
      </c>
      <c r="C880" t="s">
        <v>35</v>
      </c>
      <c r="D880" t="s">
        <v>36</v>
      </c>
      <c r="E880" t="s">
        <v>37</v>
      </c>
      <c r="F880" t="s">
        <v>23</v>
      </c>
      <c r="G880" t="s">
        <v>32</v>
      </c>
      <c r="H880">
        <v>117</v>
      </c>
      <c r="I880">
        <v>117</v>
      </c>
      <c r="J880">
        <v>9</v>
      </c>
      <c r="K880">
        <v>1.3</v>
      </c>
      <c r="L880">
        <v>11712.73</v>
      </c>
      <c r="M880">
        <v>4.8899999999999997</v>
      </c>
      <c r="N880">
        <v>88.02</v>
      </c>
      <c r="O880">
        <v>119</v>
      </c>
      <c r="P880" s="2">
        <v>46072</v>
      </c>
      <c r="Q880" s="2">
        <v>46074</v>
      </c>
      <c r="R880" t="s">
        <v>25</v>
      </c>
      <c r="S880" t="s">
        <v>72</v>
      </c>
    </row>
    <row r="881" spans="1:19" x14ac:dyDescent="0.25">
      <c r="A881" t="s">
        <v>971</v>
      </c>
      <c r="B881" s="2">
        <v>46038</v>
      </c>
      <c r="C881" t="s">
        <v>35</v>
      </c>
      <c r="D881" t="s">
        <v>36</v>
      </c>
      <c r="E881" t="s">
        <v>37</v>
      </c>
      <c r="F881" t="s">
        <v>23</v>
      </c>
      <c r="G881" t="s">
        <v>24</v>
      </c>
      <c r="H881">
        <v>302</v>
      </c>
      <c r="I881">
        <v>259</v>
      </c>
      <c r="J881">
        <v>10</v>
      </c>
      <c r="K881">
        <v>1.7</v>
      </c>
      <c r="L881">
        <v>24919.69</v>
      </c>
      <c r="M881">
        <v>7.46</v>
      </c>
      <c r="N881">
        <v>149.19999999999999</v>
      </c>
      <c r="O881">
        <v>294</v>
      </c>
      <c r="P881" s="2">
        <v>46047</v>
      </c>
      <c r="Q881" s="2">
        <v>46049</v>
      </c>
      <c r="R881" t="s">
        <v>25</v>
      </c>
      <c r="S881" t="s">
        <v>26</v>
      </c>
    </row>
    <row r="882" spans="1:19" x14ac:dyDescent="0.25">
      <c r="A882" t="s">
        <v>972</v>
      </c>
      <c r="B882" s="2">
        <v>46096</v>
      </c>
      <c r="C882" t="s">
        <v>53</v>
      </c>
      <c r="D882" t="s">
        <v>54</v>
      </c>
      <c r="E882" t="s">
        <v>55</v>
      </c>
      <c r="F882" t="s">
        <v>74</v>
      </c>
      <c r="G882" t="s">
        <v>24</v>
      </c>
      <c r="H882">
        <v>190</v>
      </c>
      <c r="I882">
        <v>185</v>
      </c>
      <c r="J882">
        <v>7</v>
      </c>
      <c r="K882">
        <v>5.0999999999999996</v>
      </c>
      <c r="L882">
        <v>30482.32</v>
      </c>
      <c r="M882">
        <v>6.76</v>
      </c>
      <c r="N882">
        <v>121.68</v>
      </c>
      <c r="O882">
        <v>244</v>
      </c>
      <c r="P882" s="2">
        <v>46102</v>
      </c>
      <c r="Q882" s="2">
        <v>46104</v>
      </c>
      <c r="R882" t="s">
        <v>25</v>
      </c>
      <c r="S882" t="s">
        <v>86</v>
      </c>
    </row>
    <row r="883" spans="1:19" x14ac:dyDescent="0.25">
      <c r="A883" t="s">
        <v>973</v>
      </c>
      <c r="B883" s="2">
        <v>46100</v>
      </c>
      <c r="C883" t="s">
        <v>48</v>
      </c>
      <c r="D883" t="s">
        <v>49</v>
      </c>
      <c r="E883" t="s">
        <v>76</v>
      </c>
      <c r="F883" t="s">
        <v>106</v>
      </c>
      <c r="G883" t="s">
        <v>32</v>
      </c>
      <c r="H883">
        <v>298</v>
      </c>
      <c r="I883">
        <v>336</v>
      </c>
      <c r="J883">
        <v>17</v>
      </c>
      <c r="K883">
        <v>3.5</v>
      </c>
      <c r="L883">
        <v>80032.44</v>
      </c>
      <c r="M883">
        <v>11.65</v>
      </c>
      <c r="N883">
        <v>302.89999999999998</v>
      </c>
      <c r="O883">
        <v>293</v>
      </c>
      <c r="P883" s="2">
        <v>46109</v>
      </c>
      <c r="Q883" s="2">
        <v>46110</v>
      </c>
      <c r="R883" t="s">
        <v>25</v>
      </c>
      <c r="S883" t="s">
        <v>86</v>
      </c>
    </row>
    <row r="884" spans="1:19" x14ac:dyDescent="0.25">
      <c r="A884" t="s">
        <v>974</v>
      </c>
      <c r="B884" s="2">
        <v>46159</v>
      </c>
      <c r="C884" t="s">
        <v>20</v>
      </c>
      <c r="D884" t="s">
        <v>21</v>
      </c>
      <c r="E884" t="s">
        <v>90</v>
      </c>
      <c r="F884" t="s">
        <v>61</v>
      </c>
      <c r="G884" t="s">
        <v>32</v>
      </c>
      <c r="H884">
        <v>241</v>
      </c>
      <c r="I884">
        <v>201</v>
      </c>
      <c r="J884">
        <v>5</v>
      </c>
      <c r="K884">
        <v>2.6</v>
      </c>
      <c r="L884">
        <v>62136.88</v>
      </c>
      <c r="M884">
        <v>7.99</v>
      </c>
      <c r="N884">
        <v>159.80000000000001</v>
      </c>
      <c r="O884">
        <v>249</v>
      </c>
      <c r="P884" s="2">
        <v>46166</v>
      </c>
      <c r="Q884" s="2">
        <v>46166</v>
      </c>
      <c r="R884" t="s">
        <v>25</v>
      </c>
      <c r="S884" t="s">
        <v>26</v>
      </c>
    </row>
    <row r="885" spans="1:19" x14ac:dyDescent="0.25">
      <c r="A885" t="s">
        <v>975</v>
      </c>
      <c r="B885" s="2">
        <v>46196</v>
      </c>
      <c r="C885" t="s">
        <v>35</v>
      </c>
      <c r="D885" t="s">
        <v>36</v>
      </c>
      <c r="E885" t="s">
        <v>69</v>
      </c>
      <c r="F885" t="s">
        <v>137</v>
      </c>
      <c r="G885" t="s">
        <v>32</v>
      </c>
      <c r="H885">
        <v>147</v>
      </c>
      <c r="I885">
        <v>143</v>
      </c>
      <c r="J885">
        <v>9</v>
      </c>
      <c r="K885">
        <v>1.7</v>
      </c>
      <c r="L885">
        <v>14755.05</v>
      </c>
      <c r="M885">
        <v>5.33</v>
      </c>
      <c r="N885">
        <v>117.26</v>
      </c>
      <c r="O885">
        <v>155</v>
      </c>
      <c r="P885" s="2">
        <v>46208</v>
      </c>
      <c r="Q885" s="2">
        <v>46209</v>
      </c>
      <c r="R885" t="s">
        <v>39</v>
      </c>
      <c r="S885" t="s">
        <v>51</v>
      </c>
    </row>
    <row r="886" spans="1:19" x14ac:dyDescent="0.25">
      <c r="A886" t="s">
        <v>976</v>
      </c>
      <c r="B886" s="2">
        <v>46141</v>
      </c>
      <c r="C886" t="s">
        <v>43</v>
      </c>
      <c r="D886" t="s">
        <v>44</v>
      </c>
      <c r="E886" t="s">
        <v>93</v>
      </c>
      <c r="F886" t="s">
        <v>106</v>
      </c>
      <c r="G886" t="s">
        <v>32</v>
      </c>
      <c r="H886">
        <v>265</v>
      </c>
      <c r="I886">
        <v>273</v>
      </c>
      <c r="J886">
        <v>8</v>
      </c>
      <c r="K886">
        <v>2.2000000000000002</v>
      </c>
      <c r="L886">
        <v>34389.85</v>
      </c>
      <c r="M886">
        <v>7.12</v>
      </c>
      <c r="N886">
        <v>170.88</v>
      </c>
      <c r="O886">
        <v>320</v>
      </c>
      <c r="P886" s="2">
        <v>46146</v>
      </c>
      <c r="Q886" s="2">
        <v>46148</v>
      </c>
      <c r="R886" t="s">
        <v>100</v>
      </c>
      <c r="S886" t="s">
        <v>26</v>
      </c>
    </row>
    <row r="887" spans="1:19" x14ac:dyDescent="0.25">
      <c r="A887" t="s">
        <v>977</v>
      </c>
      <c r="B887" s="2">
        <v>46140</v>
      </c>
      <c r="C887" t="s">
        <v>48</v>
      </c>
      <c r="D887" t="s">
        <v>49</v>
      </c>
      <c r="E887" t="s">
        <v>50</v>
      </c>
      <c r="F887" t="s">
        <v>114</v>
      </c>
      <c r="G887" t="s">
        <v>32</v>
      </c>
      <c r="H887">
        <v>145</v>
      </c>
      <c r="I887">
        <v>142</v>
      </c>
      <c r="J887">
        <v>3</v>
      </c>
      <c r="K887">
        <v>8.6999999999999993</v>
      </c>
      <c r="L887">
        <v>35699.35</v>
      </c>
      <c r="M887">
        <v>2.57</v>
      </c>
      <c r="N887">
        <v>51.4</v>
      </c>
      <c r="O887">
        <v>170</v>
      </c>
      <c r="P887" s="2">
        <v>46149</v>
      </c>
      <c r="Q887" s="2">
        <v>46153</v>
      </c>
      <c r="R887" t="s">
        <v>39</v>
      </c>
      <c r="S887" t="s">
        <v>26</v>
      </c>
    </row>
    <row r="888" spans="1:19" x14ac:dyDescent="0.25">
      <c r="A888" t="s">
        <v>978</v>
      </c>
      <c r="B888" s="2">
        <v>46168</v>
      </c>
      <c r="C888" t="s">
        <v>35</v>
      </c>
      <c r="D888" t="s">
        <v>36</v>
      </c>
      <c r="E888" t="s">
        <v>37</v>
      </c>
      <c r="F888" t="s">
        <v>197</v>
      </c>
      <c r="G888" t="s">
        <v>57</v>
      </c>
      <c r="H888">
        <v>148</v>
      </c>
      <c r="I888">
        <v>109</v>
      </c>
      <c r="J888">
        <v>4</v>
      </c>
      <c r="K888">
        <v>8.8000000000000007</v>
      </c>
      <c r="L888">
        <v>10314.719999999999</v>
      </c>
      <c r="M888">
        <v>2.97</v>
      </c>
      <c r="N888">
        <v>53.46</v>
      </c>
      <c r="O888">
        <v>143</v>
      </c>
      <c r="P888" s="2">
        <v>46172</v>
      </c>
      <c r="Q888" s="2">
        <v>46171</v>
      </c>
      <c r="R888" t="s">
        <v>25</v>
      </c>
      <c r="S888" t="s">
        <v>33</v>
      </c>
    </row>
    <row r="889" spans="1:19" x14ac:dyDescent="0.25">
      <c r="A889" t="s">
        <v>979</v>
      </c>
      <c r="B889" s="2">
        <v>46040</v>
      </c>
      <c r="C889" t="s">
        <v>59</v>
      </c>
      <c r="D889" t="s">
        <v>49</v>
      </c>
      <c r="E889" t="s">
        <v>50</v>
      </c>
      <c r="F889" t="s">
        <v>104</v>
      </c>
      <c r="G889" t="s">
        <v>24</v>
      </c>
      <c r="H889">
        <v>220</v>
      </c>
      <c r="I889">
        <v>209</v>
      </c>
      <c r="J889">
        <v>3</v>
      </c>
      <c r="K889">
        <v>0.9</v>
      </c>
      <c r="L889">
        <v>38874.29</v>
      </c>
      <c r="M889">
        <v>3.96</v>
      </c>
      <c r="N889">
        <v>102.96</v>
      </c>
      <c r="O889">
        <v>195</v>
      </c>
      <c r="P889" s="2">
        <v>46042</v>
      </c>
      <c r="Q889" s="2">
        <v>46041</v>
      </c>
      <c r="R889" t="s">
        <v>25</v>
      </c>
      <c r="S889" t="s">
        <v>86</v>
      </c>
    </row>
    <row r="890" spans="1:19" x14ac:dyDescent="0.25">
      <c r="A890" t="s">
        <v>980</v>
      </c>
      <c r="B890" s="2">
        <v>46095</v>
      </c>
      <c r="C890" t="s">
        <v>35</v>
      </c>
      <c r="D890" t="s">
        <v>36</v>
      </c>
      <c r="E890" t="s">
        <v>37</v>
      </c>
      <c r="F890" t="s">
        <v>31</v>
      </c>
      <c r="G890" t="s">
        <v>24</v>
      </c>
      <c r="H890">
        <v>139</v>
      </c>
      <c r="I890">
        <v>113</v>
      </c>
      <c r="J890">
        <v>6</v>
      </c>
      <c r="K890">
        <v>6.8</v>
      </c>
      <c r="L890">
        <v>11536.28</v>
      </c>
      <c r="M890">
        <v>2.68</v>
      </c>
      <c r="N890">
        <v>48.24</v>
      </c>
      <c r="O890">
        <v>180</v>
      </c>
      <c r="P890" s="2">
        <v>46100</v>
      </c>
      <c r="Q890" s="2">
        <v>46100</v>
      </c>
      <c r="R890" t="s">
        <v>100</v>
      </c>
      <c r="S890" t="s">
        <v>26</v>
      </c>
    </row>
    <row r="891" spans="1:19" x14ac:dyDescent="0.25">
      <c r="A891" t="s">
        <v>981</v>
      </c>
      <c r="B891" s="2">
        <v>46027</v>
      </c>
      <c r="C891" t="s">
        <v>43</v>
      </c>
      <c r="D891" t="s">
        <v>44</v>
      </c>
      <c r="E891" t="s">
        <v>93</v>
      </c>
      <c r="F891" t="s">
        <v>67</v>
      </c>
      <c r="G891" t="s">
        <v>57</v>
      </c>
      <c r="H891">
        <v>226</v>
      </c>
      <c r="I891">
        <v>234</v>
      </c>
      <c r="J891">
        <v>21</v>
      </c>
      <c r="K891">
        <v>2.4</v>
      </c>
      <c r="L891">
        <v>24392.38</v>
      </c>
      <c r="M891">
        <v>8.9600000000000009</v>
      </c>
      <c r="N891">
        <v>179.2</v>
      </c>
      <c r="O891">
        <v>247</v>
      </c>
      <c r="P891" s="2">
        <v>46036</v>
      </c>
      <c r="Q891" s="2">
        <v>46036</v>
      </c>
      <c r="R891" t="s">
        <v>25</v>
      </c>
      <c r="S891" t="s">
        <v>86</v>
      </c>
    </row>
    <row r="892" spans="1:19" x14ac:dyDescent="0.25">
      <c r="A892" t="s">
        <v>982</v>
      </c>
      <c r="B892" s="2">
        <v>46050</v>
      </c>
      <c r="C892" t="s">
        <v>80</v>
      </c>
      <c r="D892" t="s">
        <v>21</v>
      </c>
      <c r="E892" t="s">
        <v>22</v>
      </c>
      <c r="F892" t="s">
        <v>112</v>
      </c>
      <c r="G892" t="s">
        <v>32</v>
      </c>
      <c r="H892">
        <v>251</v>
      </c>
      <c r="I892">
        <v>214</v>
      </c>
      <c r="J892">
        <v>12</v>
      </c>
      <c r="K892">
        <v>5.4</v>
      </c>
      <c r="L892">
        <v>50545.24</v>
      </c>
      <c r="M892">
        <v>4.37</v>
      </c>
      <c r="N892">
        <v>78.66</v>
      </c>
      <c r="O892">
        <v>315</v>
      </c>
      <c r="P892" s="2">
        <v>46059</v>
      </c>
      <c r="Q892" s="2">
        <v>46063</v>
      </c>
      <c r="R892" t="s">
        <v>25</v>
      </c>
      <c r="S892" t="s">
        <v>26</v>
      </c>
    </row>
    <row r="893" spans="1:19" x14ac:dyDescent="0.25">
      <c r="A893" t="s">
        <v>983</v>
      </c>
      <c r="B893" s="2">
        <v>46120</v>
      </c>
      <c r="C893" t="s">
        <v>80</v>
      </c>
      <c r="D893" t="s">
        <v>21</v>
      </c>
      <c r="E893" t="s">
        <v>66</v>
      </c>
      <c r="F893" t="s">
        <v>104</v>
      </c>
      <c r="G893" t="s">
        <v>57</v>
      </c>
      <c r="H893">
        <v>275</v>
      </c>
      <c r="I893">
        <v>230</v>
      </c>
      <c r="J893">
        <v>19</v>
      </c>
      <c r="K893">
        <v>4.4000000000000004</v>
      </c>
      <c r="L893">
        <v>68169.94</v>
      </c>
      <c r="M893">
        <v>5.92</v>
      </c>
      <c r="N893">
        <v>142.08000000000001</v>
      </c>
      <c r="O893">
        <v>364</v>
      </c>
      <c r="P893" s="2">
        <v>46131</v>
      </c>
      <c r="Q893" s="2">
        <v>46133</v>
      </c>
      <c r="R893" t="s">
        <v>100</v>
      </c>
      <c r="S893" t="s">
        <v>86</v>
      </c>
    </row>
    <row r="894" spans="1:19" x14ac:dyDescent="0.25">
      <c r="A894" t="s">
        <v>984</v>
      </c>
      <c r="B894" s="2">
        <v>46059</v>
      </c>
      <c r="C894" t="s">
        <v>20</v>
      </c>
      <c r="D894" t="s">
        <v>21</v>
      </c>
      <c r="E894" t="s">
        <v>66</v>
      </c>
      <c r="F894" t="s">
        <v>38</v>
      </c>
      <c r="G894" t="s">
        <v>32</v>
      </c>
      <c r="H894">
        <v>294</v>
      </c>
      <c r="I894">
        <v>300</v>
      </c>
      <c r="J894">
        <v>11</v>
      </c>
      <c r="K894">
        <v>7.1</v>
      </c>
      <c r="L894">
        <v>82588.81</v>
      </c>
      <c r="M894">
        <v>8.32</v>
      </c>
      <c r="N894">
        <v>166.4</v>
      </c>
      <c r="O894">
        <v>328</v>
      </c>
      <c r="P894" s="2">
        <v>46064</v>
      </c>
      <c r="Q894" s="2">
        <v>46066</v>
      </c>
      <c r="R894" t="s">
        <v>39</v>
      </c>
      <c r="S894" t="s">
        <v>33</v>
      </c>
    </row>
    <row r="895" spans="1:19" x14ac:dyDescent="0.25">
      <c r="A895" t="s">
        <v>985</v>
      </c>
      <c r="B895" s="2">
        <v>46198</v>
      </c>
      <c r="C895" t="s">
        <v>28</v>
      </c>
      <c r="D895" t="s">
        <v>29</v>
      </c>
      <c r="E895" t="s">
        <v>30</v>
      </c>
      <c r="G895" t="s">
        <v>32</v>
      </c>
      <c r="H895">
        <v>258</v>
      </c>
      <c r="I895">
        <v>192</v>
      </c>
      <c r="J895">
        <v>13</v>
      </c>
      <c r="K895">
        <v>0.2</v>
      </c>
      <c r="L895">
        <v>43330.16</v>
      </c>
      <c r="M895">
        <v>3.55</v>
      </c>
      <c r="N895">
        <v>85.2</v>
      </c>
      <c r="O895">
        <v>332</v>
      </c>
      <c r="P895" s="2">
        <v>46206</v>
      </c>
      <c r="Q895" s="2">
        <v>46205</v>
      </c>
      <c r="R895" t="s">
        <v>100</v>
      </c>
      <c r="S895" t="s">
        <v>51</v>
      </c>
    </row>
    <row r="896" spans="1:19" x14ac:dyDescent="0.25">
      <c r="A896" t="s">
        <v>986</v>
      </c>
      <c r="B896" s="2">
        <v>46091</v>
      </c>
      <c r="C896" t="s">
        <v>48</v>
      </c>
      <c r="D896" t="s">
        <v>49</v>
      </c>
      <c r="E896" t="s">
        <v>76</v>
      </c>
      <c r="F896" t="s">
        <v>88</v>
      </c>
      <c r="G896" t="s">
        <v>24</v>
      </c>
      <c r="H896">
        <v>202</v>
      </c>
      <c r="I896">
        <v>159</v>
      </c>
      <c r="J896">
        <v>3</v>
      </c>
      <c r="K896">
        <v>5.3</v>
      </c>
      <c r="L896">
        <v>32265.599999999999</v>
      </c>
      <c r="M896">
        <v>3.61</v>
      </c>
      <c r="N896">
        <v>64.98</v>
      </c>
      <c r="O896">
        <v>259</v>
      </c>
      <c r="P896" s="2">
        <v>46098</v>
      </c>
      <c r="Q896" s="2">
        <v>46096</v>
      </c>
      <c r="R896" t="s">
        <v>25</v>
      </c>
      <c r="S896" t="s">
        <v>51</v>
      </c>
    </row>
    <row r="897" spans="1:19" x14ac:dyDescent="0.25">
      <c r="A897" t="s">
        <v>987</v>
      </c>
      <c r="B897" s="2">
        <v>46046</v>
      </c>
      <c r="C897" t="s">
        <v>80</v>
      </c>
      <c r="D897" t="s">
        <v>21</v>
      </c>
      <c r="E897" t="s">
        <v>90</v>
      </c>
      <c r="F897" t="s">
        <v>85</v>
      </c>
      <c r="G897" t="s">
        <v>57</v>
      </c>
      <c r="H897">
        <v>100</v>
      </c>
      <c r="I897">
        <v>94</v>
      </c>
      <c r="J897">
        <v>2</v>
      </c>
      <c r="K897">
        <v>1.3</v>
      </c>
      <c r="L897">
        <v>21460.75</v>
      </c>
      <c r="M897">
        <v>3.66</v>
      </c>
      <c r="N897">
        <v>73.2</v>
      </c>
      <c r="O897">
        <v>118</v>
      </c>
      <c r="P897" s="2">
        <v>46054</v>
      </c>
      <c r="Q897" s="2">
        <v>46054</v>
      </c>
      <c r="R897" t="s">
        <v>25</v>
      </c>
      <c r="S897" t="s">
        <v>51</v>
      </c>
    </row>
    <row r="898" spans="1:19" x14ac:dyDescent="0.25">
      <c r="A898" t="s">
        <v>988</v>
      </c>
      <c r="B898" s="2">
        <v>46046</v>
      </c>
      <c r="C898" t="s">
        <v>80</v>
      </c>
      <c r="D898" t="s">
        <v>21</v>
      </c>
      <c r="E898" t="s">
        <v>66</v>
      </c>
      <c r="F898" t="s">
        <v>104</v>
      </c>
      <c r="G898" t="s">
        <v>24</v>
      </c>
      <c r="H898">
        <v>247</v>
      </c>
      <c r="I898">
        <v>261</v>
      </c>
      <c r="J898">
        <v>21</v>
      </c>
      <c r="K898">
        <v>7.8</v>
      </c>
      <c r="L898">
        <v>71361.649999999994</v>
      </c>
      <c r="M898">
        <v>7.64</v>
      </c>
      <c r="N898">
        <v>183.36</v>
      </c>
      <c r="O898">
        <v>249</v>
      </c>
      <c r="P898" s="2">
        <v>46051</v>
      </c>
      <c r="Q898" s="2">
        <v>46049</v>
      </c>
      <c r="R898" t="s">
        <v>25</v>
      </c>
      <c r="S898" t="s">
        <v>33</v>
      </c>
    </row>
    <row r="899" spans="1:19" x14ac:dyDescent="0.25">
      <c r="A899" t="s">
        <v>989</v>
      </c>
      <c r="B899" s="2">
        <v>46040</v>
      </c>
      <c r="C899" t="s">
        <v>20</v>
      </c>
      <c r="D899" t="s">
        <v>21</v>
      </c>
      <c r="E899" t="s">
        <v>90</v>
      </c>
      <c r="F899" t="s">
        <v>56</v>
      </c>
      <c r="G899" t="s">
        <v>57</v>
      </c>
      <c r="H899">
        <v>289</v>
      </c>
      <c r="I899">
        <v>305</v>
      </c>
      <c r="J899">
        <v>16</v>
      </c>
      <c r="K899">
        <v>7</v>
      </c>
      <c r="L899">
        <v>97141.85</v>
      </c>
      <c r="M899">
        <v>6.8</v>
      </c>
      <c r="N899">
        <v>176.8</v>
      </c>
      <c r="O899">
        <v>296</v>
      </c>
      <c r="P899" s="2">
        <v>46045</v>
      </c>
      <c r="Q899" s="2">
        <v>46043</v>
      </c>
      <c r="R899" t="s">
        <v>25</v>
      </c>
      <c r="S899" t="s">
        <v>86</v>
      </c>
    </row>
    <row r="900" spans="1:19" x14ac:dyDescent="0.25">
      <c r="A900" t="s">
        <v>990</v>
      </c>
      <c r="B900" s="2">
        <v>46154</v>
      </c>
      <c r="C900" t="s">
        <v>80</v>
      </c>
      <c r="D900" t="s">
        <v>21</v>
      </c>
      <c r="E900" t="s">
        <v>66</v>
      </c>
      <c r="F900" t="s">
        <v>23</v>
      </c>
      <c r="G900" t="s">
        <v>32</v>
      </c>
      <c r="H900">
        <v>209</v>
      </c>
      <c r="I900">
        <v>230</v>
      </c>
      <c r="J900">
        <v>9</v>
      </c>
      <c r="K900">
        <v>1.5</v>
      </c>
      <c r="L900">
        <v>66285.37</v>
      </c>
      <c r="M900">
        <v>5.48</v>
      </c>
      <c r="N900">
        <v>142.47999999999999</v>
      </c>
      <c r="O900">
        <v>263</v>
      </c>
      <c r="P900" s="2">
        <v>46165</v>
      </c>
      <c r="Q900" s="2">
        <v>46165</v>
      </c>
      <c r="R900" t="s">
        <v>100</v>
      </c>
      <c r="S900" t="s">
        <v>51</v>
      </c>
    </row>
    <row r="901" spans="1:19" x14ac:dyDescent="0.25">
      <c r="A901" t="s">
        <v>991</v>
      </c>
      <c r="B901" s="2">
        <v>46051</v>
      </c>
      <c r="C901" t="s">
        <v>28</v>
      </c>
      <c r="D901" t="s">
        <v>29</v>
      </c>
      <c r="E901" t="s">
        <v>63</v>
      </c>
      <c r="F901" t="s">
        <v>74</v>
      </c>
      <c r="G901" t="s">
        <v>24</v>
      </c>
      <c r="H901">
        <v>243</v>
      </c>
      <c r="I901">
        <v>238</v>
      </c>
      <c r="J901">
        <v>2</v>
      </c>
      <c r="K901">
        <v>8.8000000000000007</v>
      </c>
      <c r="L901">
        <v>44582.2</v>
      </c>
      <c r="M901">
        <v>7.31</v>
      </c>
      <c r="N901">
        <v>175.44</v>
      </c>
      <c r="O901">
        <v>304</v>
      </c>
      <c r="P901" s="2">
        <v>46061</v>
      </c>
      <c r="Q901" s="2">
        <v>46063</v>
      </c>
      <c r="R901" t="s">
        <v>39</v>
      </c>
      <c r="S901" t="s">
        <v>26</v>
      </c>
    </row>
    <row r="902" spans="1:19" x14ac:dyDescent="0.25">
      <c r="A902" t="s">
        <v>992</v>
      </c>
      <c r="B902" s="2">
        <v>46113</v>
      </c>
      <c r="C902" t="s">
        <v>35</v>
      </c>
      <c r="D902" t="s">
        <v>36</v>
      </c>
      <c r="E902" t="s">
        <v>69</v>
      </c>
      <c r="F902" t="s">
        <v>46</v>
      </c>
      <c r="G902" t="s">
        <v>32</v>
      </c>
      <c r="H902">
        <v>214</v>
      </c>
      <c r="I902">
        <v>240</v>
      </c>
      <c r="J902">
        <v>4</v>
      </c>
      <c r="K902">
        <v>7.7</v>
      </c>
      <c r="L902">
        <v>16751.099999999999</v>
      </c>
      <c r="M902">
        <v>4.74</v>
      </c>
      <c r="N902">
        <v>104.28</v>
      </c>
      <c r="O902">
        <v>250</v>
      </c>
      <c r="P902" s="2">
        <v>46116</v>
      </c>
      <c r="Q902" s="2">
        <v>46118</v>
      </c>
      <c r="R902" t="s">
        <v>100</v>
      </c>
      <c r="S902" t="s">
        <v>86</v>
      </c>
    </row>
    <row r="903" spans="1:19" x14ac:dyDescent="0.25">
      <c r="A903" t="s">
        <v>993</v>
      </c>
      <c r="B903" s="2">
        <v>46029</v>
      </c>
      <c r="C903" t="s">
        <v>48</v>
      </c>
      <c r="D903" t="s">
        <v>49</v>
      </c>
      <c r="E903" t="s">
        <v>76</v>
      </c>
      <c r="F903" t="s">
        <v>135</v>
      </c>
      <c r="G903" t="s">
        <v>57</v>
      </c>
      <c r="H903">
        <v>130</v>
      </c>
      <c r="I903">
        <v>135</v>
      </c>
      <c r="J903">
        <v>3</v>
      </c>
      <c r="K903">
        <v>7</v>
      </c>
      <c r="L903">
        <v>29042.55</v>
      </c>
      <c r="M903">
        <v>4.34</v>
      </c>
      <c r="N903">
        <v>86.8</v>
      </c>
      <c r="O903">
        <v>167</v>
      </c>
      <c r="P903" s="2">
        <v>46037</v>
      </c>
      <c r="Q903" s="2">
        <v>46037</v>
      </c>
      <c r="R903" t="s">
        <v>25</v>
      </c>
      <c r="S903" t="s">
        <v>72</v>
      </c>
    </row>
    <row r="904" spans="1:19" x14ac:dyDescent="0.25">
      <c r="A904" t="s">
        <v>994</v>
      </c>
      <c r="B904" s="2">
        <v>46087</v>
      </c>
      <c r="C904" t="s">
        <v>53</v>
      </c>
      <c r="D904" t="s">
        <v>54</v>
      </c>
      <c r="E904" t="s">
        <v>131</v>
      </c>
      <c r="F904" t="s">
        <v>91</v>
      </c>
      <c r="G904" t="s">
        <v>32</v>
      </c>
      <c r="H904">
        <v>199</v>
      </c>
      <c r="I904">
        <v>204</v>
      </c>
      <c r="J904">
        <v>7</v>
      </c>
      <c r="K904">
        <v>1.8</v>
      </c>
      <c r="L904">
        <v>28377.759999999998</v>
      </c>
      <c r="M904">
        <v>4.87</v>
      </c>
      <c r="N904">
        <v>97.4</v>
      </c>
      <c r="O904">
        <v>184</v>
      </c>
      <c r="P904" s="2">
        <v>46093</v>
      </c>
      <c r="Q904" s="2">
        <v>46094</v>
      </c>
      <c r="R904" t="s">
        <v>25</v>
      </c>
      <c r="S904" t="s">
        <v>72</v>
      </c>
    </row>
    <row r="905" spans="1:19" x14ac:dyDescent="0.25">
      <c r="A905" t="s">
        <v>995</v>
      </c>
      <c r="B905" s="2">
        <v>46190</v>
      </c>
      <c r="C905" t="s">
        <v>35</v>
      </c>
      <c r="D905" t="s">
        <v>36</v>
      </c>
      <c r="E905" t="s">
        <v>37</v>
      </c>
      <c r="F905" t="s">
        <v>67</v>
      </c>
      <c r="G905" t="s">
        <v>24</v>
      </c>
      <c r="H905">
        <v>233</v>
      </c>
      <c r="I905">
        <v>197</v>
      </c>
      <c r="J905">
        <v>15</v>
      </c>
      <c r="K905">
        <v>5</v>
      </c>
      <c r="L905">
        <v>17089.27</v>
      </c>
      <c r="M905">
        <v>7.55</v>
      </c>
      <c r="N905">
        <v>135.9</v>
      </c>
      <c r="O905">
        <v>283</v>
      </c>
      <c r="P905" s="2">
        <v>46197</v>
      </c>
      <c r="Q905" s="2">
        <v>46197</v>
      </c>
      <c r="R905" t="s">
        <v>25</v>
      </c>
      <c r="S905" t="s">
        <v>51</v>
      </c>
    </row>
    <row r="906" spans="1:19" x14ac:dyDescent="0.25">
      <c r="A906" t="s">
        <v>996</v>
      </c>
      <c r="B906" s="2">
        <v>46025</v>
      </c>
      <c r="C906" t="s">
        <v>20</v>
      </c>
      <c r="D906" t="s">
        <v>21</v>
      </c>
      <c r="E906" t="s">
        <v>22</v>
      </c>
      <c r="F906" t="s">
        <v>104</v>
      </c>
      <c r="G906" t="s">
        <v>32</v>
      </c>
      <c r="H906">
        <v>270</v>
      </c>
      <c r="I906">
        <v>276</v>
      </c>
      <c r="J906">
        <v>8</v>
      </c>
      <c r="K906">
        <v>0.2</v>
      </c>
      <c r="L906">
        <v>80784.38</v>
      </c>
      <c r="M906">
        <v>5.13</v>
      </c>
      <c r="N906">
        <v>123.12</v>
      </c>
      <c r="O906">
        <v>315</v>
      </c>
      <c r="P906" s="2">
        <v>46036</v>
      </c>
      <c r="Q906" s="2">
        <v>46040</v>
      </c>
      <c r="R906" t="s">
        <v>25</v>
      </c>
      <c r="S906" t="s">
        <v>86</v>
      </c>
    </row>
    <row r="907" spans="1:19" x14ac:dyDescent="0.25">
      <c r="A907" t="s">
        <v>997</v>
      </c>
      <c r="B907" s="2">
        <v>46117</v>
      </c>
      <c r="C907" t="s">
        <v>80</v>
      </c>
      <c r="D907" t="s">
        <v>21</v>
      </c>
      <c r="E907" t="s">
        <v>66</v>
      </c>
      <c r="F907" t="s">
        <v>96</v>
      </c>
      <c r="G907" t="s">
        <v>24</v>
      </c>
      <c r="H907">
        <v>229</v>
      </c>
      <c r="I907">
        <v>177</v>
      </c>
      <c r="J907">
        <v>7</v>
      </c>
      <c r="K907">
        <v>4.4000000000000004</v>
      </c>
      <c r="L907">
        <v>45267.9</v>
      </c>
      <c r="M907">
        <v>6.5</v>
      </c>
      <c r="N907">
        <v>169</v>
      </c>
      <c r="O907">
        <v>318</v>
      </c>
      <c r="P907" s="2">
        <v>46120</v>
      </c>
      <c r="Q907" s="2">
        <v>46120</v>
      </c>
      <c r="R907" t="s">
        <v>100</v>
      </c>
      <c r="S907" t="s">
        <v>72</v>
      </c>
    </row>
    <row r="908" spans="1:19" x14ac:dyDescent="0.25">
      <c r="A908" t="s">
        <v>998</v>
      </c>
      <c r="B908" s="2">
        <v>46185</v>
      </c>
      <c r="C908" t="s">
        <v>59</v>
      </c>
      <c r="D908" t="s">
        <v>49</v>
      </c>
      <c r="E908" t="s">
        <v>50</v>
      </c>
      <c r="F908" t="s">
        <v>31</v>
      </c>
      <c r="G908" t="s">
        <v>32</v>
      </c>
      <c r="H908">
        <v>116</v>
      </c>
      <c r="I908">
        <v>121</v>
      </c>
      <c r="J908">
        <v>2</v>
      </c>
      <c r="K908">
        <v>5.6</v>
      </c>
      <c r="L908">
        <v>17969.11</v>
      </c>
      <c r="M908">
        <v>2.31</v>
      </c>
      <c r="N908">
        <v>41.58</v>
      </c>
      <c r="O908">
        <v>110</v>
      </c>
      <c r="P908" s="2">
        <v>46190</v>
      </c>
      <c r="Q908" s="2">
        <v>46192</v>
      </c>
      <c r="R908" t="s">
        <v>39</v>
      </c>
      <c r="S908" t="s">
        <v>51</v>
      </c>
    </row>
    <row r="909" spans="1:19" x14ac:dyDescent="0.25">
      <c r="A909" t="s">
        <v>999</v>
      </c>
      <c r="B909" s="2">
        <v>46132</v>
      </c>
      <c r="C909" t="s">
        <v>59</v>
      </c>
      <c r="D909" t="s">
        <v>49</v>
      </c>
      <c r="E909" t="s">
        <v>50</v>
      </c>
      <c r="F909" t="s">
        <v>83</v>
      </c>
      <c r="G909" t="s">
        <v>32</v>
      </c>
      <c r="H909">
        <v>80</v>
      </c>
      <c r="I909">
        <v>91</v>
      </c>
      <c r="J909">
        <v>1</v>
      </c>
      <c r="K909">
        <v>0.3</v>
      </c>
      <c r="L909">
        <v>18511.75</v>
      </c>
      <c r="M909">
        <v>2.12</v>
      </c>
      <c r="N909">
        <v>42.4</v>
      </c>
      <c r="O909">
        <v>176</v>
      </c>
      <c r="P909" s="2">
        <v>46135</v>
      </c>
      <c r="Q909" s="2">
        <v>46134</v>
      </c>
      <c r="R909" t="s">
        <v>100</v>
      </c>
      <c r="S909" t="s">
        <v>26</v>
      </c>
    </row>
    <row r="910" spans="1:19" x14ac:dyDescent="0.25">
      <c r="A910" t="s">
        <v>1000</v>
      </c>
      <c r="B910" s="2">
        <v>46118</v>
      </c>
      <c r="C910" t="s">
        <v>53</v>
      </c>
      <c r="D910" t="s">
        <v>54</v>
      </c>
      <c r="E910" t="s">
        <v>131</v>
      </c>
      <c r="F910" t="s">
        <v>197</v>
      </c>
      <c r="G910" t="s">
        <v>57</v>
      </c>
      <c r="H910">
        <v>227</v>
      </c>
      <c r="I910">
        <v>217</v>
      </c>
      <c r="J910">
        <v>18</v>
      </c>
      <c r="K910">
        <v>7.3</v>
      </c>
      <c r="L910">
        <v>30398.7</v>
      </c>
      <c r="M910">
        <v>6.65</v>
      </c>
      <c r="N910">
        <v>172.9</v>
      </c>
      <c r="O910">
        <v>320</v>
      </c>
      <c r="P910" s="2">
        <v>46130</v>
      </c>
      <c r="Q910" s="2">
        <v>46130</v>
      </c>
      <c r="R910" t="s">
        <v>39</v>
      </c>
      <c r="S910" t="s">
        <v>51</v>
      </c>
    </row>
    <row r="911" spans="1:19" x14ac:dyDescent="0.25">
      <c r="A911" t="s">
        <v>1001</v>
      </c>
      <c r="B911" s="2">
        <v>46028</v>
      </c>
      <c r="C911" t="s">
        <v>35</v>
      </c>
      <c r="D911" t="s">
        <v>36</v>
      </c>
      <c r="E911" t="s">
        <v>69</v>
      </c>
      <c r="F911" t="s">
        <v>23</v>
      </c>
      <c r="G911" t="s">
        <v>57</v>
      </c>
      <c r="H911">
        <v>149</v>
      </c>
      <c r="I911">
        <v>128</v>
      </c>
      <c r="J911">
        <v>6</v>
      </c>
      <c r="K911">
        <v>4.5</v>
      </c>
      <c r="L911">
        <v>12412.23</v>
      </c>
      <c r="M911">
        <v>5.23</v>
      </c>
      <c r="N911">
        <v>115.06</v>
      </c>
      <c r="O911">
        <v>174</v>
      </c>
      <c r="P911" s="2">
        <v>46031</v>
      </c>
      <c r="Q911" s="2">
        <v>46031</v>
      </c>
      <c r="R911" t="s">
        <v>39</v>
      </c>
      <c r="S911" t="s">
        <v>51</v>
      </c>
    </row>
    <row r="912" spans="1:19" x14ac:dyDescent="0.25">
      <c r="A912" t="s">
        <v>1002</v>
      </c>
      <c r="B912" s="2">
        <v>46141</v>
      </c>
      <c r="C912" t="s">
        <v>43</v>
      </c>
      <c r="D912" t="s">
        <v>44</v>
      </c>
      <c r="E912" t="s">
        <v>93</v>
      </c>
      <c r="F912" t="s">
        <v>67</v>
      </c>
      <c r="G912" t="s">
        <v>57</v>
      </c>
      <c r="H912">
        <v>258</v>
      </c>
      <c r="I912">
        <v>245</v>
      </c>
      <c r="J912">
        <v>9</v>
      </c>
      <c r="K912">
        <v>6.7</v>
      </c>
      <c r="L912">
        <v>26682.37</v>
      </c>
      <c r="M912">
        <v>4.8899999999999997</v>
      </c>
      <c r="N912">
        <v>97.8</v>
      </c>
      <c r="O912">
        <v>341</v>
      </c>
      <c r="P912" s="2">
        <v>46153</v>
      </c>
      <c r="Q912" s="2">
        <v>46152</v>
      </c>
      <c r="R912" t="s">
        <v>25</v>
      </c>
      <c r="S912" t="s">
        <v>72</v>
      </c>
    </row>
    <row r="913" spans="1:19" x14ac:dyDescent="0.25">
      <c r="A913" t="s">
        <v>1003</v>
      </c>
      <c r="B913" s="2">
        <v>46126</v>
      </c>
      <c r="C913" t="s">
        <v>35</v>
      </c>
      <c r="D913" t="s">
        <v>36</v>
      </c>
      <c r="E913" t="s">
        <v>37</v>
      </c>
      <c r="F913" t="s">
        <v>77</v>
      </c>
      <c r="G913" t="s">
        <v>57</v>
      </c>
      <c r="H913">
        <v>186</v>
      </c>
      <c r="I913">
        <v>171</v>
      </c>
      <c r="J913">
        <v>1</v>
      </c>
      <c r="K913">
        <v>8.4</v>
      </c>
      <c r="L913">
        <v>12619.87</v>
      </c>
      <c r="M913">
        <v>6.69</v>
      </c>
      <c r="N913">
        <v>160.56</v>
      </c>
      <c r="O913">
        <v>247</v>
      </c>
      <c r="P913" s="2">
        <v>46137</v>
      </c>
      <c r="Q913" s="2">
        <v>46137</v>
      </c>
      <c r="R913" t="s">
        <v>100</v>
      </c>
      <c r="S913" t="s">
        <v>86</v>
      </c>
    </row>
    <row r="914" spans="1:19" x14ac:dyDescent="0.25">
      <c r="A914" t="s">
        <v>1004</v>
      </c>
      <c r="B914" s="2">
        <v>46085</v>
      </c>
      <c r="C914" t="s">
        <v>43</v>
      </c>
      <c r="D914" t="s">
        <v>44</v>
      </c>
      <c r="E914" t="s">
        <v>161</v>
      </c>
      <c r="F914" t="s">
        <v>67</v>
      </c>
      <c r="G914" t="s">
        <v>24</v>
      </c>
      <c r="H914">
        <v>120</v>
      </c>
      <c r="I914">
        <v>117</v>
      </c>
      <c r="J914">
        <v>6</v>
      </c>
      <c r="K914">
        <v>7.7</v>
      </c>
      <c r="L914">
        <v>10452.629999999999</v>
      </c>
      <c r="M914">
        <v>4.18</v>
      </c>
      <c r="N914">
        <v>83.6</v>
      </c>
      <c r="O914">
        <v>218</v>
      </c>
      <c r="P914" s="2">
        <v>46093</v>
      </c>
      <c r="Q914" s="2">
        <v>46097</v>
      </c>
      <c r="R914" t="s">
        <v>25</v>
      </c>
      <c r="S914" t="s">
        <v>51</v>
      </c>
    </row>
    <row r="915" spans="1:19" x14ac:dyDescent="0.25">
      <c r="A915" t="s">
        <v>1005</v>
      </c>
      <c r="B915" s="2">
        <v>46036</v>
      </c>
      <c r="C915" t="s">
        <v>80</v>
      </c>
      <c r="D915" t="s">
        <v>21</v>
      </c>
      <c r="E915" t="s">
        <v>90</v>
      </c>
      <c r="F915" t="s">
        <v>96</v>
      </c>
      <c r="G915" t="s">
        <v>57</v>
      </c>
      <c r="H915">
        <v>125</v>
      </c>
      <c r="I915">
        <v>91</v>
      </c>
      <c r="J915">
        <v>2</v>
      </c>
      <c r="K915">
        <v>7.6</v>
      </c>
      <c r="L915">
        <v>28722.62</v>
      </c>
      <c r="M915">
        <v>3.17</v>
      </c>
      <c r="N915">
        <v>82.42</v>
      </c>
      <c r="O915">
        <v>107</v>
      </c>
      <c r="P915" s="2">
        <v>46038</v>
      </c>
      <c r="Q915" s="2">
        <v>46038</v>
      </c>
      <c r="R915" t="s">
        <v>25</v>
      </c>
      <c r="S915" t="s">
        <v>33</v>
      </c>
    </row>
    <row r="916" spans="1:19" x14ac:dyDescent="0.25">
      <c r="A916" t="s">
        <v>1006</v>
      </c>
      <c r="B916" s="2">
        <v>46172</v>
      </c>
      <c r="C916" t="s">
        <v>20</v>
      </c>
      <c r="D916" t="s">
        <v>21</v>
      </c>
      <c r="E916" t="s">
        <v>22</v>
      </c>
      <c r="F916" t="s">
        <v>125</v>
      </c>
      <c r="G916" t="s">
        <v>406</v>
      </c>
      <c r="H916">
        <v>237</v>
      </c>
      <c r="I916">
        <v>170</v>
      </c>
      <c r="J916">
        <v>14</v>
      </c>
      <c r="K916">
        <v>7.1</v>
      </c>
      <c r="L916">
        <v>68385.259999999995</v>
      </c>
      <c r="M916">
        <v>5.0599999999999996</v>
      </c>
      <c r="N916">
        <v>111.32</v>
      </c>
      <c r="O916">
        <v>271</v>
      </c>
      <c r="P916" s="2">
        <v>46183</v>
      </c>
      <c r="Q916" s="2">
        <v>46182</v>
      </c>
      <c r="R916" t="s">
        <v>39</v>
      </c>
      <c r="S916" t="s">
        <v>33</v>
      </c>
    </row>
    <row r="917" spans="1:19" x14ac:dyDescent="0.25">
      <c r="A917" t="s">
        <v>1007</v>
      </c>
      <c r="B917" s="2">
        <v>46141</v>
      </c>
      <c r="C917" t="s">
        <v>59</v>
      </c>
      <c r="D917" t="s">
        <v>49</v>
      </c>
      <c r="E917" t="s">
        <v>50</v>
      </c>
      <c r="F917" t="s">
        <v>85</v>
      </c>
      <c r="G917" t="s">
        <v>32</v>
      </c>
      <c r="H917">
        <v>244</v>
      </c>
      <c r="I917">
        <v>257</v>
      </c>
      <c r="J917">
        <v>13</v>
      </c>
      <c r="K917">
        <v>4.5</v>
      </c>
      <c r="L917">
        <v>38075.71</v>
      </c>
      <c r="M917">
        <v>7.05</v>
      </c>
      <c r="N917">
        <v>155.1</v>
      </c>
      <c r="O917">
        <v>245</v>
      </c>
      <c r="P917" s="2">
        <v>46150</v>
      </c>
      <c r="Q917" s="2">
        <v>46154</v>
      </c>
      <c r="R917" t="s">
        <v>25</v>
      </c>
      <c r="S917" t="s">
        <v>86</v>
      </c>
    </row>
    <row r="918" spans="1:19" x14ac:dyDescent="0.25">
      <c r="A918" t="s">
        <v>1008</v>
      </c>
      <c r="B918" s="2">
        <v>46190</v>
      </c>
      <c r="C918" t="s">
        <v>35</v>
      </c>
      <c r="D918" t="s">
        <v>36</v>
      </c>
      <c r="E918" t="s">
        <v>69</v>
      </c>
      <c r="F918" t="s">
        <v>38</v>
      </c>
      <c r="G918" t="s">
        <v>57</v>
      </c>
      <c r="H918">
        <v>286</v>
      </c>
      <c r="I918">
        <v>320</v>
      </c>
      <c r="J918">
        <v>24</v>
      </c>
      <c r="K918">
        <v>7.6</v>
      </c>
      <c r="L918">
        <v>28807.62</v>
      </c>
      <c r="M918">
        <v>9.3000000000000007</v>
      </c>
      <c r="N918">
        <v>186</v>
      </c>
      <c r="O918">
        <v>255</v>
      </c>
      <c r="P918" s="2">
        <v>46193</v>
      </c>
      <c r="Q918" s="2">
        <v>46191</v>
      </c>
      <c r="R918" t="s">
        <v>39</v>
      </c>
      <c r="S918" t="s">
        <v>51</v>
      </c>
    </row>
    <row r="919" spans="1:19" x14ac:dyDescent="0.25">
      <c r="A919" t="s">
        <v>1009</v>
      </c>
      <c r="B919" s="2">
        <v>46050</v>
      </c>
      <c r="C919" t="s">
        <v>53</v>
      </c>
      <c r="D919" t="s">
        <v>54</v>
      </c>
      <c r="E919" t="s">
        <v>55</v>
      </c>
      <c r="F919" t="s">
        <v>38</v>
      </c>
      <c r="G919" t="s">
        <v>32</v>
      </c>
      <c r="H919">
        <v>118</v>
      </c>
      <c r="I919">
        <v>121</v>
      </c>
      <c r="J919">
        <v>3</v>
      </c>
      <c r="K919">
        <v>3</v>
      </c>
      <c r="L919">
        <v>15038.74</v>
      </c>
      <c r="M919">
        <v>3.58</v>
      </c>
      <c r="N919">
        <v>85.92</v>
      </c>
      <c r="O919">
        <v>109</v>
      </c>
      <c r="P919" s="2">
        <v>46062</v>
      </c>
      <c r="Q919" s="2">
        <v>46062</v>
      </c>
      <c r="R919" t="s">
        <v>25</v>
      </c>
      <c r="S919" t="s">
        <v>33</v>
      </c>
    </row>
    <row r="920" spans="1:19" x14ac:dyDescent="0.25">
      <c r="A920" t="s">
        <v>1010</v>
      </c>
      <c r="B920" s="2">
        <v>46116</v>
      </c>
      <c r="C920" t="s">
        <v>43</v>
      </c>
      <c r="D920" t="s">
        <v>44</v>
      </c>
      <c r="E920" t="s">
        <v>161</v>
      </c>
      <c r="F920" t="s">
        <v>61</v>
      </c>
      <c r="G920" t="s">
        <v>32</v>
      </c>
      <c r="H920">
        <v>129</v>
      </c>
      <c r="I920">
        <v>112</v>
      </c>
      <c r="J920">
        <v>1</v>
      </c>
      <c r="K920">
        <v>7.6</v>
      </c>
      <c r="L920">
        <v>14163.82</v>
      </c>
      <c r="M920">
        <v>4.2</v>
      </c>
      <c r="N920">
        <v>100.8</v>
      </c>
      <c r="O920">
        <v>190</v>
      </c>
      <c r="P920" s="2">
        <v>46123</v>
      </c>
      <c r="Q920" s="2">
        <v>46127</v>
      </c>
      <c r="R920" t="s">
        <v>25</v>
      </c>
      <c r="S920" t="s">
        <v>72</v>
      </c>
    </row>
    <row r="921" spans="1:19" x14ac:dyDescent="0.25">
      <c r="A921" t="s">
        <v>1011</v>
      </c>
      <c r="B921" s="2">
        <v>46191</v>
      </c>
      <c r="C921" t="s">
        <v>48</v>
      </c>
      <c r="D921" t="s">
        <v>49</v>
      </c>
      <c r="E921" t="s">
        <v>60</v>
      </c>
      <c r="F921" t="s">
        <v>85</v>
      </c>
      <c r="G921" t="s">
        <v>24</v>
      </c>
      <c r="H921">
        <v>302</v>
      </c>
      <c r="I921">
        <v>308</v>
      </c>
      <c r="J921">
        <v>1</v>
      </c>
      <c r="K921">
        <v>7</v>
      </c>
      <c r="L921">
        <v>70067.44</v>
      </c>
      <c r="M921">
        <v>9.14</v>
      </c>
      <c r="N921">
        <v>201.08</v>
      </c>
      <c r="O921">
        <v>299</v>
      </c>
      <c r="P921" s="2">
        <v>46193</v>
      </c>
      <c r="Q921" s="2">
        <v>46193</v>
      </c>
      <c r="R921" t="s">
        <v>25</v>
      </c>
      <c r="S921" t="s">
        <v>72</v>
      </c>
    </row>
    <row r="922" spans="1:19" x14ac:dyDescent="0.25">
      <c r="A922" t="s">
        <v>1012</v>
      </c>
      <c r="B922" s="2">
        <v>46094</v>
      </c>
      <c r="C922" t="s">
        <v>28</v>
      </c>
      <c r="D922" t="s">
        <v>29</v>
      </c>
      <c r="E922" t="s">
        <v>30</v>
      </c>
      <c r="F922" t="s">
        <v>170</v>
      </c>
      <c r="G922" t="s">
        <v>32</v>
      </c>
      <c r="H922">
        <v>126</v>
      </c>
      <c r="I922">
        <v>113</v>
      </c>
      <c r="J922">
        <v>8</v>
      </c>
      <c r="K922">
        <v>5.7</v>
      </c>
      <c r="L922">
        <v>30031.48</v>
      </c>
      <c r="M922">
        <v>3.05</v>
      </c>
      <c r="N922">
        <v>54.9</v>
      </c>
      <c r="O922">
        <v>112</v>
      </c>
      <c r="P922" s="2">
        <v>46103</v>
      </c>
      <c r="Q922" s="2">
        <v>46103</v>
      </c>
      <c r="R922" t="s">
        <v>25</v>
      </c>
      <c r="S922" t="s">
        <v>26</v>
      </c>
    </row>
    <row r="923" spans="1:19" x14ac:dyDescent="0.25">
      <c r="A923" t="s">
        <v>1013</v>
      </c>
      <c r="B923" s="2">
        <v>46093</v>
      </c>
      <c r="C923" t="s">
        <v>35</v>
      </c>
      <c r="D923" t="s">
        <v>36</v>
      </c>
      <c r="E923" t="s">
        <v>37</v>
      </c>
      <c r="F923" t="s">
        <v>77</v>
      </c>
      <c r="G923" t="s">
        <v>24</v>
      </c>
      <c r="H923">
        <v>191</v>
      </c>
      <c r="I923">
        <v>200</v>
      </c>
      <c r="J923">
        <v>14</v>
      </c>
      <c r="K923">
        <v>0.4</v>
      </c>
      <c r="L923">
        <v>22015.439999999999</v>
      </c>
      <c r="M923">
        <v>4.99</v>
      </c>
      <c r="N923">
        <v>119.76</v>
      </c>
      <c r="O923">
        <v>162</v>
      </c>
      <c r="P923" s="2">
        <v>46099</v>
      </c>
      <c r="Q923" s="2">
        <v>46100</v>
      </c>
      <c r="R923" t="s">
        <v>25</v>
      </c>
      <c r="S923" t="s">
        <v>33</v>
      </c>
    </row>
    <row r="924" spans="1:19" x14ac:dyDescent="0.25">
      <c r="A924" t="s">
        <v>1014</v>
      </c>
      <c r="B924" s="2">
        <v>46144</v>
      </c>
      <c r="C924" t="s">
        <v>35</v>
      </c>
      <c r="D924" t="s">
        <v>36</v>
      </c>
      <c r="E924" t="s">
        <v>69</v>
      </c>
      <c r="F924" t="s">
        <v>122</v>
      </c>
      <c r="G924" t="s">
        <v>57</v>
      </c>
      <c r="H924">
        <v>314</v>
      </c>
      <c r="I924">
        <v>345</v>
      </c>
      <c r="J924">
        <v>19</v>
      </c>
      <c r="K924">
        <v>8.3000000000000007</v>
      </c>
      <c r="L924">
        <v>32954.019999999997</v>
      </c>
      <c r="M924">
        <v>8.4</v>
      </c>
      <c r="N924">
        <v>151.19999999999999</v>
      </c>
      <c r="O924">
        <v>332</v>
      </c>
      <c r="P924" s="2">
        <v>46156</v>
      </c>
      <c r="Q924" s="2">
        <v>46156</v>
      </c>
      <c r="R924" t="s">
        <v>100</v>
      </c>
      <c r="S924" t="s">
        <v>26</v>
      </c>
    </row>
    <row r="925" spans="1:19" x14ac:dyDescent="0.25">
      <c r="A925" t="s">
        <v>1015</v>
      </c>
      <c r="B925" s="2">
        <v>46081</v>
      </c>
      <c r="C925" t="s">
        <v>80</v>
      </c>
      <c r="D925" t="s">
        <v>21</v>
      </c>
      <c r="E925" t="s">
        <v>22</v>
      </c>
      <c r="F925" t="s">
        <v>41</v>
      </c>
      <c r="G925" t="s">
        <v>57</v>
      </c>
      <c r="H925">
        <v>290</v>
      </c>
      <c r="I925">
        <v>264</v>
      </c>
      <c r="J925">
        <v>10</v>
      </c>
      <c r="K925">
        <v>3.9</v>
      </c>
      <c r="L925">
        <v>88675.03</v>
      </c>
      <c r="M925">
        <v>6.49</v>
      </c>
      <c r="N925">
        <v>168.74</v>
      </c>
      <c r="O925">
        <v>356</v>
      </c>
      <c r="P925" s="2">
        <v>46083</v>
      </c>
      <c r="Q925" s="2">
        <v>46083</v>
      </c>
      <c r="R925" t="s">
        <v>39</v>
      </c>
      <c r="S925" t="s">
        <v>72</v>
      </c>
    </row>
    <row r="926" spans="1:19" x14ac:dyDescent="0.25">
      <c r="A926" t="s">
        <v>1016</v>
      </c>
      <c r="B926" s="2">
        <v>46171</v>
      </c>
      <c r="C926" t="s">
        <v>28</v>
      </c>
      <c r="D926" t="s">
        <v>29</v>
      </c>
      <c r="E926" t="s">
        <v>30</v>
      </c>
      <c r="F926" t="s">
        <v>41</v>
      </c>
      <c r="G926" t="s">
        <v>32</v>
      </c>
      <c r="H926">
        <v>249</v>
      </c>
      <c r="I926">
        <v>238</v>
      </c>
      <c r="J926">
        <v>17</v>
      </c>
      <c r="K926">
        <v>7.7</v>
      </c>
      <c r="L926">
        <v>60879.29</v>
      </c>
      <c r="M926">
        <v>8.43</v>
      </c>
      <c r="N926">
        <v>168.6</v>
      </c>
      <c r="O926">
        <v>348</v>
      </c>
      <c r="P926" s="2">
        <v>46183</v>
      </c>
      <c r="Q926" s="2">
        <v>46183</v>
      </c>
      <c r="R926" t="s">
        <v>25</v>
      </c>
      <c r="S926" t="s">
        <v>33</v>
      </c>
    </row>
    <row r="927" spans="1:19" x14ac:dyDescent="0.25">
      <c r="A927" t="s">
        <v>1017</v>
      </c>
      <c r="B927" s="2">
        <v>46107</v>
      </c>
      <c r="C927" t="s">
        <v>28</v>
      </c>
      <c r="D927" t="s">
        <v>29</v>
      </c>
      <c r="E927" t="s">
        <v>95</v>
      </c>
      <c r="F927" t="s">
        <v>71</v>
      </c>
      <c r="G927" t="s">
        <v>32</v>
      </c>
      <c r="H927">
        <v>85</v>
      </c>
      <c r="I927">
        <v>64</v>
      </c>
      <c r="J927">
        <v>5</v>
      </c>
      <c r="K927">
        <v>6.6</v>
      </c>
      <c r="L927">
        <v>12170.63</v>
      </c>
      <c r="M927">
        <v>1.55</v>
      </c>
      <c r="N927">
        <v>31</v>
      </c>
      <c r="O927">
        <v>159</v>
      </c>
      <c r="P927" s="2">
        <v>46112</v>
      </c>
      <c r="Q927" s="2">
        <v>46112</v>
      </c>
      <c r="R927" t="s">
        <v>25</v>
      </c>
      <c r="S927" t="s">
        <v>86</v>
      </c>
    </row>
    <row r="928" spans="1:19" x14ac:dyDescent="0.25">
      <c r="A928" t="s">
        <v>1018</v>
      </c>
      <c r="B928" s="2">
        <v>46161</v>
      </c>
      <c r="C928" t="s">
        <v>20</v>
      </c>
      <c r="D928" t="s">
        <v>21</v>
      </c>
      <c r="E928" t="s">
        <v>22</v>
      </c>
      <c r="F928" t="s">
        <v>71</v>
      </c>
      <c r="G928" t="s">
        <v>24</v>
      </c>
      <c r="H928">
        <v>119</v>
      </c>
      <c r="I928">
        <v>130</v>
      </c>
      <c r="J928">
        <v>10</v>
      </c>
      <c r="K928">
        <v>0</v>
      </c>
      <c r="L928">
        <v>40999.440000000002</v>
      </c>
      <c r="M928">
        <v>4.82</v>
      </c>
      <c r="N928">
        <v>106.04</v>
      </c>
      <c r="O928">
        <v>124</v>
      </c>
      <c r="P928" s="2">
        <v>46164</v>
      </c>
      <c r="Q928" s="2">
        <v>46168</v>
      </c>
      <c r="R928" t="s">
        <v>25</v>
      </c>
      <c r="S928" t="s">
        <v>26</v>
      </c>
    </row>
    <row r="929" spans="1:19" x14ac:dyDescent="0.25">
      <c r="A929" t="s">
        <v>1019</v>
      </c>
      <c r="B929" s="2">
        <v>46142</v>
      </c>
      <c r="C929" t="s">
        <v>20</v>
      </c>
      <c r="D929" t="s">
        <v>21</v>
      </c>
      <c r="E929" t="s">
        <v>90</v>
      </c>
      <c r="F929" t="s">
        <v>244</v>
      </c>
      <c r="G929" t="s">
        <v>57</v>
      </c>
      <c r="H929">
        <v>251</v>
      </c>
      <c r="I929">
        <v>247</v>
      </c>
      <c r="J929">
        <v>18</v>
      </c>
      <c r="K929">
        <v>3.2</v>
      </c>
      <c r="L929">
        <v>62330.64</v>
      </c>
      <c r="M929">
        <v>9.23</v>
      </c>
      <c r="N929">
        <v>239.98</v>
      </c>
      <c r="O929">
        <v>275</v>
      </c>
      <c r="P929" s="2">
        <v>46144</v>
      </c>
      <c r="Q929" s="2">
        <v>46143</v>
      </c>
      <c r="R929" t="s">
        <v>25</v>
      </c>
      <c r="S929" t="s">
        <v>86</v>
      </c>
    </row>
    <row r="930" spans="1:19" x14ac:dyDescent="0.25">
      <c r="A930" t="s">
        <v>1020</v>
      </c>
      <c r="B930" s="2">
        <v>46064</v>
      </c>
      <c r="C930" t="s">
        <v>28</v>
      </c>
      <c r="D930" t="s">
        <v>29</v>
      </c>
      <c r="E930" t="s">
        <v>95</v>
      </c>
      <c r="F930" t="s">
        <v>104</v>
      </c>
      <c r="G930" t="s">
        <v>24</v>
      </c>
      <c r="H930">
        <v>316</v>
      </c>
      <c r="I930">
        <v>330</v>
      </c>
      <c r="J930">
        <v>12</v>
      </c>
      <c r="K930">
        <v>3.1</v>
      </c>
      <c r="L930">
        <v>77409.81</v>
      </c>
      <c r="M930">
        <v>6.76</v>
      </c>
      <c r="N930">
        <v>175.76</v>
      </c>
      <c r="O930">
        <v>379</v>
      </c>
      <c r="P930" s="2">
        <v>46069</v>
      </c>
      <c r="Q930" s="2">
        <v>46069</v>
      </c>
      <c r="R930" t="s">
        <v>25</v>
      </c>
      <c r="S930" t="s">
        <v>72</v>
      </c>
    </row>
    <row r="931" spans="1:19" x14ac:dyDescent="0.25">
      <c r="A931" t="s">
        <v>1021</v>
      </c>
      <c r="B931" s="2">
        <v>46173</v>
      </c>
      <c r="C931" t="s">
        <v>20</v>
      </c>
      <c r="D931" t="s">
        <v>21</v>
      </c>
      <c r="E931" t="s">
        <v>66</v>
      </c>
      <c r="F931" t="s">
        <v>31</v>
      </c>
      <c r="G931" t="s">
        <v>57</v>
      </c>
      <c r="H931">
        <v>138</v>
      </c>
      <c r="I931">
        <v>148</v>
      </c>
      <c r="J931">
        <v>13</v>
      </c>
      <c r="K931">
        <v>7</v>
      </c>
      <c r="L931">
        <v>48369.22</v>
      </c>
      <c r="M931">
        <v>3.81</v>
      </c>
      <c r="N931">
        <v>83.82</v>
      </c>
      <c r="O931">
        <v>148</v>
      </c>
      <c r="P931" s="2">
        <v>46175</v>
      </c>
      <c r="Q931" s="2">
        <v>46173</v>
      </c>
      <c r="R931" t="s">
        <v>100</v>
      </c>
      <c r="S931" t="s">
        <v>26</v>
      </c>
    </row>
    <row r="932" spans="1:19" x14ac:dyDescent="0.25">
      <c r="A932" t="s">
        <v>1022</v>
      </c>
      <c r="B932" s="2">
        <v>46113</v>
      </c>
      <c r="C932" t="s">
        <v>80</v>
      </c>
      <c r="D932" t="s">
        <v>21</v>
      </c>
      <c r="E932" t="s">
        <v>66</v>
      </c>
      <c r="F932" t="s">
        <v>170</v>
      </c>
      <c r="G932" t="s">
        <v>32</v>
      </c>
      <c r="H932">
        <v>319</v>
      </c>
      <c r="I932">
        <v>280</v>
      </c>
      <c r="J932">
        <v>9</v>
      </c>
      <c r="K932">
        <v>6.7</v>
      </c>
      <c r="L932">
        <v>58394.38</v>
      </c>
      <c r="M932">
        <v>8.15</v>
      </c>
      <c r="N932">
        <v>163</v>
      </c>
      <c r="O932">
        <v>303</v>
      </c>
      <c r="P932" s="2">
        <v>46124</v>
      </c>
      <c r="Q932" s="2">
        <v>46123</v>
      </c>
      <c r="R932" t="s">
        <v>39</v>
      </c>
      <c r="S932" t="s">
        <v>72</v>
      </c>
    </row>
    <row r="933" spans="1:19" x14ac:dyDescent="0.25">
      <c r="A933" t="s">
        <v>1023</v>
      </c>
      <c r="B933" s="2">
        <v>46164</v>
      </c>
      <c r="C933" t="s">
        <v>48</v>
      </c>
      <c r="D933" t="s">
        <v>49</v>
      </c>
      <c r="E933" t="s">
        <v>50</v>
      </c>
      <c r="F933" t="s">
        <v>106</v>
      </c>
      <c r="G933" t="s">
        <v>32</v>
      </c>
      <c r="H933">
        <v>239</v>
      </c>
      <c r="I933">
        <v>255</v>
      </c>
      <c r="J933">
        <v>19</v>
      </c>
      <c r="K933">
        <v>5.7</v>
      </c>
      <c r="L933">
        <v>46803.11</v>
      </c>
      <c r="M933">
        <v>7.19</v>
      </c>
      <c r="N933">
        <v>129.41999999999999</v>
      </c>
      <c r="O933">
        <v>226</v>
      </c>
      <c r="P933" s="2">
        <v>46166</v>
      </c>
      <c r="Q933" s="2">
        <v>46166</v>
      </c>
      <c r="R933" t="s">
        <v>25</v>
      </c>
      <c r="S933" t="s">
        <v>72</v>
      </c>
    </row>
    <row r="934" spans="1:19" x14ac:dyDescent="0.25">
      <c r="A934" t="s">
        <v>1024</v>
      </c>
      <c r="B934" s="2">
        <v>46062</v>
      </c>
      <c r="C934" t="s">
        <v>59</v>
      </c>
      <c r="D934" t="s">
        <v>49</v>
      </c>
      <c r="E934" t="s">
        <v>76</v>
      </c>
      <c r="F934" t="s">
        <v>106</v>
      </c>
      <c r="G934" t="s">
        <v>57</v>
      </c>
      <c r="H934">
        <v>297</v>
      </c>
      <c r="I934">
        <v>266</v>
      </c>
      <c r="J934">
        <v>3</v>
      </c>
      <c r="K934">
        <v>4.8</v>
      </c>
      <c r="L934">
        <v>37326.879999999997</v>
      </c>
      <c r="M934">
        <v>6.7</v>
      </c>
      <c r="N934">
        <v>120.6</v>
      </c>
      <c r="O934">
        <v>263</v>
      </c>
      <c r="P934" s="2">
        <v>46068</v>
      </c>
      <c r="Q934" s="2">
        <v>46069</v>
      </c>
      <c r="R934" t="s">
        <v>25</v>
      </c>
      <c r="S934" t="s">
        <v>51</v>
      </c>
    </row>
    <row r="935" spans="1:19" x14ac:dyDescent="0.25">
      <c r="A935" t="s">
        <v>1025</v>
      </c>
      <c r="B935" s="2">
        <v>46157</v>
      </c>
      <c r="C935" t="s">
        <v>20</v>
      </c>
      <c r="D935" t="s">
        <v>21</v>
      </c>
      <c r="E935" t="s">
        <v>90</v>
      </c>
      <c r="F935" t="s">
        <v>61</v>
      </c>
      <c r="G935" t="s">
        <v>24</v>
      </c>
      <c r="H935">
        <v>109</v>
      </c>
      <c r="I935">
        <v>82</v>
      </c>
      <c r="J935">
        <v>2</v>
      </c>
      <c r="K935">
        <v>3</v>
      </c>
      <c r="L935">
        <v>27697.01</v>
      </c>
      <c r="M935">
        <v>1.89</v>
      </c>
      <c r="N935">
        <v>34.020000000000003</v>
      </c>
      <c r="O935">
        <v>128</v>
      </c>
      <c r="P935" s="2">
        <v>46159</v>
      </c>
      <c r="Q935" s="2">
        <v>46159</v>
      </c>
      <c r="R935" t="s">
        <v>25</v>
      </c>
      <c r="S935" t="s">
        <v>26</v>
      </c>
    </row>
    <row r="936" spans="1:19" x14ac:dyDescent="0.25">
      <c r="A936" t="s">
        <v>1026</v>
      </c>
      <c r="B936" s="2">
        <v>46043</v>
      </c>
      <c r="C936" t="s">
        <v>59</v>
      </c>
      <c r="D936" t="s">
        <v>49</v>
      </c>
      <c r="E936" t="s">
        <v>60</v>
      </c>
      <c r="F936" t="s">
        <v>71</v>
      </c>
      <c r="G936" t="s">
        <v>24</v>
      </c>
      <c r="H936">
        <v>248</v>
      </c>
      <c r="I936">
        <v>210</v>
      </c>
      <c r="J936">
        <v>17</v>
      </c>
      <c r="K936">
        <v>6.8</v>
      </c>
      <c r="L936">
        <v>34040.32</v>
      </c>
      <c r="M936">
        <v>5.9</v>
      </c>
      <c r="N936">
        <v>129.80000000000001</v>
      </c>
      <c r="O936">
        <v>276</v>
      </c>
      <c r="P936" s="2">
        <v>46045</v>
      </c>
      <c r="Q936" s="2">
        <v>46045</v>
      </c>
      <c r="R936" t="s">
        <v>25</v>
      </c>
      <c r="S936" t="s">
        <v>33</v>
      </c>
    </row>
    <row r="937" spans="1:19" x14ac:dyDescent="0.25">
      <c r="A937" t="s">
        <v>1027</v>
      </c>
      <c r="B937" s="2">
        <v>46050</v>
      </c>
      <c r="C937" t="s">
        <v>53</v>
      </c>
      <c r="D937" t="s">
        <v>54</v>
      </c>
      <c r="E937" t="s">
        <v>55</v>
      </c>
      <c r="F937" t="s">
        <v>110</v>
      </c>
      <c r="G937" t="s">
        <v>24</v>
      </c>
      <c r="H937">
        <v>200</v>
      </c>
      <c r="I937">
        <v>213</v>
      </c>
      <c r="J937">
        <v>8</v>
      </c>
      <c r="K937">
        <v>1</v>
      </c>
      <c r="L937">
        <v>29836.400000000001</v>
      </c>
      <c r="M937">
        <v>8.41</v>
      </c>
      <c r="N937">
        <v>168.2</v>
      </c>
      <c r="O937">
        <v>180</v>
      </c>
      <c r="P937" s="2">
        <v>46057</v>
      </c>
      <c r="Q937" s="2">
        <v>46057</v>
      </c>
      <c r="R937" t="s">
        <v>25</v>
      </c>
      <c r="S937" t="s">
        <v>33</v>
      </c>
    </row>
    <row r="938" spans="1:19" x14ac:dyDescent="0.25">
      <c r="A938" t="s">
        <v>1028</v>
      </c>
      <c r="B938" s="2">
        <v>46184</v>
      </c>
      <c r="C938" t="s">
        <v>80</v>
      </c>
      <c r="D938" t="s">
        <v>21</v>
      </c>
      <c r="E938" t="s">
        <v>90</v>
      </c>
      <c r="F938" t="s">
        <v>83</v>
      </c>
      <c r="G938" t="s">
        <v>24</v>
      </c>
      <c r="H938">
        <v>135</v>
      </c>
      <c r="I938">
        <v>139</v>
      </c>
      <c r="J938">
        <v>2</v>
      </c>
      <c r="K938">
        <v>6.6</v>
      </c>
      <c r="L938">
        <v>43391.69</v>
      </c>
      <c r="M938">
        <v>3.3</v>
      </c>
      <c r="N938">
        <v>79.2</v>
      </c>
      <c r="O938">
        <v>96</v>
      </c>
      <c r="P938" s="2">
        <v>46196</v>
      </c>
      <c r="Q938" s="2">
        <v>46196</v>
      </c>
      <c r="R938" t="s">
        <v>39</v>
      </c>
      <c r="S938" t="s">
        <v>51</v>
      </c>
    </row>
    <row r="939" spans="1:19" x14ac:dyDescent="0.25">
      <c r="A939" t="s">
        <v>1029</v>
      </c>
      <c r="B939" s="2">
        <v>46149</v>
      </c>
      <c r="C939" t="s">
        <v>28</v>
      </c>
      <c r="D939" t="s">
        <v>29</v>
      </c>
      <c r="E939" t="s">
        <v>63</v>
      </c>
      <c r="F939" t="s">
        <v>23</v>
      </c>
      <c r="G939" t="s">
        <v>24</v>
      </c>
      <c r="H939">
        <v>190</v>
      </c>
      <c r="I939">
        <v>154</v>
      </c>
      <c r="J939">
        <v>10</v>
      </c>
      <c r="K939">
        <v>1.7</v>
      </c>
      <c r="L939">
        <v>34074.06</v>
      </c>
      <c r="M939">
        <v>4.2699999999999996</v>
      </c>
      <c r="N939">
        <v>111.02</v>
      </c>
      <c r="O939">
        <v>255</v>
      </c>
      <c r="P939" s="2">
        <v>46160</v>
      </c>
      <c r="Q939" s="2">
        <v>46160</v>
      </c>
      <c r="R939" t="s">
        <v>25</v>
      </c>
      <c r="S939" t="s">
        <v>33</v>
      </c>
    </row>
    <row r="940" spans="1:19" x14ac:dyDescent="0.25">
      <c r="A940" t="s">
        <v>1030</v>
      </c>
      <c r="B940" s="2">
        <v>46130</v>
      </c>
      <c r="C940" t="s">
        <v>59</v>
      </c>
      <c r="D940" t="s">
        <v>49</v>
      </c>
      <c r="E940" t="s">
        <v>60</v>
      </c>
      <c r="F940" t="s">
        <v>106</v>
      </c>
      <c r="G940" t="s">
        <v>57</v>
      </c>
      <c r="H940">
        <v>234</v>
      </c>
      <c r="I940">
        <v>218</v>
      </c>
      <c r="J940">
        <v>20</v>
      </c>
      <c r="K940">
        <v>3.6</v>
      </c>
      <c r="L940">
        <v>31597.8</v>
      </c>
      <c r="M940">
        <v>4.59</v>
      </c>
      <c r="N940">
        <v>91.8</v>
      </c>
      <c r="O940">
        <v>224</v>
      </c>
      <c r="P940" s="2">
        <v>46142</v>
      </c>
      <c r="Q940" s="2">
        <v>46142</v>
      </c>
      <c r="R940" t="s">
        <v>25</v>
      </c>
      <c r="S940" t="s">
        <v>51</v>
      </c>
    </row>
    <row r="941" spans="1:19" x14ac:dyDescent="0.25">
      <c r="A941" t="s">
        <v>1031</v>
      </c>
      <c r="B941" s="2">
        <v>46086</v>
      </c>
      <c r="C941" t="s">
        <v>80</v>
      </c>
      <c r="D941" t="s">
        <v>21</v>
      </c>
      <c r="E941" t="s">
        <v>66</v>
      </c>
      <c r="F941" t="s">
        <v>31</v>
      </c>
      <c r="G941" t="s">
        <v>32</v>
      </c>
      <c r="H941">
        <v>98</v>
      </c>
      <c r="I941">
        <v>99</v>
      </c>
      <c r="J941">
        <v>1</v>
      </c>
      <c r="K941">
        <v>2</v>
      </c>
      <c r="L941">
        <v>31384.3</v>
      </c>
      <c r="M941">
        <v>3.33</v>
      </c>
      <c r="N941">
        <v>59.94</v>
      </c>
      <c r="O941">
        <v>61</v>
      </c>
      <c r="P941" s="2">
        <v>46094</v>
      </c>
      <c r="Q941" s="2">
        <v>46093</v>
      </c>
      <c r="R941" t="s">
        <v>25</v>
      </c>
      <c r="S941" t="s">
        <v>51</v>
      </c>
    </row>
    <row r="942" spans="1:19" x14ac:dyDescent="0.25">
      <c r="A942" t="s">
        <v>1032</v>
      </c>
      <c r="B942" s="2">
        <v>46060</v>
      </c>
      <c r="C942" t="s">
        <v>20</v>
      </c>
      <c r="D942" t="s">
        <v>21</v>
      </c>
      <c r="E942" t="s">
        <v>90</v>
      </c>
      <c r="F942" t="s">
        <v>56</v>
      </c>
      <c r="G942" t="s">
        <v>24</v>
      </c>
      <c r="H942">
        <v>163</v>
      </c>
      <c r="I942">
        <v>185</v>
      </c>
      <c r="J942">
        <v>7</v>
      </c>
      <c r="K942">
        <v>4.7</v>
      </c>
      <c r="L942">
        <v>57465.25</v>
      </c>
      <c r="M942">
        <v>7.14</v>
      </c>
      <c r="N942">
        <v>142.80000000000001</v>
      </c>
      <c r="O942">
        <v>175</v>
      </c>
      <c r="P942" s="2">
        <v>46068</v>
      </c>
      <c r="Q942" s="2">
        <v>46069</v>
      </c>
      <c r="R942" t="s">
        <v>25</v>
      </c>
      <c r="S942" t="s">
        <v>51</v>
      </c>
    </row>
    <row r="943" spans="1:19" x14ac:dyDescent="0.25">
      <c r="A943" t="s">
        <v>1033</v>
      </c>
      <c r="B943" s="2">
        <v>46148</v>
      </c>
      <c r="C943" t="s">
        <v>53</v>
      </c>
      <c r="D943" t="s">
        <v>54</v>
      </c>
      <c r="E943" t="s">
        <v>131</v>
      </c>
      <c r="F943" t="s">
        <v>71</v>
      </c>
      <c r="G943" t="s">
        <v>32</v>
      </c>
      <c r="H943">
        <v>191</v>
      </c>
      <c r="I943">
        <v>141</v>
      </c>
      <c r="J943">
        <v>0</v>
      </c>
      <c r="K943">
        <v>4.2</v>
      </c>
      <c r="L943">
        <v>18730.96</v>
      </c>
      <c r="M943">
        <v>2.74</v>
      </c>
      <c r="N943">
        <v>65.760000000000005</v>
      </c>
      <c r="O943">
        <v>285</v>
      </c>
      <c r="P943" s="2">
        <v>46154</v>
      </c>
      <c r="Q943" s="2">
        <v>46154</v>
      </c>
      <c r="R943" t="s">
        <v>100</v>
      </c>
      <c r="S943" t="s">
        <v>51</v>
      </c>
    </row>
    <row r="944" spans="1:19" x14ac:dyDescent="0.25">
      <c r="A944" t="s">
        <v>1034</v>
      </c>
      <c r="B944" s="2">
        <v>46095</v>
      </c>
      <c r="C944" t="s">
        <v>59</v>
      </c>
      <c r="D944" t="s">
        <v>49</v>
      </c>
      <c r="E944" t="s">
        <v>50</v>
      </c>
      <c r="F944" t="s">
        <v>46</v>
      </c>
      <c r="G944" t="s">
        <v>32</v>
      </c>
      <c r="H944">
        <v>189</v>
      </c>
      <c r="I944">
        <v>198</v>
      </c>
      <c r="J944">
        <v>9</v>
      </c>
      <c r="K944">
        <v>6.9</v>
      </c>
      <c r="L944">
        <v>28809.05</v>
      </c>
      <c r="M944">
        <v>5</v>
      </c>
      <c r="N944">
        <v>100</v>
      </c>
      <c r="O944">
        <v>264</v>
      </c>
      <c r="P944" s="2">
        <v>46100</v>
      </c>
      <c r="Q944" s="2">
        <v>46100</v>
      </c>
      <c r="R944" t="s">
        <v>100</v>
      </c>
      <c r="S944" t="s">
        <v>51</v>
      </c>
    </row>
    <row r="945" spans="1:19" x14ac:dyDescent="0.25">
      <c r="A945" t="s">
        <v>1035</v>
      </c>
      <c r="B945" s="2">
        <v>46145</v>
      </c>
      <c r="C945" t="s">
        <v>28</v>
      </c>
      <c r="D945" t="s">
        <v>29</v>
      </c>
      <c r="E945" t="s">
        <v>95</v>
      </c>
      <c r="F945" t="s">
        <v>122</v>
      </c>
      <c r="G945" t="s">
        <v>24</v>
      </c>
      <c r="H945">
        <v>311</v>
      </c>
      <c r="I945">
        <v>241</v>
      </c>
      <c r="J945">
        <v>18</v>
      </c>
      <c r="K945">
        <v>5.8</v>
      </c>
      <c r="L945">
        <v>59680.71</v>
      </c>
      <c r="M945">
        <v>7.53</v>
      </c>
      <c r="N945">
        <v>150.6</v>
      </c>
      <c r="O945">
        <v>299</v>
      </c>
      <c r="P945" s="2">
        <v>46151</v>
      </c>
      <c r="Q945" s="2">
        <v>46152</v>
      </c>
      <c r="R945" t="s">
        <v>39</v>
      </c>
      <c r="S945" t="s">
        <v>33</v>
      </c>
    </row>
    <row r="946" spans="1:19" x14ac:dyDescent="0.25">
      <c r="A946" t="s">
        <v>1036</v>
      </c>
      <c r="B946" s="2">
        <v>46092</v>
      </c>
      <c r="C946" t="s">
        <v>59</v>
      </c>
      <c r="D946" t="s">
        <v>49</v>
      </c>
      <c r="E946" t="s">
        <v>60</v>
      </c>
      <c r="F946" t="s">
        <v>135</v>
      </c>
      <c r="G946" t="s">
        <v>57</v>
      </c>
      <c r="H946">
        <v>183</v>
      </c>
      <c r="I946">
        <v>133</v>
      </c>
      <c r="J946">
        <v>7</v>
      </c>
      <c r="K946">
        <v>8</v>
      </c>
      <c r="L946">
        <v>19836.89</v>
      </c>
      <c r="M946">
        <v>4.9800000000000004</v>
      </c>
      <c r="N946">
        <v>129.47999999999999</v>
      </c>
      <c r="O946">
        <v>278</v>
      </c>
      <c r="P946" s="2">
        <v>46096</v>
      </c>
      <c r="Q946" s="2">
        <v>46100</v>
      </c>
      <c r="R946" t="s">
        <v>39</v>
      </c>
      <c r="S946" t="s">
        <v>33</v>
      </c>
    </row>
    <row r="947" spans="1:19" x14ac:dyDescent="0.25">
      <c r="A947" t="s">
        <v>1037</v>
      </c>
      <c r="B947" s="2">
        <v>46106</v>
      </c>
      <c r="C947" t="s">
        <v>35</v>
      </c>
      <c r="D947" t="s">
        <v>36</v>
      </c>
      <c r="E947" t="s">
        <v>69</v>
      </c>
      <c r="F947" t="s">
        <v>114</v>
      </c>
      <c r="G947" t="s">
        <v>24</v>
      </c>
      <c r="H947">
        <v>80</v>
      </c>
      <c r="I947">
        <v>74</v>
      </c>
      <c r="J947">
        <v>1</v>
      </c>
      <c r="K947">
        <v>6.6</v>
      </c>
      <c r="L947">
        <v>7207.36</v>
      </c>
      <c r="M947">
        <v>2.57</v>
      </c>
      <c r="N947">
        <v>56.54</v>
      </c>
      <c r="O947">
        <v>101</v>
      </c>
      <c r="P947" s="2">
        <v>46118</v>
      </c>
      <c r="Q947" s="2">
        <v>46120</v>
      </c>
      <c r="R947" t="s">
        <v>39</v>
      </c>
      <c r="S947" t="s">
        <v>86</v>
      </c>
    </row>
    <row r="948" spans="1:19" x14ac:dyDescent="0.25">
      <c r="A948" t="s">
        <v>1038</v>
      </c>
      <c r="B948" s="2">
        <v>46047</v>
      </c>
      <c r="C948" t="s">
        <v>35</v>
      </c>
      <c r="D948" t="s">
        <v>36</v>
      </c>
      <c r="E948" t="s">
        <v>69</v>
      </c>
      <c r="F948" t="s">
        <v>135</v>
      </c>
      <c r="G948" t="s">
        <v>24</v>
      </c>
      <c r="H948">
        <v>239</v>
      </c>
      <c r="I948">
        <v>192</v>
      </c>
      <c r="J948">
        <v>5</v>
      </c>
      <c r="K948">
        <v>0.4</v>
      </c>
      <c r="L948">
        <v>16508.16</v>
      </c>
      <c r="M948">
        <v>4.57</v>
      </c>
      <c r="N948">
        <v>100.54</v>
      </c>
      <c r="O948">
        <v>325</v>
      </c>
      <c r="P948" s="2">
        <v>46052</v>
      </c>
      <c r="Q948" s="2">
        <v>46054</v>
      </c>
      <c r="R948" t="s">
        <v>39</v>
      </c>
      <c r="S948" t="s">
        <v>33</v>
      </c>
    </row>
    <row r="949" spans="1:19" x14ac:dyDescent="0.25">
      <c r="A949" t="s">
        <v>1039</v>
      </c>
      <c r="B949" s="2">
        <v>46049</v>
      </c>
      <c r="C949" t="s">
        <v>43</v>
      </c>
      <c r="D949" t="s">
        <v>44</v>
      </c>
      <c r="E949" t="s">
        <v>93</v>
      </c>
      <c r="F949" t="s">
        <v>31</v>
      </c>
      <c r="G949" t="s">
        <v>32</v>
      </c>
      <c r="H949">
        <v>185</v>
      </c>
      <c r="I949">
        <v>202</v>
      </c>
      <c r="J949">
        <v>4</v>
      </c>
      <c r="K949">
        <v>3.7</v>
      </c>
      <c r="L949">
        <v>24766.81</v>
      </c>
      <c r="M949">
        <v>6.94</v>
      </c>
      <c r="N949">
        <v>180.44</v>
      </c>
      <c r="O949">
        <v>257</v>
      </c>
      <c r="P949" s="2">
        <v>46053</v>
      </c>
      <c r="Q949" s="2">
        <v>46053</v>
      </c>
      <c r="R949" t="s">
        <v>25</v>
      </c>
      <c r="S949" t="s">
        <v>33</v>
      </c>
    </row>
    <row r="950" spans="1:19" x14ac:dyDescent="0.25">
      <c r="A950" t="s">
        <v>1040</v>
      </c>
      <c r="B950" s="2">
        <v>46032</v>
      </c>
      <c r="C950" t="s">
        <v>59</v>
      </c>
      <c r="D950" t="s">
        <v>49</v>
      </c>
      <c r="E950" t="s">
        <v>50</v>
      </c>
      <c r="F950" t="s">
        <v>83</v>
      </c>
      <c r="G950" t="s">
        <v>32</v>
      </c>
      <c r="H950">
        <v>315</v>
      </c>
      <c r="I950">
        <v>306</v>
      </c>
      <c r="J950">
        <v>4</v>
      </c>
      <c r="K950">
        <v>2.5</v>
      </c>
      <c r="L950">
        <v>54399.62</v>
      </c>
      <c r="M950">
        <v>7.04</v>
      </c>
      <c r="N950">
        <v>154.88</v>
      </c>
      <c r="O950">
        <v>335</v>
      </c>
      <c r="P950" s="2">
        <v>46043</v>
      </c>
      <c r="Q950" s="2">
        <v>46042</v>
      </c>
      <c r="R950" t="s">
        <v>25</v>
      </c>
      <c r="S950" t="s">
        <v>26</v>
      </c>
    </row>
    <row r="951" spans="1:19" x14ac:dyDescent="0.25">
      <c r="A951" t="s">
        <v>1041</v>
      </c>
      <c r="B951" s="2">
        <v>46160</v>
      </c>
      <c r="C951" t="s">
        <v>28</v>
      </c>
      <c r="D951" t="s">
        <v>29</v>
      </c>
      <c r="E951" t="s">
        <v>63</v>
      </c>
      <c r="F951" t="s">
        <v>85</v>
      </c>
      <c r="G951" t="s">
        <v>24</v>
      </c>
      <c r="H951">
        <v>201</v>
      </c>
      <c r="I951">
        <v>204</v>
      </c>
      <c r="J951">
        <v>10</v>
      </c>
      <c r="K951">
        <v>5.9</v>
      </c>
      <c r="L951">
        <v>43325.11</v>
      </c>
      <c r="M951">
        <v>7.79</v>
      </c>
      <c r="N951">
        <v>155.80000000000001</v>
      </c>
      <c r="O951">
        <v>266</v>
      </c>
      <c r="P951" s="2">
        <v>46167</v>
      </c>
      <c r="Q951" s="2">
        <v>46166</v>
      </c>
      <c r="R951" t="s">
        <v>25</v>
      </c>
      <c r="S951" t="s">
        <v>51</v>
      </c>
    </row>
    <row r="952" spans="1:19" x14ac:dyDescent="0.25">
      <c r="A952" t="s">
        <v>1042</v>
      </c>
      <c r="B952" s="2">
        <v>46170</v>
      </c>
      <c r="C952" t="s">
        <v>59</v>
      </c>
      <c r="D952" t="s">
        <v>49</v>
      </c>
      <c r="E952" t="s">
        <v>50</v>
      </c>
      <c r="F952" t="s">
        <v>244</v>
      </c>
      <c r="G952" t="s">
        <v>57</v>
      </c>
      <c r="H952">
        <v>189</v>
      </c>
      <c r="I952">
        <v>192</v>
      </c>
      <c r="J952">
        <v>17</v>
      </c>
      <c r="K952">
        <v>6.8</v>
      </c>
      <c r="L952">
        <v>31133.03</v>
      </c>
      <c r="M952">
        <v>6.86</v>
      </c>
      <c r="N952">
        <v>178.36</v>
      </c>
      <c r="O952">
        <v>154</v>
      </c>
      <c r="P952" s="2">
        <v>46182</v>
      </c>
      <c r="Q952" s="2">
        <v>46182</v>
      </c>
      <c r="R952" t="s">
        <v>25</v>
      </c>
      <c r="S952" t="s">
        <v>51</v>
      </c>
    </row>
    <row r="953" spans="1:19" x14ac:dyDescent="0.25">
      <c r="A953" t="s">
        <v>1043</v>
      </c>
      <c r="B953" s="2">
        <v>46034</v>
      </c>
      <c r="C953" t="s">
        <v>43</v>
      </c>
      <c r="D953" t="s">
        <v>44</v>
      </c>
      <c r="E953" t="s">
        <v>93</v>
      </c>
      <c r="F953" t="s">
        <v>170</v>
      </c>
      <c r="G953" t="s">
        <v>24</v>
      </c>
      <c r="H953">
        <v>291</v>
      </c>
      <c r="I953">
        <v>235</v>
      </c>
      <c r="J953">
        <v>3</v>
      </c>
      <c r="K953">
        <v>4.0999999999999996</v>
      </c>
      <c r="L953">
        <v>27067.43</v>
      </c>
      <c r="M953">
        <v>4.99</v>
      </c>
      <c r="N953">
        <v>89.82</v>
      </c>
      <c r="O953">
        <v>303</v>
      </c>
      <c r="P953" s="2">
        <v>46041</v>
      </c>
      <c r="Q953" s="2">
        <v>46041</v>
      </c>
      <c r="R953" t="s">
        <v>100</v>
      </c>
      <c r="S953" t="s">
        <v>33</v>
      </c>
    </row>
    <row r="954" spans="1:19" x14ac:dyDescent="0.25">
      <c r="A954" t="s">
        <v>1044</v>
      </c>
      <c r="B954" s="2">
        <v>46063</v>
      </c>
      <c r="C954" t="s">
        <v>53</v>
      </c>
      <c r="D954" t="s">
        <v>54</v>
      </c>
      <c r="E954" t="s">
        <v>131</v>
      </c>
      <c r="F954" t="s">
        <v>71</v>
      </c>
      <c r="G954" t="s">
        <v>32</v>
      </c>
      <c r="H954">
        <v>81</v>
      </c>
      <c r="I954">
        <v>64</v>
      </c>
      <c r="J954">
        <v>0</v>
      </c>
      <c r="K954">
        <v>1.6</v>
      </c>
      <c r="L954">
        <v>10053.76</v>
      </c>
      <c r="M954">
        <v>1.28</v>
      </c>
      <c r="N954">
        <v>25.6</v>
      </c>
      <c r="O954">
        <v>104</v>
      </c>
      <c r="P954" s="2">
        <v>46066</v>
      </c>
      <c r="Q954" s="2">
        <v>46066</v>
      </c>
      <c r="R954" t="s">
        <v>100</v>
      </c>
      <c r="S954" t="s">
        <v>51</v>
      </c>
    </row>
    <row r="955" spans="1:19" x14ac:dyDescent="0.25">
      <c r="A955" t="s">
        <v>1045</v>
      </c>
      <c r="B955" s="2">
        <v>46202</v>
      </c>
      <c r="C955" t="s">
        <v>43</v>
      </c>
      <c r="D955" t="s">
        <v>44</v>
      </c>
      <c r="E955" t="s">
        <v>161</v>
      </c>
      <c r="F955" t="s">
        <v>137</v>
      </c>
      <c r="G955" t="s">
        <v>24</v>
      </c>
      <c r="H955">
        <v>262</v>
      </c>
      <c r="I955">
        <v>247</v>
      </c>
      <c r="J955">
        <v>13</v>
      </c>
      <c r="K955">
        <v>6.1</v>
      </c>
      <c r="L955">
        <v>37616.54</v>
      </c>
      <c r="M955">
        <v>9.7799999999999994</v>
      </c>
      <c r="N955">
        <v>254.28</v>
      </c>
      <c r="O955">
        <v>306</v>
      </c>
      <c r="P955" s="2">
        <v>46211</v>
      </c>
      <c r="Q955" s="2">
        <v>46211</v>
      </c>
      <c r="R955" t="s">
        <v>39</v>
      </c>
      <c r="S955" t="s">
        <v>26</v>
      </c>
    </row>
    <row r="956" spans="1:19" x14ac:dyDescent="0.25">
      <c r="A956" t="s">
        <v>1046</v>
      </c>
      <c r="B956" s="2">
        <v>46078</v>
      </c>
      <c r="C956" t="s">
        <v>53</v>
      </c>
      <c r="D956" t="s">
        <v>54</v>
      </c>
      <c r="E956" t="s">
        <v>131</v>
      </c>
      <c r="F956" t="s">
        <v>197</v>
      </c>
      <c r="G956" t="s">
        <v>24</v>
      </c>
      <c r="H956">
        <v>124</v>
      </c>
      <c r="I956">
        <v>121</v>
      </c>
      <c r="J956">
        <v>9</v>
      </c>
      <c r="K956">
        <v>2.5</v>
      </c>
      <c r="L956">
        <v>14586.83</v>
      </c>
      <c r="M956">
        <v>4.3099999999999996</v>
      </c>
      <c r="N956">
        <v>77.58</v>
      </c>
      <c r="O956">
        <v>134</v>
      </c>
      <c r="P956" s="2">
        <v>46086</v>
      </c>
      <c r="Q956" s="2">
        <v>46086</v>
      </c>
      <c r="R956" t="s">
        <v>100</v>
      </c>
      <c r="S956" t="s">
        <v>72</v>
      </c>
    </row>
    <row r="957" spans="1:19" x14ac:dyDescent="0.25">
      <c r="A957" t="s">
        <v>1047</v>
      </c>
      <c r="B957" s="2">
        <v>46046</v>
      </c>
      <c r="C957" t="s">
        <v>20</v>
      </c>
      <c r="D957" t="s">
        <v>21</v>
      </c>
      <c r="E957" t="s">
        <v>66</v>
      </c>
      <c r="F957" t="s">
        <v>38</v>
      </c>
      <c r="G957" t="s">
        <v>57</v>
      </c>
      <c r="H957">
        <v>112</v>
      </c>
      <c r="I957">
        <v>124</v>
      </c>
      <c r="J957">
        <v>3</v>
      </c>
      <c r="K957">
        <v>6.3</v>
      </c>
      <c r="L957">
        <v>41824.720000000001</v>
      </c>
      <c r="M957">
        <v>3.66</v>
      </c>
      <c r="N957">
        <v>95.16</v>
      </c>
      <c r="O957">
        <v>106</v>
      </c>
      <c r="P957" s="2">
        <v>46048</v>
      </c>
      <c r="Q957" s="2">
        <v>46048</v>
      </c>
      <c r="R957" t="s">
        <v>39</v>
      </c>
      <c r="S957" t="s">
        <v>51</v>
      </c>
    </row>
    <row r="958" spans="1:19" x14ac:dyDescent="0.25">
      <c r="A958" t="s">
        <v>1048</v>
      </c>
      <c r="B958" s="2">
        <v>46084</v>
      </c>
      <c r="C958" t="s">
        <v>80</v>
      </c>
      <c r="D958" t="s">
        <v>21</v>
      </c>
      <c r="E958" t="s">
        <v>66</v>
      </c>
      <c r="F958" t="s">
        <v>64</v>
      </c>
      <c r="G958" t="s">
        <v>32</v>
      </c>
      <c r="H958">
        <v>299</v>
      </c>
      <c r="I958">
        <v>293</v>
      </c>
      <c r="J958">
        <v>24</v>
      </c>
      <c r="K958">
        <v>2.2000000000000002</v>
      </c>
      <c r="L958">
        <v>76184.59</v>
      </c>
      <c r="M958">
        <v>9.0500000000000007</v>
      </c>
      <c r="N958">
        <v>199.1</v>
      </c>
      <c r="O958">
        <v>325</v>
      </c>
      <c r="P958" s="2">
        <v>46091</v>
      </c>
      <c r="Q958" s="2">
        <v>46091</v>
      </c>
      <c r="R958" t="s">
        <v>25</v>
      </c>
      <c r="S958" t="s">
        <v>72</v>
      </c>
    </row>
    <row r="959" spans="1:19" x14ac:dyDescent="0.25">
      <c r="A959" t="s">
        <v>1049</v>
      </c>
      <c r="B959" s="2">
        <v>46075</v>
      </c>
      <c r="C959" t="s">
        <v>43</v>
      </c>
      <c r="D959" t="s">
        <v>44</v>
      </c>
      <c r="E959" t="s">
        <v>93</v>
      </c>
      <c r="F959" t="s">
        <v>135</v>
      </c>
      <c r="G959" t="s">
        <v>57</v>
      </c>
      <c r="H959">
        <v>258</v>
      </c>
      <c r="I959">
        <v>256</v>
      </c>
      <c r="J959">
        <v>13</v>
      </c>
      <c r="K959">
        <v>5.6</v>
      </c>
      <c r="L959">
        <v>26938</v>
      </c>
      <c r="M959">
        <v>7.97</v>
      </c>
      <c r="N959">
        <v>175.34</v>
      </c>
      <c r="O959">
        <v>335</v>
      </c>
      <c r="P959" s="2">
        <v>46079</v>
      </c>
      <c r="Q959" s="2">
        <v>46079</v>
      </c>
      <c r="R959" t="s">
        <v>25</v>
      </c>
      <c r="S959" t="s">
        <v>33</v>
      </c>
    </row>
    <row r="960" spans="1:19" x14ac:dyDescent="0.25">
      <c r="A960" t="s">
        <v>1050</v>
      </c>
      <c r="B960" s="2">
        <v>46029</v>
      </c>
      <c r="C960" t="s">
        <v>80</v>
      </c>
      <c r="D960" t="s">
        <v>21</v>
      </c>
      <c r="E960" t="s">
        <v>66</v>
      </c>
      <c r="F960" t="s">
        <v>83</v>
      </c>
      <c r="G960" t="s">
        <v>24</v>
      </c>
      <c r="H960">
        <v>87</v>
      </c>
      <c r="I960">
        <v>65</v>
      </c>
      <c r="J960">
        <v>1</v>
      </c>
      <c r="K960">
        <v>6.7</v>
      </c>
      <c r="L960">
        <v>16150.53</v>
      </c>
      <c r="M960">
        <v>2.2400000000000002</v>
      </c>
      <c r="N960">
        <v>53.76</v>
      </c>
      <c r="O960">
        <v>75</v>
      </c>
      <c r="P960" s="2">
        <v>46038</v>
      </c>
      <c r="Q960" s="2">
        <v>46039</v>
      </c>
      <c r="R960" t="s">
        <v>25</v>
      </c>
      <c r="S960" t="s">
        <v>26</v>
      </c>
    </row>
    <row r="961" spans="1:19" x14ac:dyDescent="0.25">
      <c r="A961" t="s">
        <v>1051</v>
      </c>
      <c r="B961" s="2">
        <v>46029</v>
      </c>
      <c r="C961" t="s">
        <v>43</v>
      </c>
      <c r="D961" t="s">
        <v>44</v>
      </c>
      <c r="E961" t="s">
        <v>161</v>
      </c>
      <c r="F961" t="s">
        <v>119</v>
      </c>
      <c r="G961" t="s">
        <v>24</v>
      </c>
      <c r="H961">
        <v>160</v>
      </c>
      <c r="I961">
        <v>141</v>
      </c>
      <c r="J961">
        <v>2</v>
      </c>
      <c r="K961">
        <v>8.1999999999999993</v>
      </c>
      <c r="L961">
        <v>18610.759999999998</v>
      </c>
      <c r="M961">
        <v>3.42</v>
      </c>
      <c r="N961">
        <v>61.56</v>
      </c>
      <c r="O961">
        <v>259</v>
      </c>
      <c r="P961" s="2">
        <v>46033</v>
      </c>
      <c r="Q961" s="2">
        <v>46037</v>
      </c>
      <c r="R961" t="s">
        <v>25</v>
      </c>
      <c r="S961" t="s">
        <v>33</v>
      </c>
    </row>
    <row r="962" spans="1:19" x14ac:dyDescent="0.25">
      <c r="A962" t="s">
        <v>1052</v>
      </c>
      <c r="B962" s="2">
        <v>46061</v>
      </c>
      <c r="C962" t="s">
        <v>43</v>
      </c>
      <c r="D962" t="s">
        <v>44</v>
      </c>
      <c r="E962" t="s">
        <v>161</v>
      </c>
      <c r="F962" t="s">
        <v>46</v>
      </c>
      <c r="G962" t="s">
        <v>32</v>
      </c>
      <c r="H962">
        <v>208</v>
      </c>
      <c r="I962">
        <v>205</v>
      </c>
      <c r="J962">
        <v>1</v>
      </c>
      <c r="K962">
        <v>3.4</v>
      </c>
      <c r="L962">
        <v>19746.259999999998</v>
      </c>
      <c r="M962">
        <v>3.82</v>
      </c>
      <c r="N962">
        <v>99.32</v>
      </c>
      <c r="O962">
        <v>180</v>
      </c>
      <c r="P962" s="2">
        <v>46063</v>
      </c>
      <c r="Q962" s="2">
        <v>46063</v>
      </c>
      <c r="R962" t="s">
        <v>25</v>
      </c>
      <c r="S962" t="s">
        <v>86</v>
      </c>
    </row>
    <row r="963" spans="1:19" x14ac:dyDescent="0.25">
      <c r="A963" t="s">
        <v>1053</v>
      </c>
      <c r="B963" s="2">
        <v>46045</v>
      </c>
      <c r="C963" t="s">
        <v>48</v>
      </c>
      <c r="D963" t="s">
        <v>49</v>
      </c>
      <c r="E963" t="s">
        <v>60</v>
      </c>
      <c r="F963" t="s">
        <v>91</v>
      </c>
      <c r="G963" t="s">
        <v>32</v>
      </c>
      <c r="H963">
        <v>212</v>
      </c>
      <c r="I963">
        <v>177</v>
      </c>
      <c r="J963">
        <v>3</v>
      </c>
      <c r="K963">
        <v>3.4</v>
      </c>
      <c r="L963">
        <v>29885.69</v>
      </c>
      <c r="M963">
        <v>6.57</v>
      </c>
      <c r="N963">
        <v>170.82</v>
      </c>
      <c r="O963">
        <v>230</v>
      </c>
      <c r="P963" s="2">
        <v>46052</v>
      </c>
      <c r="Q963" s="2">
        <v>46053</v>
      </c>
      <c r="R963" t="s">
        <v>25</v>
      </c>
      <c r="S963" t="s">
        <v>51</v>
      </c>
    </row>
    <row r="964" spans="1:19" x14ac:dyDescent="0.25">
      <c r="A964" t="s">
        <v>1054</v>
      </c>
      <c r="B964" s="2">
        <v>46170</v>
      </c>
      <c r="C964" t="s">
        <v>35</v>
      </c>
      <c r="D964" t="s">
        <v>36</v>
      </c>
      <c r="E964" t="s">
        <v>37</v>
      </c>
      <c r="F964" t="s">
        <v>197</v>
      </c>
      <c r="G964" t="s">
        <v>24</v>
      </c>
      <c r="H964">
        <v>221</v>
      </c>
      <c r="I964">
        <v>226</v>
      </c>
      <c r="J964">
        <v>13</v>
      </c>
      <c r="K964">
        <v>0.5</v>
      </c>
      <c r="L964">
        <v>18173.14</v>
      </c>
      <c r="M964">
        <v>8.7100000000000009</v>
      </c>
      <c r="N964">
        <v>226.46</v>
      </c>
      <c r="O964">
        <v>298</v>
      </c>
      <c r="P964" s="2">
        <v>46181</v>
      </c>
      <c r="Q964" s="2">
        <v>46182</v>
      </c>
      <c r="R964" t="s">
        <v>25</v>
      </c>
      <c r="S964" t="s">
        <v>26</v>
      </c>
    </row>
    <row r="965" spans="1:19" x14ac:dyDescent="0.25">
      <c r="A965" t="s">
        <v>1055</v>
      </c>
      <c r="B965" s="2">
        <v>46070</v>
      </c>
      <c r="C965" t="s">
        <v>43</v>
      </c>
      <c r="D965" t="s">
        <v>44</v>
      </c>
      <c r="E965" t="s">
        <v>93</v>
      </c>
      <c r="F965" t="s">
        <v>56</v>
      </c>
      <c r="G965" t="s">
        <v>24</v>
      </c>
      <c r="H965">
        <v>95</v>
      </c>
      <c r="I965">
        <v>79</v>
      </c>
      <c r="J965">
        <v>0</v>
      </c>
      <c r="K965">
        <v>1.1000000000000001</v>
      </c>
      <c r="L965">
        <v>9718.24</v>
      </c>
      <c r="M965">
        <v>1.66</v>
      </c>
      <c r="N965">
        <v>43.16</v>
      </c>
      <c r="O965">
        <v>190</v>
      </c>
      <c r="P965" s="2">
        <v>46072</v>
      </c>
      <c r="Q965" s="2">
        <v>46072</v>
      </c>
      <c r="R965" t="s">
        <v>25</v>
      </c>
      <c r="S965" t="s">
        <v>51</v>
      </c>
    </row>
    <row r="966" spans="1:19" x14ac:dyDescent="0.25">
      <c r="A966" t="s">
        <v>1056</v>
      </c>
      <c r="B966" s="2">
        <v>46163</v>
      </c>
      <c r="C966" t="s">
        <v>53</v>
      </c>
      <c r="D966" t="s">
        <v>54</v>
      </c>
      <c r="E966" t="s">
        <v>131</v>
      </c>
      <c r="F966" t="s">
        <v>106</v>
      </c>
      <c r="G966" t="s">
        <v>32</v>
      </c>
      <c r="H966">
        <v>305</v>
      </c>
      <c r="I966">
        <v>341</v>
      </c>
      <c r="J966">
        <v>17</v>
      </c>
      <c r="K966">
        <v>3.4</v>
      </c>
      <c r="L966">
        <v>53752.67</v>
      </c>
      <c r="M966">
        <v>6.66</v>
      </c>
      <c r="N966">
        <v>146.52000000000001</v>
      </c>
      <c r="O966">
        <v>327</v>
      </c>
      <c r="P966" s="2">
        <v>46167</v>
      </c>
      <c r="Q966" s="2">
        <v>46166</v>
      </c>
      <c r="R966" t="s">
        <v>25</v>
      </c>
      <c r="S966" t="s">
        <v>26</v>
      </c>
    </row>
    <row r="967" spans="1:19" x14ac:dyDescent="0.25">
      <c r="A967" t="s">
        <v>1057</v>
      </c>
      <c r="B967" s="2">
        <v>46196</v>
      </c>
      <c r="C967" t="s">
        <v>59</v>
      </c>
      <c r="D967" t="s">
        <v>49</v>
      </c>
      <c r="E967" t="s">
        <v>60</v>
      </c>
      <c r="F967" t="s">
        <v>71</v>
      </c>
      <c r="G967" t="s">
        <v>32</v>
      </c>
      <c r="H967">
        <v>123</v>
      </c>
      <c r="I967">
        <v>116</v>
      </c>
      <c r="J967">
        <v>7</v>
      </c>
      <c r="K967">
        <v>6</v>
      </c>
      <c r="L967">
        <v>17831.080000000002</v>
      </c>
      <c r="M967">
        <v>2.15</v>
      </c>
      <c r="N967">
        <v>51.6</v>
      </c>
      <c r="O967">
        <v>116</v>
      </c>
      <c r="P967" s="2">
        <v>46203</v>
      </c>
      <c r="Q967" s="2">
        <v>46205</v>
      </c>
      <c r="R967" t="s">
        <v>25</v>
      </c>
      <c r="S967" t="s">
        <v>86</v>
      </c>
    </row>
    <row r="968" spans="1:19" x14ac:dyDescent="0.25">
      <c r="A968" t="s">
        <v>1058</v>
      </c>
      <c r="B968" s="2">
        <v>46044</v>
      </c>
      <c r="C968" t="s">
        <v>53</v>
      </c>
      <c r="D968" t="s">
        <v>54</v>
      </c>
      <c r="E968" t="s">
        <v>55</v>
      </c>
      <c r="F968" t="s">
        <v>112</v>
      </c>
      <c r="G968" t="s">
        <v>24</v>
      </c>
      <c r="H968">
        <v>290</v>
      </c>
      <c r="I968">
        <v>257</v>
      </c>
      <c r="J968">
        <v>23</v>
      </c>
      <c r="K968">
        <v>5.7</v>
      </c>
      <c r="L968">
        <v>36024.120000000003</v>
      </c>
      <c r="M968">
        <v>6.93</v>
      </c>
      <c r="N968">
        <v>152.46</v>
      </c>
      <c r="O968">
        <v>260</v>
      </c>
      <c r="P968" s="2">
        <v>46048</v>
      </c>
      <c r="Q968" s="2">
        <v>46050</v>
      </c>
      <c r="R968" t="s">
        <v>25</v>
      </c>
      <c r="S968" t="s">
        <v>86</v>
      </c>
    </row>
    <row r="969" spans="1:19" x14ac:dyDescent="0.25">
      <c r="A969" t="s">
        <v>1059</v>
      </c>
      <c r="B969" s="2">
        <v>46110</v>
      </c>
      <c r="C969" t="s">
        <v>43</v>
      </c>
      <c r="D969" t="s">
        <v>44</v>
      </c>
      <c r="E969" t="s">
        <v>161</v>
      </c>
      <c r="F969" t="s">
        <v>112</v>
      </c>
      <c r="G969" t="s">
        <v>57</v>
      </c>
      <c r="H969">
        <v>129</v>
      </c>
      <c r="I969">
        <v>146</v>
      </c>
      <c r="J969">
        <v>12</v>
      </c>
      <c r="K969">
        <v>0.2</v>
      </c>
      <c r="L969">
        <v>14107.25</v>
      </c>
      <c r="M969">
        <v>4.07</v>
      </c>
      <c r="N969">
        <v>89.54</v>
      </c>
      <c r="O969">
        <v>163</v>
      </c>
      <c r="P969" s="2">
        <v>46120</v>
      </c>
      <c r="Q969" s="2">
        <v>46118</v>
      </c>
      <c r="R969" t="s">
        <v>25</v>
      </c>
      <c r="S969" t="s">
        <v>86</v>
      </c>
    </row>
    <row r="970" spans="1:19" x14ac:dyDescent="0.25">
      <c r="A970" t="s">
        <v>1060</v>
      </c>
      <c r="B970" s="2">
        <v>46084</v>
      </c>
      <c r="C970" t="s">
        <v>43</v>
      </c>
      <c r="D970" t="s">
        <v>44</v>
      </c>
      <c r="E970" t="s">
        <v>161</v>
      </c>
      <c r="F970" t="s">
        <v>67</v>
      </c>
      <c r="G970" t="s">
        <v>57</v>
      </c>
      <c r="H970">
        <v>164</v>
      </c>
      <c r="I970">
        <v>169</v>
      </c>
      <c r="J970">
        <v>2</v>
      </c>
      <c r="K970">
        <v>5.5</v>
      </c>
      <c r="L970">
        <v>22251.27</v>
      </c>
      <c r="M970">
        <v>4.42</v>
      </c>
      <c r="N970">
        <v>97.24</v>
      </c>
      <c r="O970">
        <v>138</v>
      </c>
      <c r="P970" s="2">
        <v>46090</v>
      </c>
      <c r="Q970" s="2">
        <v>46090</v>
      </c>
      <c r="R970" t="s">
        <v>25</v>
      </c>
      <c r="S970" t="s">
        <v>51</v>
      </c>
    </row>
    <row r="971" spans="1:19" x14ac:dyDescent="0.25">
      <c r="A971" t="s">
        <v>1061</v>
      </c>
      <c r="B971" s="2">
        <v>46113</v>
      </c>
      <c r="C971" t="s">
        <v>28</v>
      </c>
      <c r="D971" t="s">
        <v>29</v>
      </c>
      <c r="E971" t="s">
        <v>30</v>
      </c>
      <c r="F971" t="s">
        <v>74</v>
      </c>
      <c r="G971" t="s">
        <v>24</v>
      </c>
      <c r="H971">
        <v>145</v>
      </c>
      <c r="I971">
        <v>141</v>
      </c>
      <c r="J971">
        <v>11</v>
      </c>
      <c r="K971">
        <v>1.1000000000000001</v>
      </c>
      <c r="L971">
        <v>37747.769999999997</v>
      </c>
      <c r="M971">
        <v>5.27</v>
      </c>
      <c r="N971">
        <v>94.86</v>
      </c>
      <c r="O971">
        <v>129</v>
      </c>
      <c r="P971" s="2">
        <v>46124</v>
      </c>
      <c r="Q971" s="2">
        <v>46128</v>
      </c>
      <c r="R971" t="s">
        <v>39</v>
      </c>
      <c r="S971" t="s">
        <v>33</v>
      </c>
    </row>
    <row r="972" spans="1:19" x14ac:dyDescent="0.25">
      <c r="A972" t="s">
        <v>1062</v>
      </c>
      <c r="B972" s="2">
        <v>46162</v>
      </c>
      <c r="C972" t="s">
        <v>80</v>
      </c>
      <c r="D972" t="s">
        <v>21</v>
      </c>
      <c r="E972" t="s">
        <v>66</v>
      </c>
      <c r="F972" t="s">
        <v>88</v>
      </c>
      <c r="G972" t="s">
        <v>24</v>
      </c>
      <c r="H972">
        <v>130</v>
      </c>
      <c r="I972">
        <v>107</v>
      </c>
      <c r="J972">
        <v>1</v>
      </c>
      <c r="K972">
        <v>6.1</v>
      </c>
      <c r="L972">
        <v>25677.37</v>
      </c>
      <c r="M972">
        <v>3.58</v>
      </c>
      <c r="N972">
        <v>71.599999999999994</v>
      </c>
      <c r="O972">
        <v>100</v>
      </c>
      <c r="P972" s="2">
        <v>46170</v>
      </c>
      <c r="Q972" s="2">
        <v>46168</v>
      </c>
      <c r="R972" t="s">
        <v>25</v>
      </c>
      <c r="S972" t="s">
        <v>26</v>
      </c>
    </row>
    <row r="973" spans="1:19" x14ac:dyDescent="0.25">
      <c r="A973" t="s">
        <v>1063</v>
      </c>
      <c r="B973" s="2">
        <v>46150</v>
      </c>
      <c r="C973" t="s">
        <v>48</v>
      </c>
      <c r="D973" t="s">
        <v>49</v>
      </c>
      <c r="E973" t="s">
        <v>76</v>
      </c>
      <c r="F973" t="s">
        <v>114</v>
      </c>
      <c r="G973" t="s">
        <v>57</v>
      </c>
      <c r="H973">
        <v>104</v>
      </c>
      <c r="I973">
        <v>95</v>
      </c>
      <c r="J973">
        <v>4</v>
      </c>
      <c r="K973">
        <v>3.7</v>
      </c>
      <c r="L973">
        <v>21248.73</v>
      </c>
      <c r="M973">
        <v>3.74</v>
      </c>
      <c r="N973">
        <v>67.319999999999993</v>
      </c>
      <c r="O973">
        <v>111</v>
      </c>
      <c r="P973" s="2">
        <v>46155</v>
      </c>
      <c r="Q973" s="2">
        <v>46153</v>
      </c>
      <c r="R973" t="s">
        <v>25</v>
      </c>
      <c r="S973" t="s">
        <v>86</v>
      </c>
    </row>
    <row r="974" spans="1:19" x14ac:dyDescent="0.25">
      <c r="A974" t="s">
        <v>1064</v>
      </c>
      <c r="B974" s="2">
        <v>46129</v>
      </c>
      <c r="C974" t="s">
        <v>20</v>
      </c>
      <c r="D974" t="s">
        <v>21</v>
      </c>
      <c r="E974" t="s">
        <v>66</v>
      </c>
      <c r="F974" t="s">
        <v>67</v>
      </c>
      <c r="G974" t="s">
        <v>57</v>
      </c>
      <c r="H974">
        <v>112</v>
      </c>
      <c r="I974">
        <v>120</v>
      </c>
      <c r="J974">
        <v>6</v>
      </c>
      <c r="K974">
        <v>0.1</v>
      </c>
      <c r="L974">
        <v>39651.89</v>
      </c>
      <c r="M974">
        <v>3.99</v>
      </c>
      <c r="N974">
        <v>95.76</v>
      </c>
      <c r="O974">
        <v>139</v>
      </c>
      <c r="P974" s="2">
        <v>46135</v>
      </c>
      <c r="Q974" s="2">
        <v>46134</v>
      </c>
      <c r="R974" t="s">
        <v>100</v>
      </c>
      <c r="S974" t="s">
        <v>26</v>
      </c>
    </row>
    <row r="975" spans="1:19" x14ac:dyDescent="0.25">
      <c r="A975" t="s">
        <v>1065</v>
      </c>
      <c r="B975" s="2">
        <v>46197</v>
      </c>
      <c r="C975" t="s">
        <v>28</v>
      </c>
      <c r="D975" t="s">
        <v>29</v>
      </c>
      <c r="E975" t="s">
        <v>95</v>
      </c>
      <c r="F975" t="s">
        <v>23</v>
      </c>
      <c r="G975" t="s">
        <v>32</v>
      </c>
      <c r="H975">
        <v>174</v>
      </c>
      <c r="I975">
        <v>170</v>
      </c>
      <c r="J975">
        <v>6</v>
      </c>
      <c r="K975">
        <v>8</v>
      </c>
      <c r="L975">
        <v>33847.86</v>
      </c>
      <c r="M975">
        <v>6.36</v>
      </c>
      <c r="N975">
        <v>165.36</v>
      </c>
      <c r="O975">
        <v>207</v>
      </c>
      <c r="P975" s="2">
        <v>46200</v>
      </c>
      <c r="Q975" s="2">
        <v>46200</v>
      </c>
      <c r="R975" t="s">
        <v>25</v>
      </c>
      <c r="S975" t="s">
        <v>26</v>
      </c>
    </row>
    <row r="976" spans="1:19" x14ac:dyDescent="0.25">
      <c r="A976" t="s">
        <v>1066</v>
      </c>
      <c r="B976" s="2">
        <v>46145</v>
      </c>
      <c r="C976" t="s">
        <v>48</v>
      </c>
      <c r="D976" t="s">
        <v>49</v>
      </c>
      <c r="E976" t="s">
        <v>50</v>
      </c>
      <c r="F976" t="s">
        <v>74</v>
      </c>
      <c r="G976" t="s">
        <v>32</v>
      </c>
      <c r="H976">
        <v>230</v>
      </c>
      <c r="I976">
        <v>179</v>
      </c>
      <c r="J976">
        <v>16</v>
      </c>
      <c r="K976">
        <v>1.8</v>
      </c>
      <c r="L976">
        <v>36210.67</v>
      </c>
      <c r="M976">
        <v>4.1500000000000004</v>
      </c>
      <c r="N976">
        <v>107.9</v>
      </c>
      <c r="O976">
        <v>319</v>
      </c>
      <c r="P976" s="2">
        <v>46149</v>
      </c>
      <c r="Q976" s="2">
        <v>46148</v>
      </c>
      <c r="R976" t="s">
        <v>25</v>
      </c>
      <c r="S976" t="s">
        <v>86</v>
      </c>
    </row>
    <row r="977" spans="1:19" x14ac:dyDescent="0.25">
      <c r="A977" t="s">
        <v>1067</v>
      </c>
      <c r="B977" s="2">
        <v>46109</v>
      </c>
      <c r="C977" t="s">
        <v>35</v>
      </c>
      <c r="D977" t="s">
        <v>36</v>
      </c>
      <c r="E977" t="s">
        <v>37</v>
      </c>
      <c r="F977" t="s">
        <v>23</v>
      </c>
      <c r="G977" t="s">
        <v>32</v>
      </c>
      <c r="H977">
        <v>103</v>
      </c>
      <c r="I977">
        <v>85</v>
      </c>
      <c r="J977">
        <v>0</v>
      </c>
      <c r="K977">
        <v>6.7</v>
      </c>
      <c r="L977">
        <v>7636.93</v>
      </c>
      <c r="M977">
        <v>2.62</v>
      </c>
      <c r="N977">
        <v>47.16</v>
      </c>
      <c r="O977">
        <v>156</v>
      </c>
      <c r="P977" s="2">
        <v>46121</v>
      </c>
      <c r="Q977" s="2">
        <v>46119</v>
      </c>
      <c r="R977" t="s">
        <v>25</v>
      </c>
      <c r="S977" t="s">
        <v>72</v>
      </c>
    </row>
    <row r="978" spans="1:19" x14ac:dyDescent="0.25">
      <c r="A978" t="s">
        <v>1068</v>
      </c>
      <c r="B978" s="2">
        <v>46132</v>
      </c>
      <c r="C978" t="s">
        <v>35</v>
      </c>
      <c r="D978" t="s">
        <v>36</v>
      </c>
      <c r="E978" t="s">
        <v>37</v>
      </c>
      <c r="F978" t="s">
        <v>46</v>
      </c>
      <c r="G978" t="s">
        <v>32</v>
      </c>
      <c r="H978">
        <v>212</v>
      </c>
      <c r="I978">
        <v>215</v>
      </c>
      <c r="J978">
        <v>3</v>
      </c>
      <c r="K978">
        <v>1.2</v>
      </c>
      <c r="L978">
        <v>18981.330000000002</v>
      </c>
      <c r="M978">
        <v>4.09</v>
      </c>
      <c r="N978">
        <v>81.8</v>
      </c>
      <c r="O978">
        <v>186</v>
      </c>
      <c r="P978" s="2">
        <v>46142</v>
      </c>
      <c r="Q978" s="2">
        <v>46142</v>
      </c>
      <c r="R978" t="s">
        <v>25</v>
      </c>
      <c r="S978" t="s">
        <v>26</v>
      </c>
    </row>
    <row r="979" spans="1:19" x14ac:dyDescent="0.25">
      <c r="A979" t="s">
        <v>1069</v>
      </c>
      <c r="B979" s="2">
        <v>46045</v>
      </c>
      <c r="C979" t="s">
        <v>80</v>
      </c>
      <c r="D979" t="s">
        <v>21</v>
      </c>
      <c r="E979" t="s">
        <v>90</v>
      </c>
      <c r="F979" t="s">
        <v>85</v>
      </c>
      <c r="G979" t="s">
        <v>24</v>
      </c>
      <c r="H979">
        <v>119</v>
      </c>
      <c r="I979">
        <v>120</v>
      </c>
      <c r="J979">
        <v>1</v>
      </c>
      <c r="K979">
        <v>8.5</v>
      </c>
      <c r="L979">
        <v>32174.1</v>
      </c>
      <c r="M979">
        <v>4.37</v>
      </c>
      <c r="N979">
        <v>96.14</v>
      </c>
      <c r="O979">
        <v>166</v>
      </c>
      <c r="P979" s="2">
        <v>46052</v>
      </c>
      <c r="Q979" s="2">
        <v>46050</v>
      </c>
      <c r="R979" t="s">
        <v>100</v>
      </c>
      <c r="S979" t="s">
        <v>51</v>
      </c>
    </row>
    <row r="980" spans="1:19" x14ac:dyDescent="0.25">
      <c r="A980" t="s">
        <v>1070</v>
      </c>
      <c r="B980" s="2">
        <v>46134</v>
      </c>
      <c r="C980" t="s">
        <v>20</v>
      </c>
      <c r="D980" t="s">
        <v>21</v>
      </c>
      <c r="E980" t="s">
        <v>90</v>
      </c>
      <c r="F980" t="s">
        <v>125</v>
      </c>
      <c r="G980" t="s">
        <v>24</v>
      </c>
      <c r="H980">
        <v>240</v>
      </c>
      <c r="I980">
        <v>260</v>
      </c>
      <c r="J980">
        <v>11</v>
      </c>
      <c r="K980">
        <v>5.0999999999999996</v>
      </c>
      <c r="L980">
        <v>99526.57</v>
      </c>
      <c r="M980">
        <v>10.82</v>
      </c>
      <c r="N980">
        <v>238.04</v>
      </c>
      <c r="O980">
        <v>274</v>
      </c>
      <c r="P980" s="2">
        <v>46136</v>
      </c>
      <c r="Q980" s="2">
        <v>46135</v>
      </c>
      <c r="R980" t="s">
        <v>25</v>
      </c>
      <c r="S980" t="s">
        <v>33</v>
      </c>
    </row>
    <row r="981" spans="1:19" x14ac:dyDescent="0.25">
      <c r="A981" t="s">
        <v>1071</v>
      </c>
      <c r="B981" s="2">
        <v>46158</v>
      </c>
      <c r="C981" t="s">
        <v>53</v>
      </c>
      <c r="D981" t="s">
        <v>54</v>
      </c>
      <c r="E981" t="s">
        <v>55</v>
      </c>
      <c r="F981" t="s">
        <v>112</v>
      </c>
      <c r="G981" t="s">
        <v>57</v>
      </c>
      <c r="H981">
        <v>167</v>
      </c>
      <c r="I981">
        <v>141</v>
      </c>
      <c r="J981">
        <v>6</v>
      </c>
      <c r="K981">
        <v>6</v>
      </c>
      <c r="L981">
        <v>22671.98</v>
      </c>
      <c r="M981">
        <v>3</v>
      </c>
      <c r="N981">
        <v>54</v>
      </c>
      <c r="O981">
        <v>181</v>
      </c>
      <c r="P981" s="2">
        <v>46163</v>
      </c>
      <c r="Q981" s="2">
        <v>46164</v>
      </c>
      <c r="R981" t="s">
        <v>39</v>
      </c>
      <c r="S981" t="s">
        <v>33</v>
      </c>
    </row>
    <row r="982" spans="1:19" x14ac:dyDescent="0.25">
      <c r="A982" t="s">
        <v>1072</v>
      </c>
      <c r="B982" s="2">
        <v>46049</v>
      </c>
      <c r="C982" t="s">
        <v>48</v>
      </c>
      <c r="D982" t="s">
        <v>49</v>
      </c>
      <c r="E982" t="s">
        <v>76</v>
      </c>
      <c r="F982" t="s">
        <v>106</v>
      </c>
      <c r="G982" t="s">
        <v>32</v>
      </c>
      <c r="H982">
        <v>256</v>
      </c>
      <c r="I982">
        <v>260</v>
      </c>
      <c r="J982">
        <v>15</v>
      </c>
      <c r="K982">
        <v>0.4</v>
      </c>
      <c r="L982">
        <v>50394.63</v>
      </c>
      <c r="M982">
        <v>9.1</v>
      </c>
      <c r="N982">
        <v>200.2</v>
      </c>
      <c r="O982">
        <v>289</v>
      </c>
      <c r="P982" s="2">
        <v>46060</v>
      </c>
      <c r="Q982" s="2">
        <v>46060</v>
      </c>
      <c r="R982" t="s">
        <v>25</v>
      </c>
      <c r="S982" t="s">
        <v>86</v>
      </c>
    </row>
    <row r="983" spans="1:19" x14ac:dyDescent="0.25">
      <c r="A983" t="s">
        <v>1073</v>
      </c>
      <c r="B983" s="2">
        <v>46172</v>
      </c>
      <c r="C983" t="s">
        <v>43</v>
      </c>
      <c r="D983" t="s">
        <v>44</v>
      </c>
      <c r="E983" t="s">
        <v>161</v>
      </c>
      <c r="F983" t="s">
        <v>137</v>
      </c>
      <c r="G983" t="s">
        <v>32</v>
      </c>
      <c r="H983">
        <v>273</v>
      </c>
      <c r="I983">
        <v>266</v>
      </c>
      <c r="J983">
        <v>15</v>
      </c>
      <c r="K983">
        <v>8.5</v>
      </c>
      <c r="L983">
        <v>31368.38</v>
      </c>
      <c r="M983">
        <v>9.9499999999999993</v>
      </c>
      <c r="N983">
        <v>218.9</v>
      </c>
      <c r="O983">
        <v>349</v>
      </c>
      <c r="P983" s="2">
        <v>46175</v>
      </c>
      <c r="Q983" s="2">
        <v>46175</v>
      </c>
      <c r="R983" t="s">
        <v>25</v>
      </c>
      <c r="S983" t="s">
        <v>26</v>
      </c>
    </row>
    <row r="984" spans="1:19" x14ac:dyDescent="0.25">
      <c r="A984" t="s">
        <v>1074</v>
      </c>
      <c r="B984" s="2">
        <v>46121</v>
      </c>
      <c r="C984" t="s">
        <v>28</v>
      </c>
      <c r="D984" t="s">
        <v>29</v>
      </c>
      <c r="E984" t="s">
        <v>63</v>
      </c>
      <c r="F984" t="s">
        <v>61</v>
      </c>
      <c r="G984" t="s">
        <v>57</v>
      </c>
      <c r="H984">
        <v>164</v>
      </c>
      <c r="I984">
        <v>157</v>
      </c>
      <c r="J984">
        <v>4</v>
      </c>
      <c r="K984">
        <v>7</v>
      </c>
      <c r="L984">
        <v>41655.49</v>
      </c>
      <c r="M984">
        <v>5.81</v>
      </c>
      <c r="N984">
        <v>116.2</v>
      </c>
      <c r="O984">
        <v>168</v>
      </c>
      <c r="P984" s="2">
        <v>46126</v>
      </c>
      <c r="Q984" s="2">
        <v>46125</v>
      </c>
      <c r="R984" t="s">
        <v>25</v>
      </c>
      <c r="S984" t="s">
        <v>86</v>
      </c>
    </row>
    <row r="985" spans="1:19" x14ac:dyDescent="0.25">
      <c r="A985" t="s">
        <v>1075</v>
      </c>
      <c r="B985" s="2">
        <v>46059</v>
      </c>
      <c r="C985" t="s">
        <v>35</v>
      </c>
      <c r="D985" t="s">
        <v>36</v>
      </c>
      <c r="E985" t="s">
        <v>69</v>
      </c>
      <c r="F985" t="s">
        <v>110</v>
      </c>
      <c r="G985" t="s">
        <v>32</v>
      </c>
      <c r="H985">
        <v>224</v>
      </c>
      <c r="I985">
        <v>215</v>
      </c>
      <c r="J985">
        <v>19</v>
      </c>
      <c r="K985">
        <v>3.7</v>
      </c>
      <c r="L985">
        <v>24002.83</v>
      </c>
      <c r="M985">
        <v>6.31</v>
      </c>
      <c r="N985">
        <v>151.44</v>
      </c>
      <c r="O985">
        <v>214</v>
      </c>
      <c r="P985" s="2">
        <v>46068</v>
      </c>
      <c r="Q985" s="2">
        <v>46070</v>
      </c>
      <c r="R985" t="s">
        <v>25</v>
      </c>
      <c r="S985" t="s">
        <v>51</v>
      </c>
    </row>
    <row r="986" spans="1:19" x14ac:dyDescent="0.25">
      <c r="A986" t="s">
        <v>1076</v>
      </c>
      <c r="B986" s="2">
        <v>46078</v>
      </c>
      <c r="C986" t="s">
        <v>59</v>
      </c>
      <c r="D986" t="s">
        <v>49</v>
      </c>
      <c r="E986" t="s">
        <v>60</v>
      </c>
      <c r="F986" t="s">
        <v>61</v>
      </c>
      <c r="G986" t="s">
        <v>57</v>
      </c>
      <c r="H986">
        <v>265</v>
      </c>
      <c r="I986">
        <v>216</v>
      </c>
      <c r="J986">
        <v>12</v>
      </c>
      <c r="K986">
        <v>2.9</v>
      </c>
      <c r="L986">
        <v>44285.72</v>
      </c>
      <c r="M986">
        <v>7.26</v>
      </c>
      <c r="N986">
        <v>188.76</v>
      </c>
      <c r="O986">
        <v>260</v>
      </c>
      <c r="P986" s="2">
        <v>46090</v>
      </c>
      <c r="Q986" s="2">
        <v>46088</v>
      </c>
      <c r="R986" t="s">
        <v>25</v>
      </c>
      <c r="S986" t="s">
        <v>86</v>
      </c>
    </row>
    <row r="987" spans="1:19" x14ac:dyDescent="0.25">
      <c r="A987" t="s">
        <v>1077</v>
      </c>
      <c r="B987" s="2">
        <v>46127</v>
      </c>
      <c r="C987" t="s">
        <v>20</v>
      </c>
      <c r="D987" t="s">
        <v>21</v>
      </c>
      <c r="E987" t="s">
        <v>22</v>
      </c>
      <c r="F987" t="s">
        <v>41</v>
      </c>
      <c r="G987" t="s">
        <v>32</v>
      </c>
      <c r="H987">
        <v>310</v>
      </c>
      <c r="I987">
        <v>315</v>
      </c>
      <c r="J987">
        <v>18</v>
      </c>
      <c r="K987">
        <v>3.1</v>
      </c>
      <c r="L987">
        <v>113521.09</v>
      </c>
      <c r="M987">
        <v>6.78</v>
      </c>
      <c r="N987">
        <v>176.28</v>
      </c>
      <c r="O987">
        <v>361</v>
      </c>
      <c r="P987" s="2">
        <v>46137</v>
      </c>
      <c r="Q987" s="2">
        <v>46137</v>
      </c>
      <c r="R987" t="s">
        <v>100</v>
      </c>
      <c r="S987" t="s">
        <v>33</v>
      </c>
    </row>
    <row r="988" spans="1:19" x14ac:dyDescent="0.25">
      <c r="A988" t="s">
        <v>1078</v>
      </c>
      <c r="B988" s="2">
        <v>46163</v>
      </c>
      <c r="C988" t="s">
        <v>35</v>
      </c>
      <c r="D988" t="s">
        <v>36</v>
      </c>
      <c r="E988" t="s">
        <v>69</v>
      </c>
      <c r="F988" t="s">
        <v>96</v>
      </c>
      <c r="G988" t="s">
        <v>57</v>
      </c>
      <c r="H988">
        <v>168</v>
      </c>
      <c r="I988">
        <v>150</v>
      </c>
      <c r="J988">
        <v>1</v>
      </c>
      <c r="K988">
        <v>7.5</v>
      </c>
      <c r="L988">
        <v>11344.32</v>
      </c>
      <c r="M988">
        <v>4.2300000000000004</v>
      </c>
      <c r="N988">
        <v>84.6</v>
      </c>
      <c r="O988">
        <v>176</v>
      </c>
      <c r="P988" s="2">
        <v>46173</v>
      </c>
      <c r="Q988" s="2">
        <v>46174</v>
      </c>
      <c r="R988" t="s">
        <v>39</v>
      </c>
      <c r="S988" t="s">
        <v>86</v>
      </c>
    </row>
    <row r="989" spans="1:19" x14ac:dyDescent="0.25">
      <c r="A989" t="s">
        <v>1079</v>
      </c>
      <c r="B989" s="2">
        <v>46072</v>
      </c>
      <c r="C989" t="s">
        <v>59</v>
      </c>
      <c r="D989" t="s">
        <v>49</v>
      </c>
      <c r="E989" t="s">
        <v>76</v>
      </c>
      <c r="F989" t="s">
        <v>135</v>
      </c>
      <c r="G989" t="s">
        <v>24</v>
      </c>
      <c r="H989">
        <v>218</v>
      </c>
      <c r="I989">
        <v>170</v>
      </c>
      <c r="J989">
        <v>9</v>
      </c>
      <c r="K989">
        <v>7</v>
      </c>
      <c r="L989">
        <v>31383.119999999999</v>
      </c>
      <c r="M989">
        <v>6.73</v>
      </c>
      <c r="N989">
        <v>121.14</v>
      </c>
      <c r="O989">
        <v>220</v>
      </c>
      <c r="P989" s="2">
        <v>46081</v>
      </c>
      <c r="Q989" s="2">
        <v>46081</v>
      </c>
      <c r="R989" t="s">
        <v>25</v>
      </c>
      <c r="S989" t="s">
        <v>26</v>
      </c>
    </row>
    <row r="990" spans="1:19" x14ac:dyDescent="0.25">
      <c r="A990" t="s">
        <v>1080</v>
      </c>
      <c r="B990" s="2">
        <v>46134</v>
      </c>
      <c r="C990" t="s">
        <v>35</v>
      </c>
      <c r="D990" t="s">
        <v>36</v>
      </c>
      <c r="E990" t="s">
        <v>69</v>
      </c>
      <c r="F990" t="s">
        <v>46</v>
      </c>
      <c r="G990" t="s">
        <v>24</v>
      </c>
      <c r="H990">
        <v>96</v>
      </c>
      <c r="I990">
        <v>110</v>
      </c>
      <c r="J990">
        <v>1</v>
      </c>
      <c r="K990">
        <v>8.8000000000000007</v>
      </c>
      <c r="L990">
        <v>8941.86</v>
      </c>
      <c r="M990">
        <v>2.19</v>
      </c>
      <c r="N990">
        <v>43.8</v>
      </c>
      <c r="O990">
        <v>141</v>
      </c>
      <c r="P990" s="2">
        <v>46136</v>
      </c>
      <c r="Q990" s="2">
        <v>46134</v>
      </c>
      <c r="R990" t="s">
        <v>25</v>
      </c>
      <c r="S990" t="s">
        <v>33</v>
      </c>
    </row>
    <row r="991" spans="1:19" x14ac:dyDescent="0.25">
      <c r="A991" t="s">
        <v>1081</v>
      </c>
      <c r="B991" s="2">
        <v>46179</v>
      </c>
      <c r="C991" t="s">
        <v>59</v>
      </c>
      <c r="D991" t="s">
        <v>49</v>
      </c>
      <c r="E991" t="s">
        <v>50</v>
      </c>
      <c r="F991" t="s">
        <v>110</v>
      </c>
      <c r="G991" t="s">
        <v>57</v>
      </c>
      <c r="H991">
        <v>155</v>
      </c>
      <c r="I991">
        <v>153</v>
      </c>
      <c r="J991">
        <v>1</v>
      </c>
      <c r="K991">
        <v>6.6</v>
      </c>
      <c r="L991">
        <v>21877.23</v>
      </c>
      <c r="M991">
        <v>3.4</v>
      </c>
      <c r="N991">
        <v>88.4</v>
      </c>
      <c r="O991">
        <v>165</v>
      </c>
      <c r="P991" s="2">
        <v>46190</v>
      </c>
      <c r="Q991" s="2">
        <v>46194</v>
      </c>
      <c r="R991" t="s">
        <v>100</v>
      </c>
      <c r="S991" t="s">
        <v>33</v>
      </c>
    </row>
    <row r="992" spans="1:19" x14ac:dyDescent="0.25">
      <c r="A992" t="s">
        <v>1082</v>
      </c>
      <c r="B992" s="2">
        <v>46117</v>
      </c>
      <c r="C992" t="s">
        <v>28</v>
      </c>
      <c r="D992" t="s">
        <v>29</v>
      </c>
      <c r="E992" t="s">
        <v>30</v>
      </c>
      <c r="F992" t="s">
        <v>104</v>
      </c>
      <c r="G992" t="s">
        <v>57</v>
      </c>
      <c r="H992">
        <v>151</v>
      </c>
      <c r="I992">
        <v>126</v>
      </c>
      <c r="J992">
        <v>10</v>
      </c>
      <c r="K992">
        <v>4</v>
      </c>
      <c r="L992">
        <v>28955.94</v>
      </c>
      <c r="M992">
        <v>2.44</v>
      </c>
      <c r="N992">
        <v>58.56</v>
      </c>
      <c r="O992">
        <v>146</v>
      </c>
      <c r="P992" s="2">
        <v>46125</v>
      </c>
      <c r="Q992" s="2">
        <v>46127</v>
      </c>
      <c r="R992" t="s">
        <v>25</v>
      </c>
      <c r="S992" t="s">
        <v>86</v>
      </c>
    </row>
    <row r="993" spans="1:19" x14ac:dyDescent="0.25">
      <c r="A993" t="s">
        <v>1083</v>
      </c>
      <c r="B993" s="2">
        <v>46027</v>
      </c>
      <c r="C993" t="s">
        <v>20</v>
      </c>
      <c r="D993" t="s">
        <v>21</v>
      </c>
      <c r="E993" t="s">
        <v>66</v>
      </c>
      <c r="F993" t="s">
        <v>67</v>
      </c>
      <c r="G993" t="s">
        <v>24</v>
      </c>
      <c r="H993">
        <v>303</v>
      </c>
      <c r="I993">
        <v>282</v>
      </c>
      <c r="J993">
        <v>17</v>
      </c>
      <c r="K993">
        <v>4.3</v>
      </c>
      <c r="L993">
        <v>76928.84</v>
      </c>
      <c r="M993">
        <v>6.17</v>
      </c>
      <c r="N993">
        <v>160.41999999999999</v>
      </c>
      <c r="O993">
        <v>280</v>
      </c>
      <c r="P993" s="2">
        <v>46033</v>
      </c>
      <c r="Q993" s="2">
        <v>46031</v>
      </c>
      <c r="R993" t="s">
        <v>100</v>
      </c>
      <c r="S993" t="s">
        <v>26</v>
      </c>
    </row>
    <row r="994" spans="1:19" x14ac:dyDescent="0.25">
      <c r="A994" t="s">
        <v>1084</v>
      </c>
      <c r="B994" s="2">
        <v>46090</v>
      </c>
      <c r="C994" t="s">
        <v>20</v>
      </c>
      <c r="D994" t="s">
        <v>21</v>
      </c>
      <c r="E994" t="s">
        <v>22</v>
      </c>
      <c r="F994" t="s">
        <v>74</v>
      </c>
      <c r="G994" t="s">
        <v>24</v>
      </c>
      <c r="H994">
        <v>130</v>
      </c>
      <c r="I994">
        <v>104</v>
      </c>
      <c r="J994">
        <v>2</v>
      </c>
      <c r="K994">
        <v>8.4</v>
      </c>
      <c r="L994">
        <v>37238.22</v>
      </c>
      <c r="M994">
        <v>3.66</v>
      </c>
      <c r="N994">
        <v>73.2</v>
      </c>
      <c r="O994">
        <v>141</v>
      </c>
      <c r="P994" s="2">
        <v>46097</v>
      </c>
      <c r="Q994" s="2">
        <v>46099</v>
      </c>
      <c r="R994" t="s">
        <v>25</v>
      </c>
      <c r="S994" t="s">
        <v>33</v>
      </c>
    </row>
    <row r="995" spans="1:19" x14ac:dyDescent="0.25">
      <c r="A995" t="s">
        <v>1085</v>
      </c>
      <c r="B995" s="2">
        <v>46141</v>
      </c>
      <c r="C995" t="s">
        <v>80</v>
      </c>
      <c r="D995" t="s">
        <v>21</v>
      </c>
      <c r="E995" t="s">
        <v>22</v>
      </c>
      <c r="F995" t="s">
        <v>74</v>
      </c>
      <c r="G995" t="s">
        <v>32</v>
      </c>
      <c r="H995">
        <v>297</v>
      </c>
      <c r="I995">
        <v>341</v>
      </c>
      <c r="J995">
        <v>29</v>
      </c>
      <c r="K995">
        <v>6.1</v>
      </c>
      <c r="L995">
        <v>70195.44</v>
      </c>
      <c r="M995">
        <v>9.25</v>
      </c>
      <c r="N995">
        <v>185</v>
      </c>
      <c r="O995">
        <v>365</v>
      </c>
      <c r="P995" s="2">
        <v>46146</v>
      </c>
      <c r="Q995" s="2">
        <v>46147</v>
      </c>
      <c r="R995" t="s">
        <v>25</v>
      </c>
      <c r="S995" t="s">
        <v>26</v>
      </c>
    </row>
    <row r="996" spans="1:19" x14ac:dyDescent="0.25">
      <c r="A996" t="s">
        <v>1086</v>
      </c>
      <c r="B996" s="2">
        <v>46169</v>
      </c>
      <c r="C996" t="s">
        <v>48</v>
      </c>
      <c r="D996" t="s">
        <v>49</v>
      </c>
      <c r="E996" t="s">
        <v>76</v>
      </c>
      <c r="F996" t="s">
        <v>125</v>
      </c>
      <c r="G996" t="s">
        <v>24</v>
      </c>
      <c r="H996">
        <v>111</v>
      </c>
      <c r="I996">
        <v>89</v>
      </c>
      <c r="J996">
        <v>4</v>
      </c>
      <c r="K996">
        <v>8</v>
      </c>
      <c r="L996">
        <v>17157.509999999998</v>
      </c>
      <c r="M996">
        <v>2.87</v>
      </c>
      <c r="N996">
        <v>57.4</v>
      </c>
      <c r="O996">
        <v>153</v>
      </c>
      <c r="P996" s="2">
        <v>46171</v>
      </c>
      <c r="Q996" s="2">
        <v>46171</v>
      </c>
      <c r="S996" t="s">
        <v>33</v>
      </c>
    </row>
    <row r="997" spans="1:19" x14ac:dyDescent="0.25">
      <c r="A997" t="s">
        <v>1087</v>
      </c>
      <c r="B997" s="2">
        <v>46047</v>
      </c>
      <c r="C997" t="s">
        <v>35</v>
      </c>
      <c r="D997" t="s">
        <v>36</v>
      </c>
      <c r="E997" t="s">
        <v>69</v>
      </c>
      <c r="F997" t="s">
        <v>244</v>
      </c>
      <c r="G997" t="s">
        <v>57</v>
      </c>
      <c r="H997">
        <v>152</v>
      </c>
      <c r="I997">
        <v>174</v>
      </c>
      <c r="J997">
        <v>4</v>
      </c>
      <c r="K997">
        <v>1.8</v>
      </c>
      <c r="L997">
        <v>13024.88</v>
      </c>
      <c r="M997">
        <v>5.0999999999999996</v>
      </c>
      <c r="N997">
        <v>91.8</v>
      </c>
      <c r="O997">
        <v>148</v>
      </c>
      <c r="P997" s="2">
        <v>46056</v>
      </c>
      <c r="Q997" s="2">
        <v>46060</v>
      </c>
      <c r="R997" t="s">
        <v>39</v>
      </c>
      <c r="S997" t="s">
        <v>33</v>
      </c>
    </row>
    <row r="998" spans="1:19" x14ac:dyDescent="0.25">
      <c r="A998" t="s">
        <v>1088</v>
      </c>
      <c r="B998" s="2">
        <v>46026</v>
      </c>
      <c r="C998" t="s">
        <v>43</v>
      </c>
      <c r="D998" t="s">
        <v>44</v>
      </c>
      <c r="E998" t="s">
        <v>45</v>
      </c>
      <c r="F998" t="s">
        <v>83</v>
      </c>
      <c r="G998" t="s">
        <v>24</v>
      </c>
      <c r="H998">
        <v>103</v>
      </c>
      <c r="I998">
        <v>113</v>
      </c>
      <c r="J998">
        <v>9</v>
      </c>
      <c r="K998">
        <v>5.3</v>
      </c>
      <c r="L998">
        <v>13259.15</v>
      </c>
      <c r="M998">
        <v>2.56</v>
      </c>
      <c r="N998">
        <v>66.56</v>
      </c>
      <c r="O998">
        <v>170</v>
      </c>
      <c r="P998" s="2">
        <v>46030</v>
      </c>
      <c r="Q998" s="2">
        <v>46031</v>
      </c>
      <c r="R998" t="s">
        <v>100</v>
      </c>
      <c r="S998" t="s">
        <v>26</v>
      </c>
    </row>
    <row r="999" spans="1:19" x14ac:dyDescent="0.25">
      <c r="A999" t="s">
        <v>1089</v>
      </c>
      <c r="B999" s="2">
        <v>46135</v>
      </c>
      <c r="C999" t="s">
        <v>28</v>
      </c>
      <c r="D999" t="s">
        <v>29</v>
      </c>
      <c r="E999" t="s">
        <v>95</v>
      </c>
      <c r="F999" t="s">
        <v>114</v>
      </c>
      <c r="G999" t="s">
        <v>32</v>
      </c>
      <c r="H999">
        <v>301</v>
      </c>
      <c r="I999">
        <v>323</v>
      </c>
      <c r="J999">
        <v>27</v>
      </c>
      <c r="K999">
        <v>4.9000000000000004</v>
      </c>
      <c r="L999">
        <v>91663.16</v>
      </c>
      <c r="M999">
        <v>7.19</v>
      </c>
      <c r="N999">
        <v>158.18</v>
      </c>
      <c r="O999">
        <v>365</v>
      </c>
      <c r="P999" s="2">
        <v>46137</v>
      </c>
      <c r="Q999" s="2">
        <v>46138</v>
      </c>
      <c r="R999" t="s">
        <v>25</v>
      </c>
      <c r="S999" t="s">
        <v>33</v>
      </c>
    </row>
    <row r="1000" spans="1:19" x14ac:dyDescent="0.25">
      <c r="A1000" t="s">
        <v>1090</v>
      </c>
      <c r="B1000" s="2">
        <v>46149</v>
      </c>
      <c r="C1000" t="s">
        <v>35</v>
      </c>
      <c r="D1000" t="s">
        <v>36</v>
      </c>
      <c r="E1000" t="s">
        <v>69</v>
      </c>
      <c r="F1000" t="s">
        <v>197</v>
      </c>
      <c r="G1000" t="s">
        <v>57</v>
      </c>
      <c r="H1000">
        <v>254</v>
      </c>
      <c r="I1000">
        <v>284</v>
      </c>
      <c r="J1000">
        <v>4</v>
      </c>
      <c r="K1000">
        <v>4.3</v>
      </c>
      <c r="L1000">
        <v>24144.83</v>
      </c>
      <c r="M1000">
        <v>8.5</v>
      </c>
      <c r="N1000">
        <v>204</v>
      </c>
      <c r="O1000">
        <v>346</v>
      </c>
      <c r="P1000" s="2">
        <v>46153</v>
      </c>
      <c r="Q1000" s="2">
        <v>46151</v>
      </c>
      <c r="R1000" t="s">
        <v>25</v>
      </c>
      <c r="S1000" t="s">
        <v>72</v>
      </c>
    </row>
    <row r="1001" spans="1:19" x14ac:dyDescent="0.25">
      <c r="A1001" t="s">
        <v>1091</v>
      </c>
      <c r="B1001" s="2">
        <v>46161</v>
      </c>
      <c r="C1001" t="s">
        <v>43</v>
      </c>
      <c r="D1001" t="s">
        <v>44</v>
      </c>
      <c r="E1001" t="s">
        <v>93</v>
      </c>
      <c r="F1001" t="s">
        <v>41</v>
      </c>
      <c r="G1001" t="s">
        <v>32</v>
      </c>
      <c r="H1001">
        <v>248</v>
      </c>
      <c r="I1001">
        <v>268</v>
      </c>
      <c r="J1001">
        <v>5</v>
      </c>
      <c r="K1001">
        <v>5.7</v>
      </c>
      <c r="L1001">
        <v>26838.26</v>
      </c>
      <c r="M1001">
        <v>11.21</v>
      </c>
      <c r="N1001">
        <v>246.62</v>
      </c>
      <c r="O1001">
        <v>211</v>
      </c>
      <c r="P1001" s="2">
        <v>46168</v>
      </c>
      <c r="Q1001" s="2">
        <v>46172</v>
      </c>
      <c r="R1001" t="s">
        <v>25</v>
      </c>
      <c r="S1001" t="s">
        <v>72</v>
      </c>
    </row>
    <row r="1002" spans="1:19" x14ac:dyDescent="0.25">
      <c r="A1002" t="s">
        <v>1092</v>
      </c>
      <c r="B1002" s="2">
        <v>46168</v>
      </c>
      <c r="C1002" t="s">
        <v>43</v>
      </c>
      <c r="D1002" t="s">
        <v>44</v>
      </c>
      <c r="E1002" t="s">
        <v>45</v>
      </c>
      <c r="F1002" t="s">
        <v>77</v>
      </c>
      <c r="G1002" t="s">
        <v>24</v>
      </c>
      <c r="H1002">
        <v>98</v>
      </c>
      <c r="I1002">
        <v>92</v>
      </c>
      <c r="J1002">
        <v>6</v>
      </c>
      <c r="K1002">
        <v>1.6</v>
      </c>
      <c r="L1002">
        <v>11455.37</v>
      </c>
      <c r="M1002">
        <v>2.91</v>
      </c>
      <c r="N1002">
        <v>69.84</v>
      </c>
      <c r="O1002">
        <v>68</v>
      </c>
      <c r="P1002" s="2">
        <v>46178</v>
      </c>
      <c r="Q1002" s="2">
        <v>46178</v>
      </c>
      <c r="R1002" t="s">
        <v>25</v>
      </c>
      <c r="S1002" t="s">
        <v>26</v>
      </c>
    </row>
    <row r="1003" spans="1:19" x14ac:dyDescent="0.25">
      <c r="A1003" t="s">
        <v>1093</v>
      </c>
      <c r="B1003" s="2">
        <v>46161</v>
      </c>
      <c r="C1003" t="s">
        <v>59</v>
      </c>
      <c r="D1003" t="s">
        <v>49</v>
      </c>
      <c r="E1003" t="s">
        <v>60</v>
      </c>
      <c r="F1003" t="s">
        <v>106</v>
      </c>
      <c r="G1003" t="s">
        <v>24</v>
      </c>
      <c r="H1003">
        <v>302</v>
      </c>
      <c r="I1003">
        <v>219</v>
      </c>
      <c r="J1003">
        <v>4</v>
      </c>
      <c r="K1003">
        <v>8</v>
      </c>
      <c r="L1003">
        <v>30436.04</v>
      </c>
      <c r="M1003">
        <v>4.12</v>
      </c>
      <c r="N1003">
        <v>107.12</v>
      </c>
      <c r="O1003">
        <v>320</v>
      </c>
      <c r="P1003" s="2">
        <v>46173</v>
      </c>
      <c r="Q1003" s="2">
        <v>46175</v>
      </c>
      <c r="R1003" t="s">
        <v>39</v>
      </c>
      <c r="S1003" t="s">
        <v>86</v>
      </c>
    </row>
    <row r="1004" spans="1:19" x14ac:dyDescent="0.25">
      <c r="A1004" t="s">
        <v>1094</v>
      </c>
      <c r="B1004" s="2">
        <v>46152</v>
      </c>
      <c r="C1004" t="s">
        <v>59</v>
      </c>
      <c r="D1004" t="s">
        <v>49</v>
      </c>
      <c r="E1004" t="s">
        <v>60</v>
      </c>
      <c r="F1004" t="s">
        <v>85</v>
      </c>
      <c r="G1004" t="s">
        <v>32</v>
      </c>
      <c r="H1004">
        <v>113</v>
      </c>
      <c r="I1004">
        <v>95</v>
      </c>
      <c r="J1004">
        <v>5</v>
      </c>
      <c r="K1004">
        <v>7.6</v>
      </c>
      <c r="L1004">
        <v>17491.88</v>
      </c>
      <c r="M1004">
        <v>1.86</v>
      </c>
      <c r="N1004">
        <v>33.479999999999997</v>
      </c>
      <c r="O1004">
        <v>145</v>
      </c>
      <c r="P1004" s="2">
        <v>46159</v>
      </c>
      <c r="Q1004" s="2">
        <v>46163</v>
      </c>
      <c r="R1004" t="s">
        <v>39</v>
      </c>
      <c r="S1004" t="s">
        <v>33</v>
      </c>
    </row>
    <row r="1005" spans="1:19" x14ac:dyDescent="0.25">
      <c r="A1005" t="s">
        <v>1095</v>
      </c>
      <c r="B1005" s="2">
        <v>46200</v>
      </c>
      <c r="C1005" t="s">
        <v>53</v>
      </c>
      <c r="D1005" t="s">
        <v>54</v>
      </c>
      <c r="E1005" t="s">
        <v>55</v>
      </c>
      <c r="F1005" t="s">
        <v>46</v>
      </c>
      <c r="G1005" t="s">
        <v>57</v>
      </c>
      <c r="H1005">
        <v>171</v>
      </c>
      <c r="I1005">
        <v>191</v>
      </c>
      <c r="J1005">
        <v>4</v>
      </c>
      <c r="K1005">
        <v>4.9000000000000004</v>
      </c>
      <c r="L1005">
        <v>26613.59</v>
      </c>
      <c r="M1005">
        <v>5.91</v>
      </c>
      <c r="N1005">
        <v>118.2</v>
      </c>
      <c r="O1005">
        <v>137</v>
      </c>
      <c r="P1005" s="2">
        <v>46211</v>
      </c>
      <c r="Q1005" s="2">
        <v>46215</v>
      </c>
      <c r="R1005" t="s">
        <v>25</v>
      </c>
      <c r="S1005" t="s">
        <v>26</v>
      </c>
    </row>
    <row r="1006" spans="1:19" x14ac:dyDescent="0.25">
      <c r="A1006" t="s">
        <v>1096</v>
      </c>
      <c r="B1006" s="2">
        <v>46039</v>
      </c>
      <c r="C1006" t="s">
        <v>53</v>
      </c>
      <c r="D1006" t="s">
        <v>54</v>
      </c>
      <c r="E1006" t="s">
        <v>131</v>
      </c>
      <c r="F1006" t="s">
        <v>112</v>
      </c>
      <c r="G1006" t="s">
        <v>57</v>
      </c>
      <c r="H1006">
        <v>236</v>
      </c>
      <c r="I1006">
        <v>223</v>
      </c>
      <c r="J1006">
        <v>8</v>
      </c>
      <c r="K1006">
        <v>1.3</v>
      </c>
      <c r="L1006">
        <v>36979.53</v>
      </c>
      <c r="M1006">
        <v>6.72</v>
      </c>
      <c r="N1006">
        <v>134.4</v>
      </c>
      <c r="O1006">
        <v>229</v>
      </c>
      <c r="P1006" s="2">
        <v>46046</v>
      </c>
      <c r="Q1006" s="2">
        <v>46046</v>
      </c>
      <c r="R1006" t="s">
        <v>100</v>
      </c>
      <c r="S1006" t="s">
        <v>26</v>
      </c>
    </row>
    <row r="1007" spans="1:19" x14ac:dyDescent="0.25">
      <c r="A1007" t="s">
        <v>1097</v>
      </c>
      <c r="B1007" s="2">
        <v>46104</v>
      </c>
      <c r="C1007" t="s">
        <v>80</v>
      </c>
      <c r="D1007" t="s">
        <v>21</v>
      </c>
      <c r="E1007" t="s">
        <v>90</v>
      </c>
      <c r="F1007" t="s">
        <v>114</v>
      </c>
      <c r="G1007" t="s">
        <v>57</v>
      </c>
      <c r="H1007">
        <v>244</v>
      </c>
      <c r="I1007">
        <v>195</v>
      </c>
      <c r="J1007">
        <v>11</v>
      </c>
      <c r="K1007">
        <v>2.1</v>
      </c>
      <c r="L1007">
        <v>40922.959999999999</v>
      </c>
      <c r="M1007">
        <v>3.65</v>
      </c>
      <c r="N1007">
        <v>80.3</v>
      </c>
      <c r="O1007">
        <v>303</v>
      </c>
      <c r="P1007" s="2">
        <v>46112</v>
      </c>
      <c r="Q1007" s="2">
        <v>46113</v>
      </c>
      <c r="R1007" t="s">
        <v>100</v>
      </c>
      <c r="S1007" t="s">
        <v>33</v>
      </c>
    </row>
    <row r="1008" spans="1:19" x14ac:dyDescent="0.25">
      <c r="A1008" t="s">
        <v>1098</v>
      </c>
      <c r="B1008" s="2">
        <v>46195</v>
      </c>
      <c r="C1008" t="s">
        <v>20</v>
      </c>
      <c r="D1008" t="s">
        <v>21</v>
      </c>
      <c r="E1008" t="s">
        <v>22</v>
      </c>
      <c r="F1008" t="s">
        <v>170</v>
      </c>
      <c r="G1008" t="s">
        <v>32</v>
      </c>
      <c r="H1008">
        <v>151</v>
      </c>
      <c r="I1008">
        <v>167</v>
      </c>
      <c r="J1008">
        <v>3</v>
      </c>
      <c r="K1008">
        <v>6.7</v>
      </c>
      <c r="L1008">
        <v>57165.63</v>
      </c>
      <c r="M1008">
        <v>3.74</v>
      </c>
      <c r="N1008">
        <v>97.24</v>
      </c>
      <c r="O1008">
        <v>211</v>
      </c>
      <c r="P1008" s="2">
        <v>46204</v>
      </c>
      <c r="Q1008" s="2">
        <v>46206</v>
      </c>
      <c r="R1008" t="s">
        <v>25</v>
      </c>
      <c r="S1008" t="s">
        <v>26</v>
      </c>
    </row>
    <row r="1009" spans="1:19" x14ac:dyDescent="0.25">
      <c r="A1009" t="s">
        <v>1099</v>
      </c>
      <c r="B1009" s="2">
        <v>46098</v>
      </c>
      <c r="C1009" t="s">
        <v>43</v>
      </c>
      <c r="D1009" t="s">
        <v>44</v>
      </c>
      <c r="E1009" t="s">
        <v>45</v>
      </c>
      <c r="F1009" t="s">
        <v>46</v>
      </c>
      <c r="G1009" t="s">
        <v>57</v>
      </c>
      <c r="H1009">
        <v>143</v>
      </c>
      <c r="I1009">
        <v>141</v>
      </c>
      <c r="J1009">
        <v>2</v>
      </c>
      <c r="K1009">
        <v>4.8</v>
      </c>
      <c r="L1009">
        <v>15966.23</v>
      </c>
      <c r="M1009">
        <v>3.86</v>
      </c>
      <c r="N1009">
        <v>77.2</v>
      </c>
      <c r="O1009">
        <v>152</v>
      </c>
      <c r="P1009" s="2">
        <v>46108</v>
      </c>
      <c r="Q1009" s="2">
        <v>46107</v>
      </c>
      <c r="R1009" t="s">
        <v>25</v>
      </c>
      <c r="S1009" t="s">
        <v>86</v>
      </c>
    </row>
    <row r="1010" spans="1:19" x14ac:dyDescent="0.25">
      <c r="A1010" t="s">
        <v>1100</v>
      </c>
      <c r="B1010" s="2">
        <v>46043</v>
      </c>
      <c r="C1010" t="s">
        <v>48</v>
      </c>
      <c r="D1010" t="s">
        <v>49</v>
      </c>
      <c r="E1010" t="s">
        <v>50</v>
      </c>
      <c r="F1010" t="s">
        <v>96</v>
      </c>
      <c r="G1010" t="s">
        <v>24</v>
      </c>
      <c r="H1010">
        <v>216</v>
      </c>
      <c r="I1010">
        <v>226</v>
      </c>
      <c r="J1010">
        <v>15</v>
      </c>
      <c r="K1010">
        <v>8.4</v>
      </c>
      <c r="L1010">
        <v>44725.06</v>
      </c>
      <c r="M1010">
        <v>6.18</v>
      </c>
      <c r="N1010">
        <v>160.68</v>
      </c>
      <c r="O1010">
        <v>219</v>
      </c>
      <c r="P1010" s="2">
        <v>46051</v>
      </c>
      <c r="Q1010" s="2">
        <v>46051</v>
      </c>
      <c r="R1010" t="s">
        <v>25</v>
      </c>
      <c r="S1010" t="s">
        <v>26</v>
      </c>
    </row>
    <row r="1011" spans="1:19" x14ac:dyDescent="0.25">
      <c r="A1011" t="s">
        <v>1101</v>
      </c>
      <c r="B1011" s="2">
        <v>46198</v>
      </c>
      <c r="C1011" t="s">
        <v>48</v>
      </c>
      <c r="D1011" t="s">
        <v>49</v>
      </c>
      <c r="E1011" t="s">
        <v>50</v>
      </c>
      <c r="F1011" t="s">
        <v>96</v>
      </c>
      <c r="G1011" t="s">
        <v>57</v>
      </c>
      <c r="H1011">
        <v>137</v>
      </c>
      <c r="I1011">
        <v>149</v>
      </c>
      <c r="J1011">
        <v>13</v>
      </c>
      <c r="K1011">
        <v>1</v>
      </c>
      <c r="L1011">
        <v>30940.98</v>
      </c>
      <c r="M1011">
        <v>2.77</v>
      </c>
      <c r="N1011">
        <v>66.48</v>
      </c>
      <c r="O1011">
        <v>229</v>
      </c>
      <c r="P1011" s="2">
        <v>46204</v>
      </c>
      <c r="Q1011" s="2">
        <v>46206</v>
      </c>
      <c r="R1011" t="s">
        <v>39</v>
      </c>
      <c r="S1011" t="s">
        <v>26</v>
      </c>
    </row>
    <row r="1012" spans="1:19" x14ac:dyDescent="0.25">
      <c r="A1012" t="s">
        <v>1102</v>
      </c>
      <c r="B1012" s="2">
        <v>46105</v>
      </c>
      <c r="C1012" t="s">
        <v>53</v>
      </c>
      <c r="D1012" t="s">
        <v>54</v>
      </c>
      <c r="E1012" t="s">
        <v>131</v>
      </c>
      <c r="F1012" t="s">
        <v>119</v>
      </c>
      <c r="G1012" t="s">
        <v>57</v>
      </c>
      <c r="H1012">
        <v>291</v>
      </c>
      <c r="I1012">
        <v>242</v>
      </c>
      <c r="J1012">
        <v>1</v>
      </c>
      <c r="K1012">
        <v>2.8</v>
      </c>
      <c r="L1012">
        <v>39760.71</v>
      </c>
      <c r="M1012">
        <v>9.5500000000000007</v>
      </c>
      <c r="N1012">
        <v>248.3</v>
      </c>
      <c r="O1012">
        <v>270</v>
      </c>
      <c r="P1012" s="2">
        <v>46108</v>
      </c>
      <c r="Q1012" s="2">
        <v>46112</v>
      </c>
      <c r="R1012" t="s">
        <v>39</v>
      </c>
      <c r="S1012" t="s">
        <v>33</v>
      </c>
    </row>
    <row r="1013" spans="1:19" x14ac:dyDescent="0.25">
      <c r="A1013" t="s">
        <v>1103</v>
      </c>
      <c r="B1013" s="2">
        <v>46073</v>
      </c>
      <c r="C1013" t="s">
        <v>48</v>
      </c>
      <c r="D1013" t="s">
        <v>49</v>
      </c>
      <c r="E1013" t="s">
        <v>60</v>
      </c>
      <c r="F1013" t="s">
        <v>71</v>
      </c>
      <c r="G1013" t="s">
        <v>57</v>
      </c>
      <c r="H1013">
        <v>140</v>
      </c>
      <c r="I1013">
        <v>117</v>
      </c>
      <c r="J1013">
        <v>0</v>
      </c>
      <c r="K1013">
        <v>7.5</v>
      </c>
      <c r="L1013">
        <v>19881.43</v>
      </c>
      <c r="M1013">
        <v>3.02</v>
      </c>
      <c r="N1013">
        <v>72.48</v>
      </c>
      <c r="O1013">
        <v>127</v>
      </c>
      <c r="P1013" s="2">
        <v>46080</v>
      </c>
      <c r="Q1013" s="2">
        <v>46081</v>
      </c>
      <c r="R1013" t="s">
        <v>25</v>
      </c>
      <c r="S1013" t="s">
        <v>51</v>
      </c>
    </row>
    <row r="1014" spans="1:19" x14ac:dyDescent="0.25">
      <c r="A1014" t="s">
        <v>1104</v>
      </c>
      <c r="B1014" s="2">
        <v>46116</v>
      </c>
      <c r="C1014" t="s">
        <v>28</v>
      </c>
      <c r="D1014" t="s">
        <v>29</v>
      </c>
      <c r="E1014" t="s">
        <v>95</v>
      </c>
      <c r="F1014" t="s">
        <v>197</v>
      </c>
      <c r="G1014" t="s">
        <v>57</v>
      </c>
      <c r="H1014">
        <v>201</v>
      </c>
      <c r="I1014">
        <v>207</v>
      </c>
      <c r="J1014">
        <v>18</v>
      </c>
      <c r="K1014">
        <v>0.9</v>
      </c>
      <c r="L1014">
        <v>51671.34</v>
      </c>
      <c r="M1014">
        <v>5.3</v>
      </c>
      <c r="N1014">
        <v>95.4</v>
      </c>
      <c r="O1014">
        <v>229</v>
      </c>
      <c r="P1014" s="2">
        <v>46120</v>
      </c>
      <c r="Q1014" s="2">
        <v>46119</v>
      </c>
      <c r="R1014" t="s">
        <v>25</v>
      </c>
      <c r="S1014" t="s">
        <v>33</v>
      </c>
    </row>
    <row r="1015" spans="1:19" x14ac:dyDescent="0.25">
      <c r="A1015" t="s">
        <v>1105</v>
      </c>
      <c r="B1015" s="2">
        <v>46113</v>
      </c>
      <c r="C1015" t="s">
        <v>43</v>
      </c>
      <c r="D1015" t="s">
        <v>44</v>
      </c>
      <c r="E1015" t="s">
        <v>161</v>
      </c>
      <c r="F1015" t="s">
        <v>170</v>
      </c>
      <c r="G1015" t="s">
        <v>57</v>
      </c>
      <c r="H1015">
        <v>178</v>
      </c>
      <c r="I1015">
        <v>175</v>
      </c>
      <c r="J1015">
        <v>15</v>
      </c>
      <c r="K1015">
        <v>1.1000000000000001</v>
      </c>
      <c r="L1015">
        <v>21082.9</v>
      </c>
      <c r="M1015">
        <v>3.4</v>
      </c>
      <c r="N1015">
        <v>68</v>
      </c>
      <c r="O1015">
        <v>260</v>
      </c>
      <c r="P1015" s="2">
        <v>46115</v>
      </c>
      <c r="Q1015" s="2">
        <v>46115</v>
      </c>
      <c r="R1015" t="s">
        <v>25</v>
      </c>
      <c r="S1015" t="s">
        <v>26</v>
      </c>
    </row>
    <row r="1016" spans="1:19" x14ac:dyDescent="0.25">
      <c r="A1016" t="s">
        <v>1106</v>
      </c>
      <c r="B1016" s="2">
        <v>46157</v>
      </c>
      <c r="C1016" t="s">
        <v>48</v>
      </c>
      <c r="D1016" t="s">
        <v>49</v>
      </c>
      <c r="E1016" t="s">
        <v>76</v>
      </c>
      <c r="F1016" t="s">
        <v>74</v>
      </c>
      <c r="G1016" t="s">
        <v>32</v>
      </c>
      <c r="H1016">
        <v>121</v>
      </c>
      <c r="I1016">
        <v>133</v>
      </c>
      <c r="J1016">
        <v>11</v>
      </c>
      <c r="K1016">
        <v>5</v>
      </c>
      <c r="L1016">
        <v>32814.43</v>
      </c>
      <c r="M1016">
        <v>3.72</v>
      </c>
      <c r="N1016">
        <v>81.84</v>
      </c>
      <c r="O1016">
        <v>210</v>
      </c>
      <c r="P1016" s="2">
        <v>46165</v>
      </c>
      <c r="Q1016" s="2">
        <v>46169</v>
      </c>
      <c r="R1016" t="s">
        <v>39</v>
      </c>
      <c r="S1016" t="s">
        <v>86</v>
      </c>
    </row>
    <row r="1017" spans="1:19" x14ac:dyDescent="0.25">
      <c r="A1017" t="s">
        <v>1107</v>
      </c>
      <c r="B1017" s="2">
        <v>46065</v>
      </c>
      <c r="C1017" t="s">
        <v>43</v>
      </c>
      <c r="D1017" t="s">
        <v>44</v>
      </c>
      <c r="E1017" t="s">
        <v>161</v>
      </c>
      <c r="F1017" t="s">
        <v>125</v>
      </c>
      <c r="G1017" t="s">
        <v>57</v>
      </c>
      <c r="H1017">
        <v>260</v>
      </c>
      <c r="I1017">
        <v>224</v>
      </c>
      <c r="J1017">
        <v>7</v>
      </c>
      <c r="K1017">
        <v>6.7</v>
      </c>
      <c r="L1017">
        <v>28227.4</v>
      </c>
      <c r="M1017">
        <v>5.86</v>
      </c>
      <c r="N1017">
        <v>152.36000000000001</v>
      </c>
      <c r="O1017">
        <v>328</v>
      </c>
      <c r="P1017" s="2">
        <v>46072</v>
      </c>
      <c r="Q1017" s="2">
        <v>46073</v>
      </c>
      <c r="R1017" t="s">
        <v>39</v>
      </c>
      <c r="S1017" t="s">
        <v>26</v>
      </c>
    </row>
    <row r="1018" spans="1:19" x14ac:dyDescent="0.25">
      <c r="A1018" t="s">
        <v>1108</v>
      </c>
      <c r="B1018" s="2">
        <v>46055</v>
      </c>
      <c r="C1018" t="s">
        <v>59</v>
      </c>
      <c r="D1018" t="s">
        <v>49</v>
      </c>
      <c r="E1018" t="s">
        <v>60</v>
      </c>
      <c r="F1018" t="s">
        <v>91</v>
      </c>
      <c r="G1018" t="s">
        <v>24</v>
      </c>
      <c r="H1018">
        <v>313</v>
      </c>
      <c r="I1018">
        <v>241</v>
      </c>
      <c r="J1018">
        <v>3</v>
      </c>
      <c r="K1018">
        <v>6.2</v>
      </c>
      <c r="L1018">
        <v>43156.83</v>
      </c>
      <c r="M1018">
        <v>9.73</v>
      </c>
      <c r="N1018">
        <v>175.14</v>
      </c>
      <c r="O1018">
        <v>283</v>
      </c>
      <c r="P1018" s="2">
        <v>46057</v>
      </c>
      <c r="Q1018" s="2">
        <v>46057</v>
      </c>
      <c r="R1018" t="s">
        <v>25</v>
      </c>
      <c r="S1018" t="s">
        <v>51</v>
      </c>
    </row>
    <row r="1019" spans="1:19" x14ac:dyDescent="0.25">
      <c r="A1019" t="s">
        <v>1109</v>
      </c>
      <c r="B1019" s="2">
        <v>46173</v>
      </c>
      <c r="C1019" t="s">
        <v>28</v>
      </c>
      <c r="D1019" t="s">
        <v>29</v>
      </c>
      <c r="E1019" t="s">
        <v>63</v>
      </c>
      <c r="F1019" t="s">
        <v>119</v>
      </c>
      <c r="G1019" t="s">
        <v>57</v>
      </c>
      <c r="H1019">
        <v>140</v>
      </c>
      <c r="I1019">
        <v>108</v>
      </c>
      <c r="J1019">
        <v>9</v>
      </c>
      <c r="K1019">
        <v>7.9</v>
      </c>
      <c r="L1019">
        <v>29807.119999999999</v>
      </c>
      <c r="M1019">
        <v>4.2</v>
      </c>
      <c r="N1019">
        <v>75.599999999999994</v>
      </c>
      <c r="O1019">
        <v>153</v>
      </c>
      <c r="P1019" s="2">
        <v>46175</v>
      </c>
      <c r="Q1019" s="2">
        <v>46176</v>
      </c>
      <c r="R1019" t="s">
        <v>25</v>
      </c>
      <c r="S1019" t="s">
        <v>26</v>
      </c>
    </row>
    <row r="1020" spans="1:19" x14ac:dyDescent="0.25">
      <c r="A1020" t="s">
        <v>1110</v>
      </c>
      <c r="B1020" s="2">
        <v>46075</v>
      </c>
      <c r="C1020" t="s">
        <v>35</v>
      </c>
      <c r="D1020" t="s">
        <v>36</v>
      </c>
      <c r="E1020" t="s">
        <v>37</v>
      </c>
      <c r="F1020" t="s">
        <v>74</v>
      </c>
      <c r="G1020" t="s">
        <v>24</v>
      </c>
      <c r="H1020">
        <v>254</v>
      </c>
      <c r="I1020">
        <v>193</v>
      </c>
      <c r="J1020">
        <v>6</v>
      </c>
      <c r="K1020">
        <v>7.7</v>
      </c>
      <c r="L1020">
        <v>17367.810000000001</v>
      </c>
      <c r="M1020">
        <v>6.19</v>
      </c>
      <c r="N1020">
        <v>148.56</v>
      </c>
      <c r="O1020">
        <v>250</v>
      </c>
      <c r="P1020" s="2">
        <v>46084</v>
      </c>
      <c r="Q1020" s="2">
        <v>46084</v>
      </c>
      <c r="R1020" t="s">
        <v>100</v>
      </c>
      <c r="S1020" t="s">
        <v>72</v>
      </c>
    </row>
    <row r="1021" spans="1:19" x14ac:dyDescent="0.25">
      <c r="A1021" t="s">
        <v>1111</v>
      </c>
      <c r="B1021" s="2">
        <v>46097</v>
      </c>
      <c r="C1021" t="s">
        <v>35</v>
      </c>
      <c r="D1021" t="s">
        <v>36</v>
      </c>
      <c r="E1021" t="s">
        <v>37</v>
      </c>
      <c r="F1021" t="s">
        <v>106</v>
      </c>
      <c r="G1021" t="s">
        <v>24</v>
      </c>
      <c r="H1021">
        <v>271</v>
      </c>
      <c r="I1021">
        <v>195</v>
      </c>
      <c r="J1021">
        <v>7</v>
      </c>
      <c r="K1021">
        <v>4.5999999999999996</v>
      </c>
      <c r="L1021">
        <v>17763.29</v>
      </c>
      <c r="M1021">
        <v>5.24</v>
      </c>
      <c r="N1021">
        <v>104.8</v>
      </c>
      <c r="O1021">
        <v>248</v>
      </c>
      <c r="P1021" s="2">
        <v>46107</v>
      </c>
      <c r="Q1021" s="2">
        <v>46107</v>
      </c>
      <c r="R1021" t="s">
        <v>25</v>
      </c>
      <c r="S1021" t="s">
        <v>33</v>
      </c>
    </row>
    <row r="1022" spans="1:19" x14ac:dyDescent="0.25">
      <c r="A1022" t="s">
        <v>1112</v>
      </c>
      <c r="B1022" s="2">
        <v>46057</v>
      </c>
      <c r="C1022" t="s">
        <v>28</v>
      </c>
      <c r="D1022" t="s">
        <v>29</v>
      </c>
      <c r="E1022" t="s">
        <v>63</v>
      </c>
      <c r="F1022" t="s">
        <v>122</v>
      </c>
      <c r="G1022" t="s">
        <v>32</v>
      </c>
      <c r="H1022">
        <v>112</v>
      </c>
      <c r="I1022">
        <v>90</v>
      </c>
      <c r="J1022">
        <v>1</v>
      </c>
      <c r="K1022">
        <v>7.6</v>
      </c>
      <c r="L1022">
        <v>16039.09</v>
      </c>
      <c r="M1022">
        <v>1.82</v>
      </c>
      <c r="N1022">
        <v>43.68</v>
      </c>
      <c r="O1022">
        <v>74</v>
      </c>
      <c r="P1022" s="2">
        <v>46060</v>
      </c>
      <c r="Q1022" s="2">
        <v>46060</v>
      </c>
      <c r="R1022" t="s">
        <v>100</v>
      </c>
      <c r="S1022" t="s">
        <v>51</v>
      </c>
    </row>
    <row r="1023" spans="1:19" x14ac:dyDescent="0.25">
      <c r="A1023" t="s">
        <v>1113</v>
      </c>
      <c r="B1023" s="2">
        <v>46075</v>
      </c>
      <c r="C1023" t="s">
        <v>53</v>
      </c>
      <c r="D1023" t="s">
        <v>54</v>
      </c>
      <c r="E1023" t="s">
        <v>131</v>
      </c>
      <c r="F1023" t="s">
        <v>122</v>
      </c>
      <c r="G1023" t="s">
        <v>24</v>
      </c>
      <c r="H1023">
        <v>86</v>
      </c>
      <c r="I1023">
        <v>81</v>
      </c>
      <c r="J1023">
        <v>5</v>
      </c>
      <c r="K1023">
        <v>3.6</v>
      </c>
      <c r="L1023">
        <v>12981.49</v>
      </c>
      <c r="M1023">
        <v>1.8</v>
      </c>
      <c r="N1023">
        <v>36</v>
      </c>
      <c r="O1023">
        <v>139</v>
      </c>
      <c r="P1023" s="2">
        <v>46084</v>
      </c>
      <c r="Q1023" s="2">
        <v>46088</v>
      </c>
      <c r="R1023" t="s">
        <v>25</v>
      </c>
      <c r="S1023" t="s">
        <v>86</v>
      </c>
    </row>
    <row r="1024" spans="1:19" x14ac:dyDescent="0.25">
      <c r="A1024" t="s">
        <v>1114</v>
      </c>
      <c r="B1024" s="2">
        <v>46166</v>
      </c>
      <c r="C1024" t="s">
        <v>59</v>
      </c>
      <c r="D1024" t="s">
        <v>49</v>
      </c>
      <c r="E1024" t="s">
        <v>76</v>
      </c>
      <c r="F1024" t="s">
        <v>46</v>
      </c>
      <c r="G1024" t="s">
        <v>57</v>
      </c>
      <c r="H1024">
        <v>114</v>
      </c>
      <c r="I1024">
        <v>100</v>
      </c>
      <c r="J1024">
        <v>8</v>
      </c>
      <c r="K1024">
        <v>8.5</v>
      </c>
      <c r="L1024">
        <v>16884.75</v>
      </c>
      <c r="M1024">
        <v>3.03</v>
      </c>
      <c r="N1024">
        <v>72.72</v>
      </c>
      <c r="O1024">
        <v>171</v>
      </c>
      <c r="P1024" s="2">
        <v>46178</v>
      </c>
      <c r="Q1024" s="2">
        <v>46178</v>
      </c>
      <c r="R1024" t="s">
        <v>25</v>
      </c>
      <c r="S1024" t="s">
        <v>26</v>
      </c>
    </row>
    <row r="1025" spans="1:19" x14ac:dyDescent="0.25">
      <c r="A1025" t="s">
        <v>1115</v>
      </c>
      <c r="B1025" s="2">
        <v>46069</v>
      </c>
      <c r="C1025" t="s">
        <v>53</v>
      </c>
      <c r="D1025" t="s">
        <v>54</v>
      </c>
      <c r="E1025" t="s">
        <v>55</v>
      </c>
      <c r="F1025" t="s">
        <v>244</v>
      </c>
      <c r="G1025" t="s">
        <v>57</v>
      </c>
      <c r="H1025">
        <v>245</v>
      </c>
      <c r="I1025">
        <v>225</v>
      </c>
      <c r="J1025">
        <v>2</v>
      </c>
      <c r="K1025">
        <v>6.2</v>
      </c>
      <c r="L1025">
        <v>30858.95</v>
      </c>
      <c r="M1025">
        <v>7.98</v>
      </c>
      <c r="N1025">
        <v>207.48</v>
      </c>
      <c r="O1025">
        <v>252</v>
      </c>
      <c r="P1025" s="2">
        <v>46071</v>
      </c>
      <c r="Q1025" s="2">
        <v>46072</v>
      </c>
      <c r="R1025" t="s">
        <v>25</v>
      </c>
      <c r="S1025" t="s">
        <v>26</v>
      </c>
    </row>
    <row r="1026" spans="1:19" x14ac:dyDescent="0.25">
      <c r="A1026" t="s">
        <v>1116</v>
      </c>
      <c r="B1026" s="2">
        <v>46168</v>
      </c>
      <c r="C1026" t="s">
        <v>28</v>
      </c>
      <c r="D1026" t="s">
        <v>29</v>
      </c>
      <c r="E1026" t="s">
        <v>30</v>
      </c>
      <c r="F1026" t="s">
        <v>38</v>
      </c>
      <c r="G1026" t="s">
        <v>57</v>
      </c>
      <c r="H1026">
        <v>185</v>
      </c>
      <c r="I1026">
        <v>203</v>
      </c>
      <c r="J1026">
        <v>18</v>
      </c>
      <c r="K1026">
        <v>6.6</v>
      </c>
      <c r="L1026">
        <v>53571.79</v>
      </c>
      <c r="M1026">
        <v>6.5</v>
      </c>
      <c r="N1026">
        <v>143</v>
      </c>
      <c r="O1026">
        <v>205</v>
      </c>
      <c r="P1026" s="2">
        <v>46178</v>
      </c>
      <c r="Q1026" s="2">
        <v>46178</v>
      </c>
      <c r="R1026" t="s">
        <v>25</v>
      </c>
      <c r="S1026" t="s">
        <v>86</v>
      </c>
    </row>
    <row r="1027" spans="1:19" x14ac:dyDescent="0.25">
      <c r="A1027" t="s">
        <v>1117</v>
      </c>
      <c r="B1027" s="2">
        <v>46190</v>
      </c>
      <c r="C1027" t="s">
        <v>48</v>
      </c>
      <c r="D1027" t="s">
        <v>49</v>
      </c>
      <c r="E1027" t="s">
        <v>60</v>
      </c>
      <c r="F1027" t="s">
        <v>23</v>
      </c>
      <c r="G1027" t="s">
        <v>57</v>
      </c>
      <c r="H1027">
        <v>142</v>
      </c>
      <c r="I1027">
        <v>150</v>
      </c>
      <c r="J1027">
        <v>12</v>
      </c>
      <c r="K1027">
        <v>4.9000000000000004</v>
      </c>
      <c r="L1027">
        <v>31364.959999999999</v>
      </c>
      <c r="M1027">
        <v>3.66</v>
      </c>
      <c r="N1027">
        <v>65.88</v>
      </c>
      <c r="O1027">
        <v>227</v>
      </c>
      <c r="P1027" s="2">
        <v>46202</v>
      </c>
      <c r="Q1027" s="2">
        <v>46206</v>
      </c>
      <c r="R1027" t="s">
        <v>100</v>
      </c>
      <c r="S1027" t="s">
        <v>72</v>
      </c>
    </row>
    <row r="1028" spans="1:19" x14ac:dyDescent="0.25">
      <c r="A1028" t="s">
        <v>1118</v>
      </c>
      <c r="B1028" s="2">
        <v>46097</v>
      </c>
      <c r="C1028" t="s">
        <v>28</v>
      </c>
      <c r="D1028" t="s">
        <v>29</v>
      </c>
      <c r="E1028" t="s">
        <v>63</v>
      </c>
      <c r="F1028" t="s">
        <v>244</v>
      </c>
      <c r="G1028" t="s">
        <v>24</v>
      </c>
      <c r="H1028">
        <v>226</v>
      </c>
      <c r="I1028">
        <v>195</v>
      </c>
      <c r="J1028">
        <v>16</v>
      </c>
      <c r="K1028">
        <v>5.2</v>
      </c>
      <c r="L1028">
        <v>51821.73</v>
      </c>
      <c r="M1028">
        <v>6.86</v>
      </c>
      <c r="N1028">
        <v>123.48</v>
      </c>
      <c r="O1028">
        <v>232</v>
      </c>
      <c r="P1028" s="2">
        <v>46106</v>
      </c>
      <c r="Q1028" s="2">
        <v>46110</v>
      </c>
      <c r="R1028" t="s">
        <v>25</v>
      </c>
      <c r="S1028" t="s">
        <v>51</v>
      </c>
    </row>
    <row r="1029" spans="1:19" x14ac:dyDescent="0.25">
      <c r="A1029" t="s">
        <v>1119</v>
      </c>
      <c r="B1029" s="2">
        <v>46135</v>
      </c>
      <c r="C1029" t="s">
        <v>20</v>
      </c>
      <c r="D1029" t="s">
        <v>21</v>
      </c>
      <c r="E1029" t="s">
        <v>22</v>
      </c>
      <c r="F1029" t="s">
        <v>137</v>
      </c>
      <c r="G1029" t="s">
        <v>24</v>
      </c>
      <c r="H1029">
        <v>94</v>
      </c>
      <c r="I1029">
        <v>81</v>
      </c>
      <c r="J1029">
        <v>5</v>
      </c>
      <c r="K1029">
        <v>5.4</v>
      </c>
      <c r="L1029">
        <v>31838.39</v>
      </c>
      <c r="M1029">
        <v>2.86</v>
      </c>
      <c r="N1029">
        <v>57.2</v>
      </c>
      <c r="O1029">
        <v>179</v>
      </c>
      <c r="P1029" s="2">
        <v>46142</v>
      </c>
      <c r="Q1029" s="2">
        <v>46142</v>
      </c>
      <c r="R1029" t="s">
        <v>39</v>
      </c>
      <c r="S1029" t="s">
        <v>51</v>
      </c>
    </row>
    <row r="1030" spans="1:19" x14ac:dyDescent="0.25">
      <c r="A1030" t="s">
        <v>1120</v>
      </c>
      <c r="B1030" s="2">
        <v>46056</v>
      </c>
      <c r="C1030" t="s">
        <v>43</v>
      </c>
      <c r="D1030" t="s">
        <v>44</v>
      </c>
      <c r="E1030" t="s">
        <v>93</v>
      </c>
      <c r="F1030" t="s">
        <v>38</v>
      </c>
      <c r="G1030" t="s">
        <v>57</v>
      </c>
      <c r="H1030">
        <v>287</v>
      </c>
      <c r="I1030">
        <v>289</v>
      </c>
      <c r="J1030">
        <v>26</v>
      </c>
      <c r="K1030">
        <v>1.2</v>
      </c>
      <c r="L1030">
        <v>34273.300000000003</v>
      </c>
      <c r="M1030">
        <v>10.24</v>
      </c>
      <c r="N1030">
        <v>184.32</v>
      </c>
      <c r="O1030">
        <v>387</v>
      </c>
      <c r="P1030" s="2">
        <v>46061</v>
      </c>
      <c r="Q1030" s="2">
        <v>46061</v>
      </c>
      <c r="R1030" t="s">
        <v>25</v>
      </c>
      <c r="S1030" t="s">
        <v>86</v>
      </c>
    </row>
    <row r="1031" spans="1:19" x14ac:dyDescent="0.25">
      <c r="A1031" t="s">
        <v>1121</v>
      </c>
      <c r="B1031" s="2">
        <v>46164</v>
      </c>
      <c r="C1031" t="s">
        <v>53</v>
      </c>
      <c r="D1031" t="s">
        <v>54</v>
      </c>
      <c r="E1031" t="s">
        <v>131</v>
      </c>
      <c r="F1031" t="s">
        <v>110</v>
      </c>
      <c r="G1031" t="s">
        <v>24</v>
      </c>
      <c r="H1031">
        <v>212</v>
      </c>
      <c r="I1031">
        <v>198</v>
      </c>
      <c r="J1031">
        <v>16</v>
      </c>
      <c r="K1031">
        <v>3.9</v>
      </c>
      <c r="L1031">
        <v>31719.9</v>
      </c>
      <c r="M1031">
        <v>7</v>
      </c>
      <c r="N1031">
        <v>154</v>
      </c>
      <c r="O1031">
        <v>303</v>
      </c>
      <c r="P1031" s="2">
        <v>46171</v>
      </c>
      <c r="Q1031" s="2">
        <v>46171</v>
      </c>
      <c r="R1031" t="s">
        <v>25</v>
      </c>
      <c r="S1031" t="s">
        <v>72</v>
      </c>
    </row>
    <row r="1032" spans="1:19" x14ac:dyDescent="0.25">
      <c r="A1032" t="s">
        <v>1122</v>
      </c>
      <c r="B1032" s="2">
        <v>46038</v>
      </c>
      <c r="C1032" t="s">
        <v>80</v>
      </c>
      <c r="D1032" t="s">
        <v>21</v>
      </c>
      <c r="E1032" t="s">
        <v>22</v>
      </c>
      <c r="F1032" t="s">
        <v>91</v>
      </c>
      <c r="G1032" t="s">
        <v>57</v>
      </c>
      <c r="H1032">
        <v>84</v>
      </c>
      <c r="I1032">
        <v>70</v>
      </c>
      <c r="J1032">
        <v>2</v>
      </c>
      <c r="K1032">
        <v>8.3000000000000007</v>
      </c>
      <c r="L1032">
        <v>21301.32</v>
      </c>
      <c r="M1032">
        <v>2.7</v>
      </c>
      <c r="N1032">
        <v>70.2</v>
      </c>
      <c r="O1032">
        <v>132</v>
      </c>
      <c r="P1032" s="2">
        <v>46041</v>
      </c>
      <c r="Q1032" s="2">
        <v>46045</v>
      </c>
      <c r="R1032" t="s">
        <v>25</v>
      </c>
      <c r="S1032" t="s">
        <v>51</v>
      </c>
    </row>
    <row r="1033" spans="1:19" x14ac:dyDescent="0.25">
      <c r="A1033" t="s">
        <v>1123</v>
      </c>
      <c r="B1033" s="2">
        <v>46169</v>
      </c>
      <c r="C1033" t="s">
        <v>20</v>
      </c>
      <c r="D1033" t="s">
        <v>21</v>
      </c>
      <c r="E1033" t="s">
        <v>22</v>
      </c>
      <c r="F1033" t="s">
        <v>122</v>
      </c>
      <c r="G1033" t="s">
        <v>24</v>
      </c>
      <c r="H1033">
        <v>279</v>
      </c>
      <c r="I1033">
        <v>218</v>
      </c>
      <c r="J1033">
        <v>12</v>
      </c>
      <c r="K1033">
        <v>7</v>
      </c>
      <c r="L1033">
        <v>78216.899999999994</v>
      </c>
      <c r="M1033">
        <v>5.75</v>
      </c>
      <c r="N1033">
        <v>103.5</v>
      </c>
      <c r="O1033">
        <v>262</v>
      </c>
      <c r="P1033" s="2">
        <v>46175</v>
      </c>
      <c r="Q1033" s="2">
        <v>46175</v>
      </c>
      <c r="R1033" t="s">
        <v>100</v>
      </c>
      <c r="S1033" t="s">
        <v>26</v>
      </c>
    </row>
    <row r="1034" spans="1:19" x14ac:dyDescent="0.25">
      <c r="A1034" t="s">
        <v>1124</v>
      </c>
      <c r="B1034" s="2">
        <v>46072</v>
      </c>
      <c r="C1034" t="s">
        <v>80</v>
      </c>
      <c r="D1034" t="s">
        <v>21</v>
      </c>
      <c r="E1034" t="s">
        <v>66</v>
      </c>
      <c r="F1034" t="s">
        <v>110</v>
      </c>
      <c r="G1034" t="s">
        <v>57</v>
      </c>
      <c r="H1034">
        <v>290</v>
      </c>
      <c r="I1034">
        <v>233</v>
      </c>
      <c r="J1034">
        <v>1</v>
      </c>
      <c r="K1034">
        <v>3.7</v>
      </c>
      <c r="L1034">
        <v>56706.44</v>
      </c>
      <c r="M1034">
        <v>7.51</v>
      </c>
      <c r="N1034">
        <v>135.18</v>
      </c>
      <c r="O1034">
        <v>279</v>
      </c>
      <c r="P1034" s="2">
        <v>46076</v>
      </c>
      <c r="Q1034" s="2">
        <v>46078</v>
      </c>
      <c r="R1034" t="s">
        <v>25</v>
      </c>
      <c r="S1034" t="s">
        <v>51</v>
      </c>
    </row>
    <row r="1035" spans="1:19" x14ac:dyDescent="0.25">
      <c r="A1035" t="s">
        <v>1125</v>
      </c>
      <c r="B1035" s="2">
        <v>46052</v>
      </c>
      <c r="C1035" t="s">
        <v>28</v>
      </c>
      <c r="D1035" t="s">
        <v>29</v>
      </c>
      <c r="E1035" t="s">
        <v>63</v>
      </c>
      <c r="F1035" t="s">
        <v>46</v>
      </c>
      <c r="G1035" t="s">
        <v>57</v>
      </c>
      <c r="H1035">
        <v>110</v>
      </c>
      <c r="I1035">
        <v>120</v>
      </c>
      <c r="J1035">
        <v>10</v>
      </c>
      <c r="K1035">
        <v>8.6</v>
      </c>
      <c r="L1035">
        <v>28339.79</v>
      </c>
      <c r="M1035">
        <v>2.56</v>
      </c>
      <c r="N1035">
        <v>46.08</v>
      </c>
      <c r="O1035">
        <v>92</v>
      </c>
      <c r="P1035" s="2">
        <v>46055</v>
      </c>
      <c r="Q1035" s="2">
        <v>46054</v>
      </c>
      <c r="R1035" t="s">
        <v>100</v>
      </c>
      <c r="S1035" t="s">
        <v>51</v>
      </c>
    </row>
    <row r="1036" spans="1:19" x14ac:dyDescent="0.25">
      <c r="A1036" t="s">
        <v>1126</v>
      </c>
      <c r="B1036" s="2">
        <v>46069</v>
      </c>
      <c r="C1036" t="s">
        <v>80</v>
      </c>
      <c r="D1036" t="s">
        <v>21</v>
      </c>
      <c r="E1036" t="s">
        <v>22</v>
      </c>
      <c r="F1036" t="s">
        <v>125</v>
      </c>
      <c r="G1036" t="s">
        <v>24</v>
      </c>
      <c r="H1036">
        <v>238</v>
      </c>
      <c r="I1036">
        <v>245</v>
      </c>
      <c r="J1036">
        <v>11</v>
      </c>
      <c r="K1036">
        <v>6.5</v>
      </c>
      <c r="L1036">
        <v>77022.75</v>
      </c>
      <c r="M1036">
        <v>8.8800000000000008</v>
      </c>
      <c r="N1036">
        <v>177.6</v>
      </c>
      <c r="O1036">
        <v>248</v>
      </c>
      <c r="P1036" s="2">
        <v>46080</v>
      </c>
      <c r="Q1036" s="2">
        <v>46080</v>
      </c>
      <c r="R1036" t="s">
        <v>25</v>
      </c>
      <c r="S1036" t="s">
        <v>51</v>
      </c>
    </row>
    <row r="1037" spans="1:19" x14ac:dyDescent="0.25">
      <c r="A1037" t="s">
        <v>1127</v>
      </c>
      <c r="B1037" s="2">
        <v>46133</v>
      </c>
      <c r="C1037" t="s">
        <v>35</v>
      </c>
      <c r="D1037" t="s">
        <v>36</v>
      </c>
      <c r="E1037" t="s">
        <v>69</v>
      </c>
      <c r="F1037" t="s">
        <v>88</v>
      </c>
      <c r="G1037" t="s">
        <v>32</v>
      </c>
      <c r="H1037">
        <v>133</v>
      </c>
      <c r="I1037">
        <v>126</v>
      </c>
      <c r="J1037">
        <v>8</v>
      </c>
      <c r="K1037">
        <v>4.0999999999999996</v>
      </c>
      <c r="L1037">
        <v>14273.37</v>
      </c>
      <c r="M1037">
        <v>4.62</v>
      </c>
      <c r="N1037">
        <v>83.16</v>
      </c>
      <c r="O1037">
        <v>131</v>
      </c>
      <c r="P1037" s="2">
        <v>46139</v>
      </c>
      <c r="Q1037" s="2">
        <v>46139</v>
      </c>
      <c r="R1037" t="s">
        <v>25</v>
      </c>
      <c r="S1037" t="s">
        <v>33</v>
      </c>
    </row>
    <row r="1038" spans="1:19" x14ac:dyDescent="0.25">
      <c r="A1038" t="s">
        <v>1128</v>
      </c>
      <c r="B1038" s="2">
        <v>46165</v>
      </c>
      <c r="C1038" t="s">
        <v>35</v>
      </c>
      <c r="D1038" t="s">
        <v>36</v>
      </c>
      <c r="E1038" t="s">
        <v>37</v>
      </c>
      <c r="F1038" t="s">
        <v>91</v>
      </c>
      <c r="G1038" t="s">
        <v>24</v>
      </c>
      <c r="H1038">
        <v>316</v>
      </c>
      <c r="I1038">
        <v>273</v>
      </c>
      <c r="J1038">
        <v>1</v>
      </c>
      <c r="K1038">
        <v>6</v>
      </c>
      <c r="L1038">
        <v>26735.03</v>
      </c>
      <c r="M1038">
        <v>6.79</v>
      </c>
      <c r="N1038">
        <v>135.80000000000001</v>
      </c>
      <c r="O1038">
        <v>280</v>
      </c>
      <c r="P1038" s="2">
        <v>46176</v>
      </c>
      <c r="Q1038" s="2">
        <v>46176</v>
      </c>
      <c r="R1038" t="s">
        <v>25</v>
      </c>
      <c r="S1038" t="s">
        <v>72</v>
      </c>
    </row>
    <row r="1039" spans="1:19" x14ac:dyDescent="0.25">
      <c r="A1039" t="s">
        <v>1129</v>
      </c>
      <c r="B1039" s="2">
        <v>46039</v>
      </c>
      <c r="C1039" t="s">
        <v>80</v>
      </c>
      <c r="D1039" t="s">
        <v>21</v>
      </c>
      <c r="E1039" t="s">
        <v>22</v>
      </c>
      <c r="F1039" t="s">
        <v>122</v>
      </c>
      <c r="G1039" t="s">
        <v>57</v>
      </c>
      <c r="H1039">
        <v>263</v>
      </c>
      <c r="I1039">
        <v>264</v>
      </c>
      <c r="J1039">
        <v>15</v>
      </c>
      <c r="K1039">
        <v>1.2</v>
      </c>
      <c r="L1039">
        <v>75270.94</v>
      </c>
      <c r="M1039">
        <v>4.8600000000000003</v>
      </c>
      <c r="N1039">
        <v>87.48</v>
      </c>
      <c r="O1039">
        <v>281</v>
      </c>
      <c r="P1039" s="2">
        <v>46048</v>
      </c>
      <c r="Q1039" s="2">
        <v>46047</v>
      </c>
      <c r="R1039" t="s">
        <v>25</v>
      </c>
      <c r="S1039" t="s">
        <v>72</v>
      </c>
    </row>
    <row r="1040" spans="1:19" x14ac:dyDescent="0.25">
      <c r="A1040" t="s">
        <v>1130</v>
      </c>
      <c r="B1040" s="2">
        <v>46114</v>
      </c>
      <c r="C1040" t="s">
        <v>48</v>
      </c>
      <c r="D1040" t="s">
        <v>49</v>
      </c>
      <c r="E1040" t="s">
        <v>60</v>
      </c>
      <c r="F1040" t="s">
        <v>77</v>
      </c>
      <c r="G1040" t="s">
        <v>57</v>
      </c>
      <c r="H1040">
        <v>173</v>
      </c>
      <c r="I1040">
        <v>153</v>
      </c>
      <c r="J1040">
        <v>11</v>
      </c>
      <c r="K1040">
        <v>1.2</v>
      </c>
      <c r="L1040">
        <v>32202.16</v>
      </c>
      <c r="M1040">
        <v>3.03</v>
      </c>
      <c r="N1040">
        <v>60.6</v>
      </c>
      <c r="O1040">
        <v>139</v>
      </c>
      <c r="P1040" s="2">
        <v>46118</v>
      </c>
      <c r="Q1040" s="2">
        <v>46122</v>
      </c>
      <c r="R1040" t="s">
        <v>25</v>
      </c>
      <c r="S1040" t="s">
        <v>86</v>
      </c>
    </row>
    <row r="1041" spans="1:19" x14ac:dyDescent="0.25">
      <c r="A1041" t="s">
        <v>1131</v>
      </c>
      <c r="B1041" s="2">
        <v>46180</v>
      </c>
      <c r="C1041" t="s">
        <v>43</v>
      </c>
      <c r="D1041" t="s">
        <v>44</v>
      </c>
      <c r="E1041" t="s">
        <v>161</v>
      </c>
      <c r="F1041" t="s">
        <v>23</v>
      </c>
      <c r="G1041" t="s">
        <v>57</v>
      </c>
      <c r="H1041">
        <v>139</v>
      </c>
      <c r="I1041">
        <v>133</v>
      </c>
      <c r="J1041">
        <v>3</v>
      </c>
      <c r="K1041">
        <v>1.5</v>
      </c>
      <c r="L1041">
        <v>16047.73</v>
      </c>
      <c r="M1041">
        <v>4.7</v>
      </c>
      <c r="N1041">
        <v>84.6</v>
      </c>
      <c r="O1041">
        <v>209</v>
      </c>
      <c r="P1041" s="2">
        <v>46188</v>
      </c>
      <c r="Q1041" s="2">
        <v>46186</v>
      </c>
      <c r="R1041" t="s">
        <v>100</v>
      </c>
      <c r="S1041" t="s">
        <v>51</v>
      </c>
    </row>
    <row r="1042" spans="1:19" x14ac:dyDescent="0.25">
      <c r="A1042" t="s">
        <v>1132</v>
      </c>
      <c r="B1042" s="2">
        <v>46095</v>
      </c>
      <c r="C1042" t="s">
        <v>20</v>
      </c>
      <c r="D1042" t="s">
        <v>21</v>
      </c>
      <c r="E1042" t="s">
        <v>90</v>
      </c>
      <c r="F1042" t="s">
        <v>135</v>
      </c>
      <c r="G1042" t="s">
        <v>24</v>
      </c>
      <c r="H1042">
        <v>161</v>
      </c>
      <c r="I1042">
        <v>133</v>
      </c>
      <c r="J1042">
        <v>11</v>
      </c>
      <c r="K1042">
        <v>7.4</v>
      </c>
      <c r="L1042">
        <v>47678.75</v>
      </c>
      <c r="M1042">
        <v>3.1</v>
      </c>
      <c r="N1042">
        <v>68.2</v>
      </c>
      <c r="O1042">
        <v>129</v>
      </c>
      <c r="P1042" s="2">
        <v>46100</v>
      </c>
      <c r="Q1042" s="2">
        <v>46098</v>
      </c>
      <c r="R1042" t="s">
        <v>25</v>
      </c>
      <c r="S1042" t="s">
        <v>86</v>
      </c>
    </row>
    <row r="1043" spans="1:19" x14ac:dyDescent="0.25">
      <c r="A1043" t="s">
        <v>1133</v>
      </c>
      <c r="B1043" s="2">
        <v>46126</v>
      </c>
      <c r="C1043" t="s">
        <v>53</v>
      </c>
      <c r="D1043" t="s">
        <v>54</v>
      </c>
      <c r="E1043" t="s">
        <v>131</v>
      </c>
      <c r="F1043" t="s">
        <v>23</v>
      </c>
      <c r="G1043" t="s">
        <v>32</v>
      </c>
      <c r="H1043">
        <v>174</v>
      </c>
      <c r="I1043">
        <v>156</v>
      </c>
      <c r="J1043">
        <v>11</v>
      </c>
      <c r="K1043">
        <v>5.6</v>
      </c>
      <c r="L1043">
        <v>21765.29</v>
      </c>
      <c r="M1043">
        <v>5.72</v>
      </c>
      <c r="N1043">
        <v>125.84</v>
      </c>
      <c r="O1043">
        <v>229</v>
      </c>
      <c r="P1043" s="2">
        <v>46132</v>
      </c>
      <c r="Q1043" s="2">
        <v>46134</v>
      </c>
      <c r="R1043" t="s">
        <v>25</v>
      </c>
      <c r="S1043" t="s">
        <v>72</v>
      </c>
    </row>
    <row r="1044" spans="1:19" x14ac:dyDescent="0.25">
      <c r="A1044" t="s">
        <v>1134</v>
      </c>
      <c r="B1044" s="2">
        <v>46050</v>
      </c>
      <c r="C1044" t="s">
        <v>43</v>
      </c>
      <c r="D1044" t="s">
        <v>44</v>
      </c>
      <c r="E1044" t="s">
        <v>161</v>
      </c>
      <c r="F1044" t="s">
        <v>23</v>
      </c>
      <c r="G1044" t="s">
        <v>57</v>
      </c>
      <c r="H1044">
        <v>198</v>
      </c>
      <c r="I1044">
        <v>179</v>
      </c>
      <c r="J1044">
        <v>2</v>
      </c>
      <c r="K1044">
        <v>5</v>
      </c>
      <c r="L1044">
        <v>24901.15</v>
      </c>
      <c r="M1044">
        <v>5.43</v>
      </c>
      <c r="N1044">
        <v>97.74</v>
      </c>
      <c r="O1044">
        <v>211</v>
      </c>
      <c r="P1044" s="2">
        <v>46052</v>
      </c>
      <c r="Q1044" s="2">
        <v>46054</v>
      </c>
      <c r="R1044" t="s">
        <v>39</v>
      </c>
      <c r="S1044" t="s">
        <v>72</v>
      </c>
    </row>
    <row r="1045" spans="1:19" x14ac:dyDescent="0.25">
      <c r="A1045" t="s">
        <v>1135</v>
      </c>
      <c r="B1045" s="2">
        <v>46125</v>
      </c>
      <c r="C1045" t="s">
        <v>59</v>
      </c>
      <c r="D1045" t="s">
        <v>49</v>
      </c>
      <c r="E1045" t="s">
        <v>50</v>
      </c>
      <c r="F1045" t="s">
        <v>96</v>
      </c>
      <c r="G1045" t="s">
        <v>24</v>
      </c>
      <c r="H1045">
        <v>205</v>
      </c>
      <c r="I1045">
        <v>161</v>
      </c>
      <c r="J1045">
        <v>8</v>
      </c>
      <c r="K1045">
        <v>4.9000000000000004</v>
      </c>
      <c r="L1045">
        <v>30650.33</v>
      </c>
      <c r="M1045">
        <v>5.49</v>
      </c>
      <c r="N1045">
        <v>131.76</v>
      </c>
      <c r="O1045">
        <v>192</v>
      </c>
      <c r="P1045" s="2">
        <v>46129</v>
      </c>
      <c r="Q1045" s="2">
        <v>46127</v>
      </c>
      <c r="R1045" t="s">
        <v>25</v>
      </c>
      <c r="S1045" t="s">
        <v>33</v>
      </c>
    </row>
    <row r="1046" spans="1:19" x14ac:dyDescent="0.25">
      <c r="A1046" t="s">
        <v>1136</v>
      </c>
      <c r="B1046" s="2">
        <v>46141</v>
      </c>
      <c r="C1046" t="s">
        <v>20</v>
      </c>
      <c r="D1046" t="s">
        <v>21</v>
      </c>
      <c r="E1046" t="s">
        <v>22</v>
      </c>
      <c r="F1046" t="s">
        <v>125</v>
      </c>
      <c r="G1046" t="s">
        <v>57</v>
      </c>
      <c r="H1046">
        <v>210</v>
      </c>
      <c r="I1046">
        <v>155</v>
      </c>
      <c r="J1046">
        <v>7</v>
      </c>
      <c r="K1046">
        <v>2.2000000000000002</v>
      </c>
      <c r="L1046">
        <v>45919.65</v>
      </c>
      <c r="M1046">
        <v>3.09</v>
      </c>
      <c r="N1046">
        <v>55.62</v>
      </c>
      <c r="O1046">
        <v>243</v>
      </c>
      <c r="P1046" s="2">
        <v>46148</v>
      </c>
      <c r="Q1046" s="2">
        <v>46148</v>
      </c>
      <c r="R1046" t="s">
        <v>100</v>
      </c>
      <c r="S1046" t="s">
        <v>72</v>
      </c>
    </row>
    <row r="1047" spans="1:19" x14ac:dyDescent="0.25">
      <c r="A1047" t="s">
        <v>1137</v>
      </c>
      <c r="B1047" s="2">
        <v>46067</v>
      </c>
      <c r="C1047" t="s">
        <v>20</v>
      </c>
      <c r="D1047" t="s">
        <v>21</v>
      </c>
      <c r="E1047" t="s">
        <v>66</v>
      </c>
      <c r="F1047" t="s">
        <v>135</v>
      </c>
      <c r="G1047" t="s">
        <v>57</v>
      </c>
      <c r="H1047">
        <v>130</v>
      </c>
      <c r="I1047">
        <v>94</v>
      </c>
      <c r="J1047">
        <v>5</v>
      </c>
      <c r="K1047">
        <v>1.6</v>
      </c>
      <c r="L1047">
        <v>31021.02</v>
      </c>
      <c r="M1047">
        <v>2.4900000000000002</v>
      </c>
      <c r="N1047">
        <v>59.76</v>
      </c>
      <c r="O1047">
        <v>199</v>
      </c>
      <c r="P1047" s="2">
        <v>46078</v>
      </c>
      <c r="Q1047" s="2">
        <v>46078</v>
      </c>
      <c r="R1047" t="s">
        <v>100</v>
      </c>
      <c r="S1047" t="s">
        <v>33</v>
      </c>
    </row>
    <row r="1048" spans="1:19" x14ac:dyDescent="0.25">
      <c r="A1048" t="s">
        <v>1138</v>
      </c>
      <c r="B1048" s="2">
        <v>46166</v>
      </c>
      <c r="C1048" t="s">
        <v>80</v>
      </c>
      <c r="D1048" t="s">
        <v>320</v>
      </c>
      <c r="E1048" t="s">
        <v>90</v>
      </c>
      <c r="F1048" t="s">
        <v>61</v>
      </c>
      <c r="G1048" t="s">
        <v>57</v>
      </c>
      <c r="H1048">
        <v>130</v>
      </c>
      <c r="I1048">
        <v>149</v>
      </c>
      <c r="J1048">
        <v>11</v>
      </c>
      <c r="K1048">
        <v>7</v>
      </c>
      <c r="L1048">
        <v>37474.339999999997</v>
      </c>
      <c r="M1048">
        <v>5.58</v>
      </c>
      <c r="N1048">
        <v>133.91999999999999</v>
      </c>
      <c r="O1048">
        <v>155</v>
      </c>
      <c r="P1048" s="2">
        <v>46174</v>
      </c>
      <c r="Q1048" s="2">
        <v>46176</v>
      </c>
      <c r="R1048" t="s">
        <v>100</v>
      </c>
      <c r="S1048" t="s">
        <v>33</v>
      </c>
    </row>
    <row r="1049" spans="1:19" x14ac:dyDescent="0.25">
      <c r="A1049" t="s">
        <v>1139</v>
      </c>
      <c r="B1049" s="2">
        <v>46113</v>
      </c>
      <c r="C1049" t="s">
        <v>20</v>
      </c>
      <c r="D1049" t="s">
        <v>21</v>
      </c>
      <c r="E1049" t="s">
        <v>66</v>
      </c>
      <c r="F1049" t="s">
        <v>135</v>
      </c>
      <c r="G1049" t="s">
        <v>57</v>
      </c>
      <c r="H1049">
        <v>141</v>
      </c>
      <c r="I1049">
        <v>151</v>
      </c>
      <c r="J1049">
        <v>10</v>
      </c>
      <c r="K1049">
        <v>4.3</v>
      </c>
      <c r="L1049">
        <v>45887.49</v>
      </c>
      <c r="M1049">
        <v>4.18</v>
      </c>
      <c r="N1049">
        <v>100.32</v>
      </c>
      <c r="O1049">
        <v>126</v>
      </c>
      <c r="P1049" s="2">
        <v>46119</v>
      </c>
      <c r="Q1049" s="2">
        <v>46120</v>
      </c>
      <c r="R1049" t="s">
        <v>39</v>
      </c>
      <c r="S1049" t="s">
        <v>33</v>
      </c>
    </row>
    <row r="1050" spans="1:19" x14ac:dyDescent="0.25">
      <c r="A1050" t="s">
        <v>1140</v>
      </c>
      <c r="B1050" s="2">
        <v>46035</v>
      </c>
      <c r="C1050" t="s">
        <v>53</v>
      </c>
      <c r="D1050" t="s">
        <v>54</v>
      </c>
      <c r="E1050" t="s">
        <v>131</v>
      </c>
      <c r="F1050" t="s">
        <v>135</v>
      </c>
      <c r="G1050" t="s">
        <v>32</v>
      </c>
      <c r="H1050">
        <v>250</v>
      </c>
      <c r="I1050">
        <v>230</v>
      </c>
      <c r="J1050">
        <v>20</v>
      </c>
      <c r="K1050">
        <v>0.3</v>
      </c>
      <c r="L1050">
        <v>33532.339999999997</v>
      </c>
      <c r="M1050">
        <v>5.44</v>
      </c>
      <c r="N1050">
        <v>141.44</v>
      </c>
      <c r="O1050">
        <v>227</v>
      </c>
      <c r="P1050" s="2">
        <v>46046</v>
      </c>
      <c r="Q1050" s="2">
        <v>46046</v>
      </c>
      <c r="R1050" t="s">
        <v>39</v>
      </c>
      <c r="S1050" t="s">
        <v>51</v>
      </c>
    </row>
    <row r="1051" spans="1:19" x14ac:dyDescent="0.25">
      <c r="A1051" t="s">
        <v>1141</v>
      </c>
      <c r="B1051" s="2">
        <v>46193</v>
      </c>
      <c r="C1051" t="s">
        <v>20</v>
      </c>
      <c r="D1051" t="s">
        <v>21</v>
      </c>
      <c r="E1051" t="s">
        <v>90</v>
      </c>
      <c r="F1051" t="s">
        <v>110</v>
      </c>
      <c r="G1051" t="s">
        <v>57</v>
      </c>
      <c r="H1051">
        <v>280</v>
      </c>
      <c r="I1051">
        <v>222</v>
      </c>
      <c r="J1051">
        <v>6</v>
      </c>
      <c r="K1051">
        <v>5.5</v>
      </c>
      <c r="L1051">
        <v>61372.94</v>
      </c>
      <c r="M1051">
        <v>7.44</v>
      </c>
      <c r="N1051">
        <v>193.44</v>
      </c>
      <c r="O1051">
        <v>367</v>
      </c>
      <c r="P1051" s="2">
        <v>46201</v>
      </c>
      <c r="Q1051" s="2">
        <v>46205</v>
      </c>
      <c r="R1051" t="s">
        <v>25</v>
      </c>
      <c r="S1051" t="s">
        <v>51</v>
      </c>
    </row>
    <row r="1052" spans="1:19" x14ac:dyDescent="0.25">
      <c r="A1052" t="s">
        <v>1142</v>
      </c>
      <c r="B1052" s="2">
        <v>46141</v>
      </c>
      <c r="C1052" t="s">
        <v>53</v>
      </c>
      <c r="D1052" t="s">
        <v>54</v>
      </c>
      <c r="E1052" t="s">
        <v>55</v>
      </c>
      <c r="F1052" t="s">
        <v>119</v>
      </c>
      <c r="G1052" t="s">
        <v>32</v>
      </c>
      <c r="H1052">
        <v>288</v>
      </c>
      <c r="I1052">
        <v>258</v>
      </c>
      <c r="J1052">
        <v>15</v>
      </c>
      <c r="K1052">
        <v>6.7</v>
      </c>
      <c r="L1052">
        <v>35031.11</v>
      </c>
      <c r="M1052">
        <v>10.56</v>
      </c>
      <c r="N1052">
        <v>211.2</v>
      </c>
      <c r="O1052">
        <v>303</v>
      </c>
      <c r="P1052" s="2">
        <v>46150</v>
      </c>
      <c r="Q1052" s="2">
        <v>46150</v>
      </c>
      <c r="R1052" t="s">
        <v>25</v>
      </c>
      <c r="S1052" t="s">
        <v>26</v>
      </c>
    </row>
    <row r="1053" spans="1:19" x14ac:dyDescent="0.25">
      <c r="A1053" t="s">
        <v>1143</v>
      </c>
      <c r="B1053" s="2">
        <v>46091</v>
      </c>
      <c r="C1053" t="s">
        <v>28</v>
      </c>
      <c r="D1053" t="s">
        <v>29</v>
      </c>
      <c r="E1053" t="s">
        <v>63</v>
      </c>
      <c r="F1053" t="s">
        <v>74</v>
      </c>
      <c r="G1053" t="s">
        <v>57</v>
      </c>
      <c r="H1053">
        <v>292</v>
      </c>
      <c r="I1053">
        <v>232</v>
      </c>
      <c r="J1053">
        <v>7</v>
      </c>
      <c r="K1053">
        <v>1.6</v>
      </c>
      <c r="L1053">
        <v>64756.49</v>
      </c>
      <c r="M1053">
        <v>7.91</v>
      </c>
      <c r="N1053">
        <v>205.66</v>
      </c>
      <c r="O1053">
        <v>326</v>
      </c>
      <c r="P1053" s="2">
        <v>46102</v>
      </c>
      <c r="Q1053" s="2">
        <v>46101</v>
      </c>
      <c r="R1053" t="s">
        <v>39</v>
      </c>
      <c r="S1053" t="s">
        <v>33</v>
      </c>
    </row>
    <row r="1054" spans="1:19" x14ac:dyDescent="0.25">
      <c r="A1054" t="s">
        <v>1144</v>
      </c>
      <c r="B1054" s="2">
        <v>46090</v>
      </c>
      <c r="C1054" t="s">
        <v>43</v>
      </c>
      <c r="D1054" t="s">
        <v>44</v>
      </c>
      <c r="E1054" t="s">
        <v>161</v>
      </c>
      <c r="F1054" t="s">
        <v>64</v>
      </c>
      <c r="G1054" t="s">
        <v>57</v>
      </c>
      <c r="H1054">
        <v>297</v>
      </c>
      <c r="I1054">
        <v>340</v>
      </c>
      <c r="J1054">
        <v>21</v>
      </c>
      <c r="K1054">
        <v>0.2</v>
      </c>
      <c r="L1054">
        <v>39635.4</v>
      </c>
      <c r="M1054">
        <v>12.81</v>
      </c>
      <c r="N1054">
        <v>333.06</v>
      </c>
      <c r="O1054">
        <v>300</v>
      </c>
      <c r="P1054" s="2">
        <v>46093</v>
      </c>
      <c r="Q1054" s="2">
        <v>46092</v>
      </c>
      <c r="R1054" t="s">
        <v>100</v>
      </c>
      <c r="S1054" t="s">
        <v>33</v>
      </c>
    </row>
    <row r="1055" spans="1:19" x14ac:dyDescent="0.25">
      <c r="A1055" t="s">
        <v>1145</v>
      </c>
      <c r="B1055" s="2">
        <v>46184</v>
      </c>
      <c r="C1055" t="s">
        <v>59</v>
      </c>
      <c r="D1055" t="s">
        <v>49</v>
      </c>
      <c r="E1055" t="s">
        <v>50</v>
      </c>
      <c r="F1055" t="s">
        <v>38</v>
      </c>
      <c r="G1055" t="s">
        <v>57</v>
      </c>
      <c r="H1055">
        <v>297</v>
      </c>
      <c r="I1055">
        <v>332</v>
      </c>
      <c r="J1055">
        <v>29</v>
      </c>
      <c r="K1055">
        <v>8.5</v>
      </c>
      <c r="L1055">
        <v>59667.41</v>
      </c>
      <c r="M1055">
        <v>11.43</v>
      </c>
      <c r="N1055">
        <v>297.18</v>
      </c>
      <c r="O1055">
        <v>388</v>
      </c>
      <c r="P1055" s="2">
        <v>46195</v>
      </c>
      <c r="Q1055" s="2">
        <v>46199</v>
      </c>
      <c r="R1055" t="s">
        <v>25</v>
      </c>
      <c r="S1055" t="s">
        <v>33</v>
      </c>
    </row>
    <row r="1056" spans="1:19" x14ac:dyDescent="0.25">
      <c r="A1056" t="s">
        <v>1146</v>
      </c>
      <c r="B1056" s="2">
        <v>46136</v>
      </c>
      <c r="C1056" t="s">
        <v>80</v>
      </c>
      <c r="D1056" t="s">
        <v>21</v>
      </c>
      <c r="E1056" t="s">
        <v>66</v>
      </c>
      <c r="F1056" t="s">
        <v>137</v>
      </c>
      <c r="G1056" t="s">
        <v>57</v>
      </c>
      <c r="H1056">
        <v>294</v>
      </c>
      <c r="I1056">
        <v>279</v>
      </c>
      <c r="J1056">
        <v>17</v>
      </c>
      <c r="K1056">
        <v>8.6999999999999993</v>
      </c>
      <c r="L1056">
        <v>86057.93</v>
      </c>
      <c r="M1056">
        <v>10.48</v>
      </c>
      <c r="N1056">
        <v>188.64</v>
      </c>
      <c r="O1056">
        <v>393</v>
      </c>
      <c r="P1056" s="2">
        <v>46144</v>
      </c>
      <c r="Q1056" s="2">
        <v>46144</v>
      </c>
      <c r="R1056" t="s">
        <v>25</v>
      </c>
      <c r="S1056" t="s">
        <v>51</v>
      </c>
    </row>
    <row r="1057" spans="1:19" x14ac:dyDescent="0.25">
      <c r="A1057" t="s">
        <v>1147</v>
      </c>
      <c r="B1057" s="2">
        <v>46053</v>
      </c>
      <c r="C1057" t="s">
        <v>53</v>
      </c>
      <c r="D1057" t="s">
        <v>54</v>
      </c>
      <c r="E1057" t="s">
        <v>131</v>
      </c>
      <c r="F1057" t="s">
        <v>122</v>
      </c>
      <c r="G1057" t="s">
        <v>24</v>
      </c>
      <c r="H1057">
        <v>213</v>
      </c>
      <c r="I1057">
        <v>200</v>
      </c>
      <c r="J1057">
        <v>17</v>
      </c>
      <c r="K1057">
        <v>5.0999999999999996</v>
      </c>
      <c r="L1057">
        <v>28012.68</v>
      </c>
      <c r="M1057">
        <v>5.7</v>
      </c>
      <c r="N1057">
        <v>102.6</v>
      </c>
      <c r="O1057">
        <v>311</v>
      </c>
      <c r="P1057" s="2">
        <v>46057</v>
      </c>
      <c r="Q1057" s="2">
        <v>46055</v>
      </c>
      <c r="R1057" t="s">
        <v>25</v>
      </c>
      <c r="S1057" t="s">
        <v>33</v>
      </c>
    </row>
    <row r="1058" spans="1:19" x14ac:dyDescent="0.25">
      <c r="A1058" t="s">
        <v>1148</v>
      </c>
      <c r="B1058" s="2">
        <v>46130</v>
      </c>
      <c r="C1058" t="s">
        <v>53</v>
      </c>
      <c r="D1058" t="s">
        <v>54</v>
      </c>
      <c r="E1058" t="s">
        <v>131</v>
      </c>
      <c r="F1058" t="s">
        <v>85</v>
      </c>
      <c r="G1058" t="s">
        <v>32</v>
      </c>
      <c r="H1058">
        <v>201</v>
      </c>
      <c r="I1058">
        <v>202</v>
      </c>
      <c r="J1058">
        <v>16</v>
      </c>
      <c r="K1058">
        <v>1.6</v>
      </c>
      <c r="L1058">
        <v>26063.81</v>
      </c>
      <c r="M1058">
        <v>5.09</v>
      </c>
      <c r="N1058">
        <v>122.16</v>
      </c>
      <c r="O1058">
        <v>184</v>
      </c>
      <c r="P1058" s="2">
        <v>46142</v>
      </c>
      <c r="Q1058" s="2">
        <v>46141</v>
      </c>
      <c r="R1058" t="s">
        <v>25</v>
      </c>
      <c r="S1058" t="s">
        <v>26</v>
      </c>
    </row>
    <row r="1059" spans="1:19" x14ac:dyDescent="0.25">
      <c r="A1059" t="s">
        <v>1149</v>
      </c>
      <c r="B1059" s="2">
        <v>46092</v>
      </c>
      <c r="C1059" t="s">
        <v>43</v>
      </c>
      <c r="D1059" t="s">
        <v>44</v>
      </c>
      <c r="E1059" t="s">
        <v>45</v>
      </c>
      <c r="F1059" t="s">
        <v>91</v>
      </c>
      <c r="G1059" t="s">
        <v>57</v>
      </c>
      <c r="H1059">
        <v>251</v>
      </c>
      <c r="I1059">
        <v>226</v>
      </c>
      <c r="J1059">
        <v>19</v>
      </c>
      <c r="K1059">
        <v>1.4</v>
      </c>
      <c r="L1059">
        <v>27882.03</v>
      </c>
      <c r="M1059">
        <v>9.18</v>
      </c>
      <c r="N1059">
        <v>220.32</v>
      </c>
      <c r="O1059">
        <v>223</v>
      </c>
      <c r="P1059" s="2">
        <v>46098</v>
      </c>
      <c r="Q1059" s="2">
        <v>46096</v>
      </c>
      <c r="R1059" t="s">
        <v>39</v>
      </c>
      <c r="S1059" t="s">
        <v>33</v>
      </c>
    </row>
    <row r="1060" spans="1:19" x14ac:dyDescent="0.25">
      <c r="A1060" t="s">
        <v>1150</v>
      </c>
      <c r="B1060" s="2">
        <v>46089</v>
      </c>
      <c r="C1060" t="s">
        <v>20</v>
      </c>
      <c r="D1060" t="s">
        <v>21</v>
      </c>
      <c r="E1060" t="s">
        <v>66</v>
      </c>
      <c r="F1060" t="s">
        <v>71</v>
      </c>
      <c r="G1060" t="s">
        <v>32</v>
      </c>
      <c r="H1060">
        <v>188</v>
      </c>
      <c r="I1060">
        <v>144</v>
      </c>
      <c r="J1060">
        <v>6</v>
      </c>
      <c r="K1060">
        <v>4.4000000000000004</v>
      </c>
      <c r="L1060">
        <v>44301.37</v>
      </c>
      <c r="M1060">
        <v>4.28</v>
      </c>
      <c r="N1060">
        <v>111.28</v>
      </c>
      <c r="O1060">
        <v>205</v>
      </c>
      <c r="P1060" s="2">
        <v>46096</v>
      </c>
      <c r="Q1060" s="2">
        <v>46098</v>
      </c>
      <c r="R1060" t="s">
        <v>25</v>
      </c>
      <c r="S1060" t="s">
        <v>26</v>
      </c>
    </row>
    <row r="1061" spans="1:19" x14ac:dyDescent="0.25">
      <c r="A1061" t="s">
        <v>1151</v>
      </c>
      <c r="B1061" s="2">
        <v>46191</v>
      </c>
      <c r="C1061" t="s">
        <v>35</v>
      </c>
      <c r="D1061" t="s">
        <v>36</v>
      </c>
      <c r="E1061" t="s">
        <v>37</v>
      </c>
      <c r="F1061" t="s">
        <v>77</v>
      </c>
      <c r="G1061" t="s">
        <v>57</v>
      </c>
      <c r="H1061">
        <v>154</v>
      </c>
      <c r="I1061">
        <v>153</v>
      </c>
      <c r="J1061">
        <v>12</v>
      </c>
      <c r="K1061">
        <v>8.3000000000000007</v>
      </c>
      <c r="L1061">
        <v>14234.21</v>
      </c>
      <c r="M1061">
        <v>4.99</v>
      </c>
      <c r="N1061">
        <v>119.76</v>
      </c>
      <c r="O1061">
        <v>253</v>
      </c>
      <c r="P1061" s="2">
        <v>46196</v>
      </c>
      <c r="Q1061" s="2">
        <v>46196</v>
      </c>
      <c r="R1061" t="s">
        <v>39</v>
      </c>
      <c r="S1061" t="s">
        <v>86</v>
      </c>
    </row>
    <row r="1062" spans="1:19" x14ac:dyDescent="0.25">
      <c r="A1062" t="s">
        <v>1152</v>
      </c>
      <c r="B1062" s="2">
        <v>46138</v>
      </c>
      <c r="C1062" t="s">
        <v>59</v>
      </c>
      <c r="D1062" t="s">
        <v>49</v>
      </c>
      <c r="E1062" t="s">
        <v>50</v>
      </c>
      <c r="F1062" t="s">
        <v>137</v>
      </c>
      <c r="G1062" t="s">
        <v>24</v>
      </c>
      <c r="H1062">
        <v>96</v>
      </c>
      <c r="I1062">
        <v>87</v>
      </c>
      <c r="J1062">
        <v>1</v>
      </c>
      <c r="K1062">
        <v>3</v>
      </c>
      <c r="L1062">
        <v>13241.69</v>
      </c>
      <c r="M1062">
        <v>3.51</v>
      </c>
      <c r="N1062">
        <v>91.26</v>
      </c>
      <c r="O1062">
        <v>118</v>
      </c>
      <c r="P1062" s="2">
        <v>46150</v>
      </c>
      <c r="Q1062" s="2">
        <v>46152</v>
      </c>
      <c r="R1062" t="s">
        <v>25</v>
      </c>
      <c r="S1062" t="s">
        <v>51</v>
      </c>
    </row>
    <row r="1063" spans="1:19" x14ac:dyDescent="0.25">
      <c r="A1063" t="s">
        <v>1153</v>
      </c>
      <c r="B1063" s="2">
        <v>46023</v>
      </c>
      <c r="C1063" t="s">
        <v>28</v>
      </c>
      <c r="D1063" t="s">
        <v>29</v>
      </c>
      <c r="E1063" t="s">
        <v>95</v>
      </c>
      <c r="F1063" t="s">
        <v>114</v>
      </c>
      <c r="G1063" t="s">
        <v>57</v>
      </c>
      <c r="H1063">
        <v>216</v>
      </c>
      <c r="I1063">
        <v>192</v>
      </c>
      <c r="J1063">
        <v>12</v>
      </c>
      <c r="K1063">
        <v>2.1</v>
      </c>
      <c r="L1063">
        <v>36011.32</v>
      </c>
      <c r="M1063">
        <v>7.99</v>
      </c>
      <c r="N1063">
        <v>191.76</v>
      </c>
      <c r="O1063">
        <v>298</v>
      </c>
      <c r="P1063" s="2">
        <v>46027</v>
      </c>
      <c r="Q1063" s="2">
        <v>46031</v>
      </c>
      <c r="R1063" t="s">
        <v>39</v>
      </c>
      <c r="S1063" t="s">
        <v>72</v>
      </c>
    </row>
    <row r="1064" spans="1:19" x14ac:dyDescent="0.25">
      <c r="A1064" t="s">
        <v>1154</v>
      </c>
      <c r="B1064" s="2">
        <v>46028</v>
      </c>
      <c r="C1064" t="s">
        <v>20</v>
      </c>
      <c r="D1064" t="s">
        <v>21</v>
      </c>
      <c r="E1064" t="s">
        <v>22</v>
      </c>
      <c r="F1064" t="s">
        <v>23</v>
      </c>
      <c r="G1064" t="s">
        <v>57</v>
      </c>
      <c r="H1064">
        <v>156</v>
      </c>
      <c r="I1064">
        <v>117</v>
      </c>
      <c r="J1064">
        <v>11</v>
      </c>
      <c r="K1064">
        <v>1</v>
      </c>
      <c r="L1064">
        <v>49021.06</v>
      </c>
      <c r="M1064">
        <v>2.8</v>
      </c>
      <c r="N1064">
        <v>72.8</v>
      </c>
      <c r="O1064">
        <v>157</v>
      </c>
      <c r="P1064" s="2">
        <v>46033</v>
      </c>
      <c r="Q1064" s="2">
        <v>46035</v>
      </c>
      <c r="R1064" t="s">
        <v>25</v>
      </c>
      <c r="S1064" t="s">
        <v>72</v>
      </c>
    </row>
    <row r="1065" spans="1:19" x14ac:dyDescent="0.25">
      <c r="A1065" t="s">
        <v>1155</v>
      </c>
      <c r="B1065" s="2">
        <v>46127</v>
      </c>
      <c r="C1065" t="s">
        <v>80</v>
      </c>
      <c r="D1065" t="s">
        <v>21</v>
      </c>
      <c r="E1065" t="s">
        <v>90</v>
      </c>
      <c r="F1065" t="s">
        <v>119</v>
      </c>
      <c r="G1065" t="s">
        <v>57</v>
      </c>
      <c r="H1065">
        <v>127</v>
      </c>
      <c r="I1065">
        <v>145</v>
      </c>
      <c r="J1065">
        <v>1</v>
      </c>
      <c r="K1065">
        <v>2.2999999999999998</v>
      </c>
      <c r="L1065">
        <v>35170.879999999997</v>
      </c>
      <c r="M1065">
        <v>3.77</v>
      </c>
      <c r="N1065">
        <v>67.86</v>
      </c>
      <c r="O1065">
        <v>129</v>
      </c>
      <c r="P1065" s="2">
        <v>46134</v>
      </c>
      <c r="Q1065" s="2">
        <v>46134</v>
      </c>
      <c r="R1065" t="s">
        <v>25</v>
      </c>
      <c r="S1065" t="s">
        <v>86</v>
      </c>
    </row>
    <row r="1066" spans="1:19" x14ac:dyDescent="0.25">
      <c r="A1066" t="s">
        <v>1156</v>
      </c>
      <c r="B1066" s="2">
        <v>46054</v>
      </c>
      <c r="C1066" t="s">
        <v>20</v>
      </c>
      <c r="D1066" t="s">
        <v>21</v>
      </c>
      <c r="E1066" t="s">
        <v>90</v>
      </c>
      <c r="F1066" t="s">
        <v>170</v>
      </c>
      <c r="G1066" t="s">
        <v>24</v>
      </c>
      <c r="H1066">
        <v>161</v>
      </c>
      <c r="I1066">
        <v>160</v>
      </c>
      <c r="J1066">
        <v>13</v>
      </c>
      <c r="K1066">
        <v>6.3</v>
      </c>
      <c r="L1066">
        <v>51258.46</v>
      </c>
      <c r="M1066">
        <v>4.4800000000000004</v>
      </c>
      <c r="N1066">
        <v>80.64</v>
      </c>
      <c r="O1066">
        <v>241</v>
      </c>
      <c r="P1066" s="2">
        <v>46063</v>
      </c>
      <c r="Q1066" s="2">
        <v>46062</v>
      </c>
      <c r="R1066" t="s">
        <v>39</v>
      </c>
      <c r="S1066" t="s">
        <v>86</v>
      </c>
    </row>
    <row r="1067" spans="1:19" x14ac:dyDescent="0.25">
      <c r="A1067" t="s">
        <v>1157</v>
      </c>
      <c r="B1067" s="2">
        <v>46175</v>
      </c>
      <c r="C1067" t="s">
        <v>80</v>
      </c>
      <c r="D1067" t="s">
        <v>21</v>
      </c>
      <c r="E1067" t="s">
        <v>66</v>
      </c>
      <c r="F1067" t="s">
        <v>56</v>
      </c>
      <c r="G1067" t="s">
        <v>57</v>
      </c>
      <c r="H1067">
        <v>218</v>
      </c>
      <c r="I1067">
        <v>246</v>
      </c>
      <c r="J1067">
        <v>17</v>
      </c>
      <c r="K1067">
        <v>7.8</v>
      </c>
      <c r="L1067">
        <v>65590.28</v>
      </c>
      <c r="M1067">
        <v>5</v>
      </c>
      <c r="N1067">
        <v>90</v>
      </c>
      <c r="O1067">
        <v>291</v>
      </c>
      <c r="P1067" s="2">
        <v>46181</v>
      </c>
      <c r="Q1067" s="2">
        <v>46183</v>
      </c>
      <c r="R1067" t="s">
        <v>39</v>
      </c>
      <c r="S1067" t="s">
        <v>51</v>
      </c>
    </row>
    <row r="1068" spans="1:19" x14ac:dyDescent="0.25">
      <c r="A1068" t="s">
        <v>1158</v>
      </c>
      <c r="B1068" s="2">
        <v>46106</v>
      </c>
      <c r="C1068" t="s">
        <v>43</v>
      </c>
      <c r="D1068" t="s">
        <v>44</v>
      </c>
      <c r="E1068" t="s">
        <v>161</v>
      </c>
      <c r="F1068" t="s">
        <v>67</v>
      </c>
      <c r="G1068" t="s">
        <v>24</v>
      </c>
      <c r="H1068">
        <v>240</v>
      </c>
      <c r="I1068">
        <v>211</v>
      </c>
      <c r="J1068">
        <v>6</v>
      </c>
      <c r="K1068">
        <v>3.8</v>
      </c>
      <c r="L1068">
        <v>27068.11</v>
      </c>
      <c r="M1068">
        <v>8.43</v>
      </c>
      <c r="N1068">
        <v>219.18</v>
      </c>
      <c r="O1068">
        <v>301</v>
      </c>
      <c r="P1068" s="2">
        <v>46117</v>
      </c>
      <c r="Q1068" s="2">
        <v>46121</v>
      </c>
      <c r="R1068" t="s">
        <v>25</v>
      </c>
      <c r="S1068" t="s">
        <v>72</v>
      </c>
    </row>
    <row r="1069" spans="1:19" x14ac:dyDescent="0.25">
      <c r="A1069" t="s">
        <v>1159</v>
      </c>
      <c r="B1069" s="2">
        <v>46168</v>
      </c>
      <c r="C1069" t="s">
        <v>59</v>
      </c>
      <c r="D1069" t="s">
        <v>49</v>
      </c>
      <c r="E1069" t="s">
        <v>60</v>
      </c>
      <c r="F1069" t="s">
        <v>56</v>
      </c>
      <c r="G1069" t="s">
        <v>24</v>
      </c>
      <c r="H1069">
        <v>308</v>
      </c>
      <c r="I1069">
        <v>336</v>
      </c>
      <c r="J1069">
        <v>11</v>
      </c>
      <c r="K1069">
        <v>5.3</v>
      </c>
      <c r="L1069">
        <v>74380.3</v>
      </c>
      <c r="M1069">
        <v>6.45</v>
      </c>
      <c r="N1069">
        <v>116.1</v>
      </c>
      <c r="O1069">
        <v>302</v>
      </c>
      <c r="P1069" s="2">
        <v>46179</v>
      </c>
      <c r="Q1069" s="2">
        <v>46179</v>
      </c>
      <c r="R1069" t="s">
        <v>25</v>
      </c>
      <c r="S1069" t="s">
        <v>72</v>
      </c>
    </row>
    <row r="1070" spans="1:19" x14ac:dyDescent="0.25">
      <c r="A1070" t="s">
        <v>1160</v>
      </c>
      <c r="B1070" s="2">
        <v>46115</v>
      </c>
      <c r="C1070" t="s">
        <v>28</v>
      </c>
      <c r="D1070" t="s">
        <v>29</v>
      </c>
      <c r="E1070" t="s">
        <v>30</v>
      </c>
      <c r="F1070" t="s">
        <v>77</v>
      </c>
      <c r="G1070" t="s">
        <v>32</v>
      </c>
      <c r="H1070">
        <v>317</v>
      </c>
      <c r="I1070">
        <v>280</v>
      </c>
      <c r="J1070">
        <v>18</v>
      </c>
      <c r="K1070">
        <v>3.2</v>
      </c>
      <c r="L1070">
        <v>48004.21</v>
      </c>
      <c r="M1070">
        <v>9.6300000000000008</v>
      </c>
      <c r="N1070">
        <v>173.34</v>
      </c>
      <c r="O1070">
        <v>335</v>
      </c>
      <c r="P1070" s="2">
        <v>46126</v>
      </c>
      <c r="Q1070" s="2">
        <v>46128</v>
      </c>
      <c r="R1070" t="s">
        <v>25</v>
      </c>
      <c r="S1070" t="s">
        <v>51</v>
      </c>
    </row>
    <row r="1071" spans="1:19" x14ac:dyDescent="0.25">
      <c r="A1071" t="s">
        <v>1161</v>
      </c>
      <c r="B1071" s="2">
        <v>46128</v>
      </c>
      <c r="C1071" t="s">
        <v>43</v>
      </c>
      <c r="D1071" t="s">
        <v>44</v>
      </c>
      <c r="E1071" t="s">
        <v>93</v>
      </c>
      <c r="F1071" t="s">
        <v>114</v>
      </c>
      <c r="G1071" t="s">
        <v>32</v>
      </c>
      <c r="H1071">
        <v>211</v>
      </c>
      <c r="I1071">
        <v>204</v>
      </c>
      <c r="J1071">
        <v>7</v>
      </c>
      <c r="K1071">
        <v>5.4</v>
      </c>
      <c r="L1071">
        <v>19899.810000000001</v>
      </c>
      <c r="M1071">
        <v>3.79</v>
      </c>
      <c r="N1071">
        <v>98.54</v>
      </c>
      <c r="O1071">
        <v>248</v>
      </c>
      <c r="P1071" s="2">
        <v>46132</v>
      </c>
      <c r="Q1071" s="2">
        <v>46132</v>
      </c>
      <c r="R1071" t="s">
        <v>39</v>
      </c>
      <c r="S1071" t="s">
        <v>51</v>
      </c>
    </row>
    <row r="1072" spans="1:19" x14ac:dyDescent="0.25">
      <c r="A1072" t="s">
        <v>1162</v>
      </c>
      <c r="B1072" s="2">
        <v>46035</v>
      </c>
      <c r="C1072" t="s">
        <v>59</v>
      </c>
      <c r="D1072" t="s">
        <v>49</v>
      </c>
      <c r="E1072" t="s">
        <v>76</v>
      </c>
      <c r="F1072" t="s">
        <v>244</v>
      </c>
      <c r="G1072" t="s">
        <v>57</v>
      </c>
      <c r="H1072">
        <v>176</v>
      </c>
      <c r="I1072">
        <v>178</v>
      </c>
      <c r="J1072">
        <v>5</v>
      </c>
      <c r="K1072">
        <v>8.1</v>
      </c>
      <c r="L1072">
        <v>36195.54</v>
      </c>
      <c r="M1072">
        <v>5.05</v>
      </c>
      <c r="N1072">
        <v>121.2</v>
      </c>
      <c r="O1072">
        <v>148</v>
      </c>
      <c r="P1072" s="2">
        <v>46042</v>
      </c>
      <c r="Q1072" s="2">
        <v>46044</v>
      </c>
      <c r="R1072" t="s">
        <v>25</v>
      </c>
      <c r="S1072" t="s">
        <v>86</v>
      </c>
    </row>
    <row r="1073" spans="1:19" x14ac:dyDescent="0.25">
      <c r="A1073" t="s">
        <v>1163</v>
      </c>
      <c r="B1073" s="2">
        <v>46103</v>
      </c>
      <c r="C1073" t="s">
        <v>35</v>
      </c>
      <c r="D1073" t="s">
        <v>36</v>
      </c>
      <c r="E1073" t="s">
        <v>69</v>
      </c>
      <c r="F1073" t="s">
        <v>170</v>
      </c>
      <c r="G1073" t="s">
        <v>57</v>
      </c>
      <c r="H1073">
        <v>205</v>
      </c>
      <c r="I1073">
        <v>214</v>
      </c>
      <c r="J1073">
        <v>7</v>
      </c>
      <c r="K1073">
        <v>8</v>
      </c>
      <c r="L1073">
        <v>21737.69</v>
      </c>
      <c r="M1073">
        <v>5.44</v>
      </c>
      <c r="N1073">
        <v>119.68</v>
      </c>
      <c r="O1073">
        <v>221</v>
      </c>
      <c r="P1073" s="2">
        <v>46108</v>
      </c>
      <c r="Q1073" s="2">
        <v>46106</v>
      </c>
      <c r="R1073" t="s">
        <v>100</v>
      </c>
      <c r="S1073" t="s">
        <v>86</v>
      </c>
    </row>
    <row r="1074" spans="1:19" x14ac:dyDescent="0.25">
      <c r="A1074" t="s">
        <v>1164</v>
      </c>
      <c r="B1074" s="2">
        <v>46089</v>
      </c>
      <c r="C1074" t="s">
        <v>35</v>
      </c>
      <c r="D1074" t="s">
        <v>36</v>
      </c>
      <c r="E1074" t="s">
        <v>69</v>
      </c>
      <c r="F1074" t="s">
        <v>106</v>
      </c>
      <c r="G1074" t="s">
        <v>24</v>
      </c>
      <c r="H1074">
        <v>280</v>
      </c>
      <c r="I1074">
        <v>217</v>
      </c>
      <c r="J1074">
        <v>13</v>
      </c>
      <c r="K1074">
        <v>6.9</v>
      </c>
      <c r="L1074">
        <v>17743.03</v>
      </c>
      <c r="M1074">
        <v>4.47</v>
      </c>
      <c r="N1074">
        <v>98.34</v>
      </c>
      <c r="O1074">
        <v>328</v>
      </c>
      <c r="P1074" s="2">
        <v>46094</v>
      </c>
      <c r="Q1074" s="2">
        <v>46092</v>
      </c>
      <c r="R1074" t="s">
        <v>25</v>
      </c>
      <c r="S1074" t="s">
        <v>72</v>
      </c>
    </row>
    <row r="1075" spans="1:19" x14ac:dyDescent="0.25">
      <c r="A1075" t="s">
        <v>1165</v>
      </c>
      <c r="B1075" s="2">
        <v>46064</v>
      </c>
      <c r="C1075" t="s">
        <v>43</v>
      </c>
      <c r="D1075" t="s">
        <v>44</v>
      </c>
      <c r="E1075" t="s">
        <v>93</v>
      </c>
      <c r="F1075" t="s">
        <v>104</v>
      </c>
      <c r="G1075" t="s">
        <v>57</v>
      </c>
      <c r="H1075">
        <v>124</v>
      </c>
      <c r="I1075">
        <v>97</v>
      </c>
      <c r="J1075">
        <v>2</v>
      </c>
      <c r="K1075">
        <v>6.9</v>
      </c>
      <c r="L1075">
        <v>12589.87</v>
      </c>
      <c r="M1075">
        <v>2.86</v>
      </c>
      <c r="N1075">
        <v>68.64</v>
      </c>
      <c r="O1075">
        <v>163</v>
      </c>
      <c r="P1075" s="2">
        <v>46072</v>
      </c>
      <c r="Q1075" s="2">
        <v>46072</v>
      </c>
      <c r="R1075" t="s">
        <v>25</v>
      </c>
      <c r="S1075" t="s">
        <v>72</v>
      </c>
    </row>
    <row r="1076" spans="1:19" x14ac:dyDescent="0.25">
      <c r="A1076" t="s">
        <v>1166</v>
      </c>
      <c r="B1076" s="2">
        <v>46030</v>
      </c>
      <c r="C1076" t="s">
        <v>20</v>
      </c>
      <c r="D1076" t="s">
        <v>21</v>
      </c>
      <c r="E1076" t="s">
        <v>22</v>
      </c>
      <c r="F1076" t="s">
        <v>135</v>
      </c>
      <c r="G1076" t="s">
        <v>24</v>
      </c>
      <c r="H1076">
        <v>125</v>
      </c>
      <c r="I1076">
        <v>105</v>
      </c>
      <c r="J1076">
        <v>9</v>
      </c>
      <c r="K1076">
        <v>0.8</v>
      </c>
      <c r="L1076">
        <v>42708.09</v>
      </c>
      <c r="M1076">
        <v>3.94</v>
      </c>
      <c r="N1076">
        <v>86.68</v>
      </c>
      <c r="O1076">
        <v>221</v>
      </c>
      <c r="P1076" s="2">
        <v>46040</v>
      </c>
      <c r="Q1076" s="2">
        <v>46042</v>
      </c>
      <c r="R1076" t="s">
        <v>25</v>
      </c>
      <c r="S1076" t="s">
        <v>33</v>
      </c>
    </row>
    <row r="1077" spans="1:19" x14ac:dyDescent="0.25">
      <c r="A1077" t="s">
        <v>1167</v>
      </c>
      <c r="B1077" s="2">
        <v>46050</v>
      </c>
      <c r="C1077" t="s">
        <v>53</v>
      </c>
      <c r="D1077" t="s">
        <v>54</v>
      </c>
      <c r="E1077" t="s">
        <v>131</v>
      </c>
      <c r="F1077" t="s">
        <v>170</v>
      </c>
      <c r="G1077" t="s">
        <v>24</v>
      </c>
      <c r="H1077">
        <v>203</v>
      </c>
      <c r="I1077">
        <v>208</v>
      </c>
      <c r="J1077">
        <v>19</v>
      </c>
      <c r="K1077">
        <v>1.2</v>
      </c>
      <c r="L1077">
        <v>30772.38</v>
      </c>
      <c r="M1077">
        <v>6.72</v>
      </c>
      <c r="N1077">
        <v>147.84</v>
      </c>
      <c r="O1077">
        <v>276</v>
      </c>
      <c r="P1077" s="2">
        <v>46052</v>
      </c>
      <c r="Q1077" s="2">
        <v>46052</v>
      </c>
      <c r="R1077" t="s">
        <v>100</v>
      </c>
      <c r="S1077" t="s">
        <v>72</v>
      </c>
    </row>
    <row r="1078" spans="1:19" x14ac:dyDescent="0.25">
      <c r="A1078" t="s">
        <v>1168</v>
      </c>
      <c r="B1078" s="2">
        <v>46090</v>
      </c>
      <c r="C1078" t="s">
        <v>43</v>
      </c>
      <c r="D1078" t="s">
        <v>44</v>
      </c>
      <c r="E1078" t="s">
        <v>45</v>
      </c>
      <c r="F1078" t="s">
        <v>106</v>
      </c>
      <c r="G1078" t="s">
        <v>24</v>
      </c>
      <c r="H1078">
        <v>287</v>
      </c>
      <c r="I1078">
        <v>259</v>
      </c>
      <c r="J1078">
        <v>4</v>
      </c>
      <c r="K1078">
        <v>1</v>
      </c>
      <c r="L1078">
        <v>24631.77</v>
      </c>
      <c r="M1078">
        <v>6.22</v>
      </c>
      <c r="N1078">
        <v>149.28</v>
      </c>
      <c r="O1078">
        <v>334</v>
      </c>
      <c r="P1078" s="2">
        <v>46095</v>
      </c>
      <c r="Q1078" s="2">
        <v>46097</v>
      </c>
      <c r="R1078" t="s">
        <v>25</v>
      </c>
      <c r="S1078" t="s">
        <v>72</v>
      </c>
    </row>
    <row r="1079" spans="1:19" x14ac:dyDescent="0.25">
      <c r="A1079" t="s">
        <v>1169</v>
      </c>
      <c r="B1079" s="2">
        <v>46159</v>
      </c>
      <c r="C1079" t="s">
        <v>80</v>
      </c>
      <c r="D1079" t="s">
        <v>21</v>
      </c>
      <c r="E1079" t="s">
        <v>90</v>
      </c>
      <c r="F1079" t="s">
        <v>96</v>
      </c>
      <c r="G1079" t="s">
        <v>32</v>
      </c>
      <c r="H1079">
        <v>221</v>
      </c>
      <c r="I1079">
        <v>192</v>
      </c>
      <c r="J1079">
        <v>15</v>
      </c>
      <c r="K1079">
        <v>1.5</v>
      </c>
      <c r="L1079">
        <v>67327.69</v>
      </c>
      <c r="M1079">
        <v>4.26</v>
      </c>
      <c r="N1079">
        <v>85.2</v>
      </c>
      <c r="O1079">
        <v>212</v>
      </c>
      <c r="P1079" s="2">
        <v>46171</v>
      </c>
      <c r="Q1079" s="2">
        <v>46171</v>
      </c>
      <c r="R1079" t="s">
        <v>39</v>
      </c>
      <c r="S1079" t="s">
        <v>86</v>
      </c>
    </row>
    <row r="1080" spans="1:19" x14ac:dyDescent="0.25">
      <c r="A1080" t="s">
        <v>1170</v>
      </c>
      <c r="B1080" s="2">
        <v>46091</v>
      </c>
      <c r="C1080" t="s">
        <v>80</v>
      </c>
      <c r="D1080" t="s">
        <v>21</v>
      </c>
      <c r="E1080" t="s">
        <v>22</v>
      </c>
      <c r="F1080" t="s">
        <v>170</v>
      </c>
      <c r="G1080" t="s">
        <v>24</v>
      </c>
      <c r="H1080">
        <v>253</v>
      </c>
      <c r="I1080">
        <v>284</v>
      </c>
      <c r="J1080">
        <v>7</v>
      </c>
      <c r="K1080">
        <v>5.9</v>
      </c>
      <c r="L1080">
        <v>69272.72</v>
      </c>
      <c r="M1080">
        <v>10.15</v>
      </c>
      <c r="N1080">
        <v>203</v>
      </c>
      <c r="O1080">
        <v>232</v>
      </c>
      <c r="P1080" s="2">
        <v>46094</v>
      </c>
      <c r="Q1080" s="2">
        <v>46094</v>
      </c>
      <c r="R1080" t="s">
        <v>25</v>
      </c>
      <c r="S1080" t="s">
        <v>72</v>
      </c>
    </row>
    <row r="1081" spans="1:19" x14ac:dyDescent="0.25">
      <c r="A1081" t="s">
        <v>1171</v>
      </c>
      <c r="B1081" s="2">
        <v>46096</v>
      </c>
      <c r="C1081" t="s">
        <v>53</v>
      </c>
      <c r="D1081" t="s">
        <v>54</v>
      </c>
      <c r="E1081" t="s">
        <v>55</v>
      </c>
      <c r="F1081" t="s">
        <v>56</v>
      </c>
      <c r="G1081" t="s">
        <v>24</v>
      </c>
      <c r="H1081">
        <v>195</v>
      </c>
      <c r="I1081">
        <v>177</v>
      </c>
      <c r="J1081">
        <v>13</v>
      </c>
      <c r="K1081">
        <v>6.9</v>
      </c>
      <c r="L1081">
        <v>21679.360000000001</v>
      </c>
      <c r="M1081">
        <v>5.91</v>
      </c>
      <c r="N1081">
        <v>118.2</v>
      </c>
      <c r="O1081">
        <v>280</v>
      </c>
      <c r="P1081" s="2">
        <v>46100</v>
      </c>
      <c r="Q1081" s="2">
        <v>46098</v>
      </c>
      <c r="R1081" t="s">
        <v>25</v>
      </c>
      <c r="S1081" t="s">
        <v>26</v>
      </c>
    </row>
    <row r="1082" spans="1:19" x14ac:dyDescent="0.25">
      <c r="A1082" t="s">
        <v>1172</v>
      </c>
      <c r="B1082" s="2">
        <v>46120</v>
      </c>
      <c r="C1082" t="s">
        <v>43</v>
      </c>
      <c r="D1082" t="s">
        <v>44</v>
      </c>
      <c r="E1082" t="s">
        <v>93</v>
      </c>
      <c r="F1082" t="s">
        <v>106</v>
      </c>
      <c r="G1082" t="s">
        <v>24</v>
      </c>
      <c r="H1082">
        <v>309</v>
      </c>
      <c r="I1082">
        <v>285</v>
      </c>
      <c r="J1082">
        <v>19</v>
      </c>
      <c r="K1082">
        <v>5.9</v>
      </c>
      <c r="L1082">
        <v>30803.37</v>
      </c>
      <c r="M1082">
        <v>9.2799999999999994</v>
      </c>
      <c r="N1082">
        <v>222.72</v>
      </c>
      <c r="O1082">
        <v>332</v>
      </c>
      <c r="P1082" s="2">
        <v>46122</v>
      </c>
      <c r="Q1082" s="2">
        <v>46122</v>
      </c>
      <c r="R1082" t="s">
        <v>25</v>
      </c>
      <c r="S1082" t="s">
        <v>51</v>
      </c>
    </row>
    <row r="1083" spans="1:19" x14ac:dyDescent="0.25">
      <c r="A1083" t="s">
        <v>1173</v>
      </c>
      <c r="B1083" s="2">
        <v>46031</v>
      </c>
      <c r="C1083" t="s">
        <v>35</v>
      </c>
      <c r="D1083" t="s">
        <v>36</v>
      </c>
      <c r="E1083" t="s">
        <v>37</v>
      </c>
      <c r="F1083" t="s">
        <v>88</v>
      </c>
      <c r="G1083" t="s">
        <v>24</v>
      </c>
      <c r="H1083">
        <v>163</v>
      </c>
      <c r="I1083">
        <v>167</v>
      </c>
      <c r="J1083">
        <v>8</v>
      </c>
      <c r="K1083">
        <v>1.3</v>
      </c>
      <c r="L1083">
        <v>14900.09</v>
      </c>
      <c r="M1083">
        <v>6.4</v>
      </c>
      <c r="N1083">
        <v>140.80000000000001</v>
      </c>
      <c r="O1083">
        <v>126</v>
      </c>
      <c r="P1083" s="2">
        <v>46033</v>
      </c>
      <c r="Q1083" s="2">
        <v>46032</v>
      </c>
      <c r="R1083" t="s">
        <v>39</v>
      </c>
      <c r="S1083" t="s">
        <v>72</v>
      </c>
    </row>
    <row r="1084" spans="1:19" x14ac:dyDescent="0.25">
      <c r="A1084" t="s">
        <v>1174</v>
      </c>
      <c r="B1084" s="2">
        <v>46135</v>
      </c>
      <c r="C1084" t="s">
        <v>53</v>
      </c>
      <c r="D1084" t="s">
        <v>54</v>
      </c>
      <c r="E1084" t="s">
        <v>131</v>
      </c>
      <c r="F1084" t="s">
        <v>61</v>
      </c>
      <c r="G1084" t="s">
        <v>24</v>
      </c>
      <c r="H1084">
        <v>211</v>
      </c>
      <c r="I1084">
        <v>234</v>
      </c>
      <c r="J1084">
        <v>18</v>
      </c>
      <c r="K1084">
        <v>3.1</v>
      </c>
      <c r="L1084">
        <v>27546.799999999999</v>
      </c>
      <c r="M1084">
        <v>9.36</v>
      </c>
      <c r="N1084">
        <v>205.92</v>
      </c>
      <c r="O1084">
        <v>237</v>
      </c>
      <c r="P1084" s="2">
        <v>46141</v>
      </c>
      <c r="Q1084" s="2">
        <v>46143</v>
      </c>
      <c r="R1084" t="s">
        <v>25</v>
      </c>
      <c r="S1084" t="s">
        <v>51</v>
      </c>
    </row>
    <row r="1085" spans="1:19" x14ac:dyDescent="0.25">
      <c r="A1085" t="s">
        <v>1175</v>
      </c>
      <c r="B1085" s="2">
        <v>46159</v>
      </c>
      <c r="C1085" t="s">
        <v>48</v>
      </c>
      <c r="D1085" t="s">
        <v>49</v>
      </c>
      <c r="E1085" t="s">
        <v>60</v>
      </c>
      <c r="F1085" t="s">
        <v>137</v>
      </c>
      <c r="G1085" t="s">
        <v>32</v>
      </c>
      <c r="H1085">
        <v>96</v>
      </c>
      <c r="I1085">
        <v>88</v>
      </c>
      <c r="J1085">
        <v>5</v>
      </c>
      <c r="K1085">
        <v>4.0999999999999996</v>
      </c>
      <c r="L1085">
        <v>17362.900000000001</v>
      </c>
      <c r="M1085">
        <v>2.94</v>
      </c>
      <c r="N1085">
        <v>64.680000000000007</v>
      </c>
      <c r="O1085">
        <v>117</v>
      </c>
      <c r="P1085" s="2">
        <v>46171</v>
      </c>
      <c r="Q1085" s="2">
        <v>46170</v>
      </c>
      <c r="R1085" t="s">
        <v>25</v>
      </c>
      <c r="S1085" t="s">
        <v>26</v>
      </c>
    </row>
    <row r="1086" spans="1:19" x14ac:dyDescent="0.25">
      <c r="A1086" t="s">
        <v>1176</v>
      </c>
      <c r="B1086" s="2">
        <v>46154</v>
      </c>
      <c r="C1086" t="s">
        <v>59</v>
      </c>
      <c r="D1086" t="s">
        <v>49</v>
      </c>
      <c r="E1086" t="s">
        <v>60</v>
      </c>
      <c r="F1086" t="s">
        <v>114</v>
      </c>
      <c r="G1086" t="s">
        <v>24</v>
      </c>
      <c r="H1086">
        <v>268</v>
      </c>
      <c r="I1086">
        <v>237</v>
      </c>
      <c r="J1086">
        <v>14</v>
      </c>
      <c r="K1086">
        <v>5.2</v>
      </c>
      <c r="L1086">
        <v>49020.17</v>
      </c>
      <c r="M1086">
        <v>8.68</v>
      </c>
      <c r="N1086">
        <v>225.68</v>
      </c>
      <c r="O1086">
        <v>243</v>
      </c>
      <c r="P1086" s="2">
        <v>46160</v>
      </c>
      <c r="Q1086" s="2">
        <v>46161</v>
      </c>
      <c r="R1086" t="s">
        <v>100</v>
      </c>
      <c r="S1086" t="s">
        <v>51</v>
      </c>
    </row>
    <row r="1087" spans="1:19" x14ac:dyDescent="0.25">
      <c r="A1087" t="s">
        <v>1177</v>
      </c>
      <c r="B1087" s="2">
        <v>46145</v>
      </c>
      <c r="C1087" t="s">
        <v>20</v>
      </c>
      <c r="D1087" t="s">
        <v>21</v>
      </c>
      <c r="E1087" t="s">
        <v>90</v>
      </c>
      <c r="F1087" t="s">
        <v>122</v>
      </c>
      <c r="G1087" t="s">
        <v>57</v>
      </c>
      <c r="H1087">
        <v>294</v>
      </c>
      <c r="I1087">
        <v>268</v>
      </c>
      <c r="J1087">
        <v>4</v>
      </c>
      <c r="K1087">
        <v>3.4</v>
      </c>
      <c r="L1087">
        <v>64361.89</v>
      </c>
      <c r="M1087">
        <v>9.51</v>
      </c>
      <c r="N1087">
        <v>247.26</v>
      </c>
      <c r="O1087">
        <v>392</v>
      </c>
      <c r="P1087" s="2">
        <v>46153</v>
      </c>
      <c r="Q1087" s="2">
        <v>46153</v>
      </c>
      <c r="R1087" t="s">
        <v>25</v>
      </c>
      <c r="S1087" t="s">
        <v>51</v>
      </c>
    </row>
    <row r="1088" spans="1:19" x14ac:dyDescent="0.25">
      <c r="A1088" t="s">
        <v>1178</v>
      </c>
      <c r="B1088" s="2">
        <v>46165</v>
      </c>
      <c r="C1088" t="s">
        <v>28</v>
      </c>
      <c r="D1088" t="s">
        <v>29</v>
      </c>
      <c r="E1088" t="s">
        <v>30</v>
      </c>
      <c r="F1088" t="s">
        <v>38</v>
      </c>
      <c r="G1088" t="s">
        <v>24</v>
      </c>
      <c r="H1088">
        <v>195</v>
      </c>
      <c r="I1088">
        <v>154</v>
      </c>
      <c r="J1088">
        <v>4</v>
      </c>
      <c r="K1088">
        <v>5.0999999999999996</v>
      </c>
      <c r="L1088">
        <v>34019.199999999997</v>
      </c>
      <c r="M1088">
        <v>6.41</v>
      </c>
      <c r="N1088">
        <v>166.66</v>
      </c>
      <c r="O1088">
        <v>282</v>
      </c>
      <c r="P1088" s="2">
        <v>46167</v>
      </c>
      <c r="Q1088" s="2">
        <v>46169</v>
      </c>
      <c r="R1088" t="s">
        <v>25</v>
      </c>
      <c r="S1088" t="s">
        <v>51</v>
      </c>
    </row>
    <row r="1089" spans="1:19" x14ac:dyDescent="0.25">
      <c r="A1089" t="s">
        <v>1179</v>
      </c>
      <c r="B1089" s="2">
        <v>46067</v>
      </c>
      <c r="C1089" t="s">
        <v>80</v>
      </c>
      <c r="D1089" t="s">
        <v>21</v>
      </c>
      <c r="E1089" t="s">
        <v>66</v>
      </c>
      <c r="F1089" t="s">
        <v>46</v>
      </c>
      <c r="G1089" t="s">
        <v>32</v>
      </c>
      <c r="H1089">
        <v>227</v>
      </c>
      <c r="I1089">
        <v>217</v>
      </c>
      <c r="J1089">
        <v>5</v>
      </c>
      <c r="K1089">
        <v>1.3</v>
      </c>
      <c r="L1089">
        <v>43427.62</v>
      </c>
      <c r="M1089">
        <v>4.87</v>
      </c>
      <c r="N1089">
        <v>97.4</v>
      </c>
      <c r="O1089">
        <v>187</v>
      </c>
      <c r="P1089" s="2">
        <v>46069</v>
      </c>
      <c r="Q1089" s="2">
        <v>46068</v>
      </c>
      <c r="R1089" t="s">
        <v>39</v>
      </c>
      <c r="S1089" t="s">
        <v>72</v>
      </c>
    </row>
    <row r="1090" spans="1:19" x14ac:dyDescent="0.25">
      <c r="A1090" t="s">
        <v>1180</v>
      </c>
      <c r="B1090" s="2">
        <v>46120</v>
      </c>
      <c r="C1090" t="s">
        <v>20</v>
      </c>
      <c r="D1090" t="s">
        <v>21</v>
      </c>
      <c r="E1090" t="s">
        <v>22</v>
      </c>
      <c r="F1090" t="s">
        <v>31</v>
      </c>
      <c r="G1090" t="s">
        <v>32</v>
      </c>
      <c r="H1090">
        <v>312</v>
      </c>
      <c r="I1090">
        <v>228</v>
      </c>
      <c r="J1090">
        <v>18</v>
      </c>
      <c r="K1090">
        <v>5.4</v>
      </c>
      <c r="L1090">
        <v>93007.2</v>
      </c>
      <c r="M1090">
        <v>7.81</v>
      </c>
      <c r="N1090">
        <v>187.44</v>
      </c>
      <c r="O1090">
        <v>303</v>
      </c>
      <c r="P1090" s="2">
        <v>46122</v>
      </c>
      <c r="Q1090" s="2">
        <v>46121</v>
      </c>
      <c r="R1090" t="s">
        <v>25</v>
      </c>
      <c r="S1090" t="s">
        <v>72</v>
      </c>
    </row>
    <row r="1091" spans="1:19" x14ac:dyDescent="0.25">
      <c r="A1091" t="s">
        <v>1181</v>
      </c>
      <c r="B1091" s="2">
        <v>46046</v>
      </c>
      <c r="C1091" t="s">
        <v>59</v>
      </c>
      <c r="D1091" t="s">
        <v>49</v>
      </c>
      <c r="E1091" t="s">
        <v>50</v>
      </c>
      <c r="F1091" t="s">
        <v>77</v>
      </c>
      <c r="G1091" t="s">
        <v>24</v>
      </c>
      <c r="H1091">
        <v>314</v>
      </c>
      <c r="J1091">
        <v>27</v>
      </c>
      <c r="K1091">
        <v>2.6</v>
      </c>
      <c r="L1091">
        <v>49120.52</v>
      </c>
      <c r="M1091">
        <v>13.13</v>
      </c>
      <c r="N1091">
        <v>341.38</v>
      </c>
      <c r="O1091">
        <v>404</v>
      </c>
      <c r="P1091" s="2">
        <v>46048</v>
      </c>
      <c r="Q1091" s="2">
        <v>46052</v>
      </c>
      <c r="R1091" t="s">
        <v>25</v>
      </c>
      <c r="S1091" t="s">
        <v>51</v>
      </c>
    </row>
    <row r="1092" spans="1:19" x14ac:dyDescent="0.25">
      <c r="A1092" t="s">
        <v>1182</v>
      </c>
      <c r="B1092" s="2">
        <v>46072</v>
      </c>
      <c r="C1092" t="s">
        <v>48</v>
      </c>
      <c r="D1092" t="s">
        <v>49</v>
      </c>
      <c r="E1092" t="s">
        <v>76</v>
      </c>
      <c r="F1092" t="s">
        <v>91</v>
      </c>
      <c r="G1092" t="s">
        <v>32</v>
      </c>
      <c r="H1092">
        <v>184</v>
      </c>
      <c r="I1092">
        <v>201</v>
      </c>
      <c r="J1092">
        <v>11</v>
      </c>
      <c r="K1092">
        <v>7.5</v>
      </c>
      <c r="L1092">
        <v>38874.629999999997</v>
      </c>
      <c r="M1092">
        <v>4.58</v>
      </c>
      <c r="N1092">
        <v>82.44</v>
      </c>
      <c r="O1092">
        <v>261</v>
      </c>
      <c r="P1092" s="2">
        <v>46080</v>
      </c>
      <c r="Q1092" s="2">
        <v>46080</v>
      </c>
      <c r="R1092" t="s">
        <v>25</v>
      </c>
      <c r="S1092" t="s">
        <v>86</v>
      </c>
    </row>
    <row r="1093" spans="1:19" x14ac:dyDescent="0.25">
      <c r="A1093" t="s">
        <v>1183</v>
      </c>
      <c r="B1093" s="2">
        <v>46173</v>
      </c>
      <c r="C1093" t="s">
        <v>35</v>
      </c>
      <c r="D1093" t="s">
        <v>36</v>
      </c>
      <c r="E1093" t="s">
        <v>69</v>
      </c>
      <c r="F1093" t="s">
        <v>38</v>
      </c>
      <c r="G1093" t="s">
        <v>24</v>
      </c>
      <c r="H1093">
        <v>293</v>
      </c>
      <c r="I1093">
        <v>220</v>
      </c>
      <c r="J1093">
        <v>1</v>
      </c>
      <c r="K1093">
        <v>6.2</v>
      </c>
      <c r="L1093">
        <v>22292.1</v>
      </c>
      <c r="M1093">
        <v>7.49</v>
      </c>
      <c r="N1093">
        <v>179.76</v>
      </c>
      <c r="O1093">
        <v>321</v>
      </c>
      <c r="P1093" s="2">
        <v>46176</v>
      </c>
      <c r="Q1093" s="2">
        <v>46175</v>
      </c>
      <c r="R1093" t="s">
        <v>25</v>
      </c>
      <c r="S1093" t="s">
        <v>72</v>
      </c>
    </row>
    <row r="1094" spans="1:19" x14ac:dyDescent="0.25">
      <c r="A1094" t="s">
        <v>1184</v>
      </c>
      <c r="B1094" s="2">
        <v>46117</v>
      </c>
      <c r="C1094" t="s">
        <v>59</v>
      </c>
      <c r="D1094" t="s">
        <v>49</v>
      </c>
      <c r="E1094" t="s">
        <v>50</v>
      </c>
      <c r="F1094" t="s">
        <v>61</v>
      </c>
      <c r="G1094" t="s">
        <v>24</v>
      </c>
      <c r="H1094">
        <v>261</v>
      </c>
      <c r="I1094">
        <v>198</v>
      </c>
      <c r="J1094">
        <v>15</v>
      </c>
      <c r="K1094">
        <v>8.9</v>
      </c>
      <c r="L1094">
        <v>29333.82</v>
      </c>
      <c r="M1094">
        <v>7.4</v>
      </c>
      <c r="N1094">
        <v>192.4</v>
      </c>
      <c r="O1094">
        <v>303</v>
      </c>
      <c r="P1094" s="2">
        <v>46120</v>
      </c>
      <c r="Q1094" s="2">
        <v>46122</v>
      </c>
      <c r="R1094" t="s">
        <v>39</v>
      </c>
      <c r="S1094" t="s">
        <v>86</v>
      </c>
    </row>
    <row r="1095" spans="1:19" x14ac:dyDescent="0.25">
      <c r="A1095" t="s">
        <v>1185</v>
      </c>
      <c r="B1095" s="2">
        <v>46181</v>
      </c>
      <c r="C1095" t="s">
        <v>53</v>
      </c>
      <c r="D1095" t="s">
        <v>54</v>
      </c>
      <c r="E1095" t="s">
        <v>55</v>
      </c>
      <c r="F1095" t="s">
        <v>46</v>
      </c>
      <c r="G1095" t="s">
        <v>24</v>
      </c>
      <c r="H1095">
        <v>213</v>
      </c>
      <c r="I1095">
        <v>209</v>
      </c>
      <c r="J1095">
        <v>7</v>
      </c>
      <c r="K1095">
        <v>5.0999999999999996</v>
      </c>
      <c r="L1095">
        <v>26006.92</v>
      </c>
      <c r="M1095">
        <v>4.78</v>
      </c>
      <c r="N1095">
        <v>124.28</v>
      </c>
      <c r="O1095">
        <v>209</v>
      </c>
      <c r="P1095" s="2">
        <v>46189</v>
      </c>
      <c r="Q1095" s="2">
        <v>46191</v>
      </c>
      <c r="R1095" t="s">
        <v>25</v>
      </c>
      <c r="S1095" t="s">
        <v>72</v>
      </c>
    </row>
    <row r="1096" spans="1:19" x14ac:dyDescent="0.25">
      <c r="A1096" t="s">
        <v>1186</v>
      </c>
      <c r="B1096" s="2">
        <v>46026</v>
      </c>
      <c r="C1096" t="s">
        <v>28</v>
      </c>
      <c r="D1096" t="s">
        <v>29</v>
      </c>
      <c r="E1096" t="s">
        <v>30</v>
      </c>
      <c r="F1096" t="s">
        <v>83</v>
      </c>
      <c r="G1096" t="s">
        <v>24</v>
      </c>
      <c r="H1096">
        <v>190</v>
      </c>
      <c r="I1096">
        <v>182</v>
      </c>
      <c r="J1096">
        <v>9</v>
      </c>
      <c r="K1096">
        <v>5.7</v>
      </c>
      <c r="L1096">
        <v>36168.31</v>
      </c>
      <c r="M1096">
        <v>6.26</v>
      </c>
      <c r="N1096">
        <v>150.24</v>
      </c>
      <c r="O1096">
        <v>168</v>
      </c>
      <c r="P1096" s="2">
        <v>46033</v>
      </c>
      <c r="Q1096" s="2">
        <v>46031</v>
      </c>
      <c r="R1096" t="s">
        <v>25</v>
      </c>
      <c r="S1096" t="s">
        <v>72</v>
      </c>
    </row>
    <row r="1097" spans="1:19" x14ac:dyDescent="0.25">
      <c r="A1097" t="s">
        <v>1187</v>
      </c>
      <c r="B1097" s="2">
        <v>46069</v>
      </c>
      <c r="C1097" t="s">
        <v>48</v>
      </c>
      <c r="D1097" t="s">
        <v>49</v>
      </c>
      <c r="E1097" t="s">
        <v>76</v>
      </c>
      <c r="F1097" t="s">
        <v>56</v>
      </c>
      <c r="G1097" t="s">
        <v>24</v>
      </c>
      <c r="H1097">
        <v>296</v>
      </c>
      <c r="I1097">
        <v>222</v>
      </c>
      <c r="J1097">
        <v>10</v>
      </c>
      <c r="K1097">
        <v>3.4</v>
      </c>
      <c r="L1097">
        <v>44147.01</v>
      </c>
      <c r="M1097">
        <v>4.1100000000000003</v>
      </c>
      <c r="N1097">
        <v>73.98</v>
      </c>
      <c r="O1097">
        <v>289</v>
      </c>
      <c r="P1097" s="2">
        <v>46077</v>
      </c>
      <c r="Q1097" s="2">
        <v>46078</v>
      </c>
      <c r="R1097" t="s">
        <v>100</v>
      </c>
      <c r="S1097" t="s">
        <v>26</v>
      </c>
    </row>
    <row r="1098" spans="1:19" x14ac:dyDescent="0.25">
      <c r="A1098" t="s">
        <v>1188</v>
      </c>
      <c r="B1098" s="2">
        <v>46170</v>
      </c>
      <c r="C1098" t="s">
        <v>43</v>
      </c>
      <c r="D1098" t="s">
        <v>44</v>
      </c>
      <c r="E1098" t="s">
        <v>161</v>
      </c>
      <c r="F1098" t="s">
        <v>85</v>
      </c>
      <c r="G1098" t="s">
        <v>32</v>
      </c>
      <c r="H1098">
        <v>83</v>
      </c>
      <c r="I1098">
        <v>70</v>
      </c>
      <c r="J1098">
        <v>0</v>
      </c>
      <c r="K1098">
        <v>7.7</v>
      </c>
      <c r="L1098">
        <v>10153.049999999999</v>
      </c>
      <c r="M1098">
        <v>2.2200000000000002</v>
      </c>
      <c r="N1098">
        <v>44.4</v>
      </c>
      <c r="O1098">
        <v>68</v>
      </c>
      <c r="P1098" s="2">
        <v>46179</v>
      </c>
      <c r="Q1098" s="2">
        <v>46180</v>
      </c>
      <c r="R1098" t="s">
        <v>25</v>
      </c>
      <c r="S1098" t="s">
        <v>33</v>
      </c>
    </row>
    <row r="1099" spans="1:19" x14ac:dyDescent="0.25">
      <c r="A1099" t="s">
        <v>1189</v>
      </c>
      <c r="B1099" s="2">
        <v>46140</v>
      </c>
      <c r="C1099" t="s">
        <v>53</v>
      </c>
      <c r="D1099" t="s">
        <v>54</v>
      </c>
      <c r="E1099" t="s">
        <v>131</v>
      </c>
      <c r="F1099" t="s">
        <v>88</v>
      </c>
      <c r="G1099" t="s">
        <v>24</v>
      </c>
      <c r="H1099">
        <v>154</v>
      </c>
      <c r="I1099">
        <v>157</v>
      </c>
      <c r="J1099">
        <v>10</v>
      </c>
      <c r="K1099">
        <v>1.2</v>
      </c>
      <c r="L1099">
        <v>21358.87</v>
      </c>
      <c r="M1099">
        <v>5.78</v>
      </c>
      <c r="N1099">
        <v>104.04</v>
      </c>
      <c r="O1099">
        <v>252</v>
      </c>
      <c r="P1099" s="2">
        <v>46152</v>
      </c>
      <c r="Q1099" s="2">
        <v>46152</v>
      </c>
      <c r="R1099" t="s">
        <v>25</v>
      </c>
      <c r="S1099" t="s">
        <v>26</v>
      </c>
    </row>
    <row r="1100" spans="1:19" x14ac:dyDescent="0.25">
      <c r="A1100" t="s">
        <v>1190</v>
      </c>
      <c r="B1100" s="2">
        <v>46126</v>
      </c>
      <c r="C1100" t="s">
        <v>43</v>
      </c>
      <c r="D1100" t="s">
        <v>44</v>
      </c>
      <c r="E1100" t="s">
        <v>161</v>
      </c>
      <c r="F1100" t="s">
        <v>61</v>
      </c>
      <c r="G1100" t="s">
        <v>24</v>
      </c>
      <c r="H1100">
        <v>148</v>
      </c>
      <c r="I1100">
        <v>117</v>
      </c>
      <c r="J1100">
        <v>2</v>
      </c>
      <c r="K1100">
        <v>8.5</v>
      </c>
      <c r="L1100">
        <v>13227.75</v>
      </c>
      <c r="M1100">
        <v>3.37</v>
      </c>
      <c r="N1100">
        <v>74.14</v>
      </c>
      <c r="O1100">
        <v>201</v>
      </c>
      <c r="P1100" s="2">
        <v>46132</v>
      </c>
      <c r="Q1100" s="2">
        <v>46132</v>
      </c>
      <c r="R1100" t="s">
        <v>25</v>
      </c>
      <c r="S1100" t="s">
        <v>86</v>
      </c>
    </row>
    <row r="1101" spans="1:19" x14ac:dyDescent="0.25">
      <c r="A1101" t="s">
        <v>1191</v>
      </c>
      <c r="B1101" s="2">
        <v>46197</v>
      </c>
      <c r="C1101" t="s">
        <v>59</v>
      </c>
      <c r="D1101" t="s">
        <v>49</v>
      </c>
      <c r="E1101" t="s">
        <v>76</v>
      </c>
      <c r="F1101" t="s">
        <v>135</v>
      </c>
      <c r="G1101" t="s">
        <v>24</v>
      </c>
      <c r="H1101">
        <v>204</v>
      </c>
      <c r="I1101">
        <v>219</v>
      </c>
      <c r="J1101">
        <v>1</v>
      </c>
      <c r="K1101">
        <v>3.9</v>
      </c>
      <c r="L1101">
        <v>33222.49</v>
      </c>
      <c r="M1101">
        <v>6.98</v>
      </c>
      <c r="N1101">
        <v>139.6</v>
      </c>
      <c r="O1101">
        <v>257</v>
      </c>
      <c r="P1101" s="2">
        <v>46206</v>
      </c>
      <c r="Q1101" s="2">
        <v>46204</v>
      </c>
      <c r="R1101" t="s">
        <v>39</v>
      </c>
      <c r="S1101" t="s">
        <v>33</v>
      </c>
    </row>
    <row r="1102" spans="1:19" x14ac:dyDescent="0.25">
      <c r="A1102" t="s">
        <v>1192</v>
      </c>
      <c r="B1102" s="2">
        <v>46039</v>
      </c>
      <c r="C1102" t="s">
        <v>35</v>
      </c>
      <c r="D1102" t="s">
        <v>36</v>
      </c>
      <c r="E1102" t="s">
        <v>37</v>
      </c>
      <c r="F1102" t="s">
        <v>104</v>
      </c>
      <c r="G1102" t="s">
        <v>32</v>
      </c>
      <c r="H1102">
        <v>316</v>
      </c>
      <c r="I1102">
        <v>323</v>
      </c>
      <c r="J1102">
        <v>11</v>
      </c>
      <c r="K1102">
        <v>2.5</v>
      </c>
      <c r="L1102">
        <v>22759.45</v>
      </c>
      <c r="M1102">
        <v>12.23</v>
      </c>
      <c r="N1102">
        <v>269.06</v>
      </c>
      <c r="O1102">
        <v>396</v>
      </c>
      <c r="P1102" s="2">
        <v>46043</v>
      </c>
      <c r="Q1102" s="2">
        <v>46043</v>
      </c>
      <c r="R1102" t="s">
        <v>39</v>
      </c>
      <c r="S1102" t="s">
        <v>86</v>
      </c>
    </row>
    <row r="1103" spans="1:19" x14ac:dyDescent="0.25">
      <c r="A1103" t="s">
        <v>1193</v>
      </c>
      <c r="B1103" s="2">
        <v>46024</v>
      </c>
      <c r="C1103" t="s">
        <v>80</v>
      </c>
      <c r="D1103" t="s">
        <v>21</v>
      </c>
      <c r="E1103" t="s">
        <v>22</v>
      </c>
      <c r="F1103" t="s">
        <v>46</v>
      </c>
      <c r="G1103" t="s">
        <v>24</v>
      </c>
      <c r="H1103">
        <v>204</v>
      </c>
      <c r="I1103">
        <v>192</v>
      </c>
      <c r="J1103">
        <v>17</v>
      </c>
      <c r="K1103">
        <v>7.4</v>
      </c>
      <c r="L1103">
        <v>47651.67</v>
      </c>
      <c r="M1103">
        <v>6.76</v>
      </c>
      <c r="N1103">
        <v>135.19999999999999</v>
      </c>
      <c r="O1103">
        <v>187</v>
      </c>
      <c r="P1103" s="2">
        <v>46028</v>
      </c>
      <c r="Q1103" s="2">
        <v>46030</v>
      </c>
      <c r="R1103" t="s">
        <v>25</v>
      </c>
      <c r="S1103" t="s">
        <v>86</v>
      </c>
    </row>
    <row r="1104" spans="1:19" x14ac:dyDescent="0.25">
      <c r="A1104" t="s">
        <v>1194</v>
      </c>
      <c r="B1104" s="2">
        <v>46024</v>
      </c>
      <c r="C1104" t="s">
        <v>53</v>
      </c>
      <c r="D1104" t="s">
        <v>54</v>
      </c>
      <c r="E1104" t="s">
        <v>55</v>
      </c>
      <c r="F1104" t="s">
        <v>38</v>
      </c>
      <c r="G1104" t="s">
        <v>57</v>
      </c>
      <c r="H1104">
        <v>95</v>
      </c>
      <c r="I1104">
        <v>100</v>
      </c>
      <c r="J1104">
        <v>8</v>
      </c>
      <c r="K1104">
        <v>5.8</v>
      </c>
      <c r="L1104">
        <v>13748.62</v>
      </c>
      <c r="M1104">
        <v>2.08</v>
      </c>
      <c r="N1104">
        <v>45.76</v>
      </c>
      <c r="O1104">
        <v>55</v>
      </c>
      <c r="P1104" s="2">
        <v>46035</v>
      </c>
      <c r="Q1104" s="2">
        <v>46035</v>
      </c>
      <c r="R1104" t="s">
        <v>100</v>
      </c>
      <c r="S1104" t="s">
        <v>33</v>
      </c>
    </row>
    <row r="1105" spans="1:19" x14ac:dyDescent="0.25">
      <c r="A1105" t="s">
        <v>1195</v>
      </c>
      <c r="B1105" s="2">
        <v>46103</v>
      </c>
      <c r="C1105" t="s">
        <v>43</v>
      </c>
      <c r="D1105" t="s">
        <v>44</v>
      </c>
      <c r="E1105" t="s">
        <v>161</v>
      </c>
      <c r="F1105" t="s">
        <v>74</v>
      </c>
      <c r="G1105" t="s">
        <v>57</v>
      </c>
      <c r="H1105">
        <v>100</v>
      </c>
      <c r="I1105">
        <v>104</v>
      </c>
      <c r="J1105">
        <v>0</v>
      </c>
      <c r="K1105">
        <v>3.3</v>
      </c>
      <c r="L1105">
        <v>15558.75</v>
      </c>
      <c r="M1105">
        <v>2.97</v>
      </c>
      <c r="N1105">
        <v>77.22</v>
      </c>
      <c r="O1105">
        <v>94</v>
      </c>
      <c r="P1105" s="2">
        <v>46108</v>
      </c>
      <c r="Q1105" s="2">
        <v>46106</v>
      </c>
      <c r="R1105" t="s">
        <v>25</v>
      </c>
      <c r="S1105" t="s">
        <v>72</v>
      </c>
    </row>
    <row r="1106" spans="1:19" x14ac:dyDescent="0.25">
      <c r="A1106" t="s">
        <v>1196</v>
      </c>
      <c r="B1106" s="2">
        <v>46174</v>
      </c>
      <c r="C1106" t="s">
        <v>48</v>
      </c>
      <c r="D1106" t="s">
        <v>49</v>
      </c>
      <c r="E1106" t="s">
        <v>60</v>
      </c>
      <c r="F1106" t="s">
        <v>23</v>
      </c>
      <c r="G1106" t="s">
        <v>24</v>
      </c>
      <c r="H1106">
        <v>83</v>
      </c>
      <c r="I1106">
        <v>59</v>
      </c>
      <c r="J1106">
        <v>2</v>
      </c>
      <c r="K1106">
        <v>8.1999999999999993</v>
      </c>
      <c r="L1106">
        <v>13746.5</v>
      </c>
      <c r="M1106">
        <v>2.2999999999999998</v>
      </c>
      <c r="N1106">
        <v>59.8</v>
      </c>
      <c r="O1106">
        <v>129</v>
      </c>
      <c r="P1106" s="2">
        <v>46184</v>
      </c>
      <c r="Q1106" s="2">
        <v>46185</v>
      </c>
      <c r="R1106" t="s">
        <v>25</v>
      </c>
      <c r="S1106" t="s">
        <v>51</v>
      </c>
    </row>
    <row r="1107" spans="1:19" x14ac:dyDescent="0.25">
      <c r="A1107" t="s">
        <v>1197</v>
      </c>
      <c r="B1107" s="2">
        <v>46168</v>
      </c>
      <c r="C1107" t="s">
        <v>53</v>
      </c>
      <c r="D1107" t="s">
        <v>54</v>
      </c>
      <c r="E1107" t="s">
        <v>131</v>
      </c>
      <c r="F1107" t="s">
        <v>83</v>
      </c>
      <c r="G1107" t="s">
        <v>24</v>
      </c>
      <c r="H1107">
        <v>231</v>
      </c>
      <c r="I1107">
        <v>221</v>
      </c>
      <c r="J1107">
        <v>5</v>
      </c>
      <c r="K1107">
        <v>7.7</v>
      </c>
      <c r="L1107">
        <v>30568.639999999999</v>
      </c>
      <c r="M1107">
        <v>5.46</v>
      </c>
      <c r="N1107">
        <v>131.04</v>
      </c>
      <c r="O1107">
        <v>220</v>
      </c>
      <c r="P1107" s="2">
        <v>46176</v>
      </c>
      <c r="Q1107" s="2">
        <v>46175</v>
      </c>
      <c r="R1107" t="s">
        <v>39</v>
      </c>
      <c r="S1107" t="s">
        <v>26</v>
      </c>
    </row>
    <row r="1108" spans="1:19" x14ac:dyDescent="0.25">
      <c r="A1108" t="s">
        <v>1198</v>
      </c>
      <c r="B1108" s="2">
        <v>46059</v>
      </c>
      <c r="C1108" t="s">
        <v>53</v>
      </c>
      <c r="D1108" t="s">
        <v>54</v>
      </c>
      <c r="E1108" t="s">
        <v>55</v>
      </c>
      <c r="F1108" t="s">
        <v>41</v>
      </c>
      <c r="G1108" t="s">
        <v>24</v>
      </c>
      <c r="H1108">
        <v>286</v>
      </c>
      <c r="I1108">
        <v>244</v>
      </c>
      <c r="J1108">
        <v>13</v>
      </c>
      <c r="K1108">
        <v>1.9</v>
      </c>
      <c r="L1108">
        <v>41057.07</v>
      </c>
      <c r="M1108">
        <v>4.5999999999999996</v>
      </c>
      <c r="N1108">
        <v>101.2</v>
      </c>
      <c r="O1108">
        <v>257</v>
      </c>
      <c r="P1108" s="2">
        <v>46063</v>
      </c>
      <c r="Q1108" s="2">
        <v>46064</v>
      </c>
      <c r="R1108" t="s">
        <v>39</v>
      </c>
      <c r="S1108" t="s">
        <v>72</v>
      </c>
    </row>
    <row r="1109" spans="1:19" x14ac:dyDescent="0.25">
      <c r="A1109" t="s">
        <v>1199</v>
      </c>
      <c r="B1109" s="2">
        <v>46079</v>
      </c>
      <c r="C1109" t="s">
        <v>43</v>
      </c>
      <c r="D1109" t="s">
        <v>44</v>
      </c>
      <c r="E1109" t="s">
        <v>93</v>
      </c>
      <c r="F1109" t="s">
        <v>64</v>
      </c>
      <c r="G1109" t="s">
        <v>32</v>
      </c>
      <c r="H1109">
        <v>199</v>
      </c>
      <c r="I1109">
        <v>219</v>
      </c>
      <c r="J1109">
        <v>5</v>
      </c>
      <c r="K1109">
        <v>7.9</v>
      </c>
      <c r="L1109">
        <v>27353.52</v>
      </c>
      <c r="M1109">
        <v>5.29</v>
      </c>
      <c r="N1109">
        <v>105.8</v>
      </c>
      <c r="O1109">
        <v>245</v>
      </c>
      <c r="P1109" s="2">
        <v>46083</v>
      </c>
      <c r="Q1109" s="2">
        <v>46085</v>
      </c>
      <c r="R1109" t="s">
        <v>39</v>
      </c>
      <c r="S1109" t="s">
        <v>86</v>
      </c>
    </row>
    <row r="1110" spans="1:19" x14ac:dyDescent="0.25">
      <c r="A1110" t="s">
        <v>1200</v>
      </c>
      <c r="B1110" s="2">
        <v>46162</v>
      </c>
      <c r="C1110" t="s">
        <v>35</v>
      </c>
      <c r="D1110" t="s">
        <v>36</v>
      </c>
      <c r="E1110" t="s">
        <v>37</v>
      </c>
      <c r="F1110" t="s">
        <v>96</v>
      </c>
      <c r="G1110" t="s">
        <v>57</v>
      </c>
      <c r="H1110">
        <v>270</v>
      </c>
      <c r="I1110">
        <v>244</v>
      </c>
      <c r="J1110">
        <v>5</v>
      </c>
      <c r="K1110">
        <v>4.9000000000000004</v>
      </c>
      <c r="L1110">
        <v>29939.56</v>
      </c>
      <c r="M1110">
        <v>9.61</v>
      </c>
      <c r="N1110">
        <v>249.86</v>
      </c>
      <c r="O1110">
        <v>358</v>
      </c>
      <c r="P1110" s="2">
        <v>46167</v>
      </c>
      <c r="Q1110" s="2">
        <v>46167</v>
      </c>
      <c r="R1110" t="s">
        <v>25</v>
      </c>
      <c r="S1110" t="s">
        <v>72</v>
      </c>
    </row>
    <row r="1111" spans="1:19" x14ac:dyDescent="0.25">
      <c r="A1111" t="s">
        <v>1201</v>
      </c>
      <c r="B1111" s="2">
        <v>46184</v>
      </c>
      <c r="C1111" t="s">
        <v>59</v>
      </c>
      <c r="D1111" t="s">
        <v>49</v>
      </c>
      <c r="E1111" t="s">
        <v>76</v>
      </c>
      <c r="F1111" t="s">
        <v>96</v>
      </c>
      <c r="G1111" t="s">
        <v>32</v>
      </c>
      <c r="H1111">
        <v>314</v>
      </c>
      <c r="I1111">
        <v>244</v>
      </c>
      <c r="J1111">
        <v>2</v>
      </c>
      <c r="K1111">
        <v>3</v>
      </c>
      <c r="L1111">
        <v>41150.230000000003</v>
      </c>
      <c r="M1111">
        <v>6.01</v>
      </c>
      <c r="N1111">
        <v>108.18</v>
      </c>
      <c r="O1111">
        <v>374</v>
      </c>
      <c r="P1111" s="2">
        <v>46191</v>
      </c>
      <c r="Q1111" s="2">
        <v>46195</v>
      </c>
      <c r="R1111" t="s">
        <v>39</v>
      </c>
      <c r="S1111" t="s">
        <v>33</v>
      </c>
    </row>
    <row r="1112" spans="1:19" x14ac:dyDescent="0.25">
      <c r="A1112" t="s">
        <v>1202</v>
      </c>
      <c r="B1112" s="2">
        <v>46116</v>
      </c>
      <c r="C1112" t="s">
        <v>35</v>
      </c>
      <c r="D1112" t="s">
        <v>36</v>
      </c>
      <c r="E1112" t="s">
        <v>37</v>
      </c>
      <c r="F1112" t="s">
        <v>112</v>
      </c>
      <c r="G1112" t="s">
        <v>57</v>
      </c>
      <c r="H1112">
        <v>132</v>
      </c>
      <c r="I1112">
        <v>127</v>
      </c>
      <c r="J1112">
        <v>8</v>
      </c>
      <c r="K1112">
        <v>0.1</v>
      </c>
      <c r="L1112">
        <v>10870.22</v>
      </c>
      <c r="M1112">
        <v>5.04</v>
      </c>
      <c r="N1112">
        <v>110.88</v>
      </c>
      <c r="O1112">
        <v>119</v>
      </c>
      <c r="P1112" s="2">
        <v>46118</v>
      </c>
      <c r="Q1112" s="2">
        <v>46122</v>
      </c>
      <c r="R1112" t="s">
        <v>25</v>
      </c>
      <c r="S1112" t="s">
        <v>26</v>
      </c>
    </row>
    <row r="1113" spans="1:19" x14ac:dyDescent="0.25">
      <c r="A1113" t="s">
        <v>1203</v>
      </c>
      <c r="B1113" s="2">
        <v>46049</v>
      </c>
      <c r="C1113" t="s">
        <v>28</v>
      </c>
      <c r="D1113" t="s">
        <v>29</v>
      </c>
      <c r="E1113" t="s">
        <v>63</v>
      </c>
      <c r="F1113" t="s">
        <v>64</v>
      </c>
      <c r="G1113" t="s">
        <v>24</v>
      </c>
      <c r="H1113">
        <v>101</v>
      </c>
      <c r="I1113">
        <v>116</v>
      </c>
      <c r="J1113">
        <v>5</v>
      </c>
      <c r="K1113">
        <v>4.5999999999999996</v>
      </c>
      <c r="L1113">
        <v>26135.73</v>
      </c>
      <c r="M1113">
        <v>4</v>
      </c>
      <c r="N1113">
        <v>80</v>
      </c>
      <c r="O1113">
        <v>145</v>
      </c>
      <c r="P1113" s="2">
        <v>46055</v>
      </c>
      <c r="Q1113" s="2">
        <v>46059</v>
      </c>
      <c r="R1113" t="s">
        <v>100</v>
      </c>
      <c r="S1113" t="s">
        <v>51</v>
      </c>
    </row>
    <row r="1114" spans="1:19" x14ac:dyDescent="0.25">
      <c r="A1114" t="s">
        <v>1204</v>
      </c>
      <c r="B1114" s="2">
        <v>46066</v>
      </c>
      <c r="C1114" t="s">
        <v>80</v>
      </c>
      <c r="D1114" t="s">
        <v>21</v>
      </c>
      <c r="E1114" t="s">
        <v>90</v>
      </c>
      <c r="F1114" t="s">
        <v>74</v>
      </c>
      <c r="G1114" t="s">
        <v>32</v>
      </c>
      <c r="H1114">
        <v>263</v>
      </c>
      <c r="I1114">
        <v>259</v>
      </c>
      <c r="J1114">
        <v>22</v>
      </c>
      <c r="K1114">
        <v>2.8</v>
      </c>
      <c r="L1114">
        <v>74579.63</v>
      </c>
      <c r="M1114">
        <v>10.51</v>
      </c>
      <c r="N1114">
        <v>210.2</v>
      </c>
      <c r="O1114">
        <v>223</v>
      </c>
      <c r="P1114" s="2">
        <v>46069</v>
      </c>
      <c r="Q1114" s="2">
        <v>46069</v>
      </c>
      <c r="R1114" t="s">
        <v>25</v>
      </c>
      <c r="S1114" t="s">
        <v>26</v>
      </c>
    </row>
    <row r="1115" spans="1:19" x14ac:dyDescent="0.25">
      <c r="A1115" t="s">
        <v>1205</v>
      </c>
      <c r="B1115" s="2">
        <v>46114</v>
      </c>
      <c r="C1115" t="s">
        <v>80</v>
      </c>
      <c r="D1115" t="s">
        <v>21</v>
      </c>
      <c r="E1115" t="s">
        <v>22</v>
      </c>
      <c r="F1115" t="s">
        <v>110</v>
      </c>
      <c r="G1115" t="s">
        <v>24</v>
      </c>
      <c r="H1115">
        <v>120</v>
      </c>
      <c r="I1115">
        <v>130</v>
      </c>
      <c r="J1115">
        <v>9</v>
      </c>
      <c r="K1115">
        <v>6.3</v>
      </c>
      <c r="L1115">
        <v>27659.56</v>
      </c>
      <c r="M1115">
        <v>3.39</v>
      </c>
      <c r="N1115">
        <v>67.8</v>
      </c>
      <c r="O1115">
        <v>168</v>
      </c>
      <c r="P1115" s="2">
        <v>46126</v>
      </c>
      <c r="Q1115" s="2">
        <v>46126</v>
      </c>
      <c r="R1115" t="s">
        <v>100</v>
      </c>
      <c r="S1115" t="s">
        <v>86</v>
      </c>
    </row>
    <row r="1116" spans="1:19" x14ac:dyDescent="0.25">
      <c r="A1116" t="s">
        <v>1206</v>
      </c>
      <c r="B1116" s="2">
        <v>46031</v>
      </c>
      <c r="C1116" t="s">
        <v>53</v>
      </c>
      <c r="D1116" t="s">
        <v>54</v>
      </c>
      <c r="E1116" t="s">
        <v>131</v>
      </c>
      <c r="F1116" t="s">
        <v>67</v>
      </c>
      <c r="G1116" t="s">
        <v>57</v>
      </c>
      <c r="H1116">
        <v>91</v>
      </c>
      <c r="I1116">
        <v>102</v>
      </c>
      <c r="J1116">
        <v>5</v>
      </c>
      <c r="K1116">
        <v>6.9</v>
      </c>
      <c r="L1116">
        <v>17087.45</v>
      </c>
      <c r="M1116">
        <v>2.97</v>
      </c>
      <c r="N1116">
        <v>77.22</v>
      </c>
      <c r="O1116">
        <v>63</v>
      </c>
      <c r="P1116" s="2">
        <v>46038</v>
      </c>
      <c r="Q1116" s="2">
        <v>46039</v>
      </c>
      <c r="R1116" t="s">
        <v>25</v>
      </c>
      <c r="S1116" t="s">
        <v>33</v>
      </c>
    </row>
    <row r="1117" spans="1:19" x14ac:dyDescent="0.25">
      <c r="A1117" t="s">
        <v>1207</v>
      </c>
      <c r="B1117" s="2">
        <v>46035</v>
      </c>
      <c r="C1117" t="s">
        <v>80</v>
      </c>
      <c r="D1117" t="s">
        <v>21</v>
      </c>
      <c r="E1117" t="s">
        <v>90</v>
      </c>
      <c r="F1117" t="s">
        <v>170</v>
      </c>
      <c r="G1117" t="s">
        <v>57</v>
      </c>
      <c r="H1117">
        <v>153</v>
      </c>
      <c r="I1117">
        <v>173</v>
      </c>
      <c r="J1117">
        <v>10</v>
      </c>
      <c r="K1117">
        <v>8.6999999999999993</v>
      </c>
      <c r="L1117">
        <v>44054.13</v>
      </c>
      <c r="M1117">
        <v>5.98</v>
      </c>
      <c r="N1117">
        <v>155.47999999999999</v>
      </c>
      <c r="O1117">
        <v>143</v>
      </c>
      <c r="P1117" s="2">
        <v>46037</v>
      </c>
      <c r="Q1117" s="2">
        <v>46037</v>
      </c>
      <c r="R1117" t="s">
        <v>25</v>
      </c>
      <c r="S1117" t="s">
        <v>51</v>
      </c>
    </row>
    <row r="1118" spans="1:19" x14ac:dyDescent="0.25">
      <c r="A1118" t="s">
        <v>1208</v>
      </c>
      <c r="B1118" s="2">
        <v>46132</v>
      </c>
      <c r="C1118" t="s">
        <v>80</v>
      </c>
      <c r="D1118" t="s">
        <v>21</v>
      </c>
      <c r="E1118" t="s">
        <v>66</v>
      </c>
      <c r="F1118" t="s">
        <v>91</v>
      </c>
      <c r="G1118" t="s">
        <v>32</v>
      </c>
      <c r="H1118">
        <v>236</v>
      </c>
      <c r="I1118">
        <v>240</v>
      </c>
      <c r="J1118">
        <v>17</v>
      </c>
      <c r="K1118">
        <v>0.6</v>
      </c>
      <c r="L1118">
        <v>67200.69</v>
      </c>
      <c r="M1118">
        <v>9.56</v>
      </c>
      <c r="N1118">
        <v>191.2</v>
      </c>
      <c r="O1118">
        <v>282</v>
      </c>
      <c r="P1118" s="2">
        <v>46143</v>
      </c>
      <c r="Q1118" s="2">
        <v>46143</v>
      </c>
      <c r="R1118" t="s">
        <v>39</v>
      </c>
      <c r="S1118" t="s">
        <v>51</v>
      </c>
    </row>
    <row r="1119" spans="1:19" x14ac:dyDescent="0.25">
      <c r="A1119" t="s">
        <v>1209</v>
      </c>
      <c r="B1119" s="2">
        <v>46118</v>
      </c>
      <c r="C1119" t="s">
        <v>48</v>
      </c>
      <c r="D1119" t="s">
        <v>49</v>
      </c>
      <c r="E1119" t="s">
        <v>50</v>
      </c>
      <c r="F1119" t="s">
        <v>64</v>
      </c>
      <c r="G1119" t="s">
        <v>57</v>
      </c>
      <c r="H1119">
        <v>91</v>
      </c>
      <c r="I1119">
        <v>79</v>
      </c>
      <c r="J1119">
        <v>0</v>
      </c>
      <c r="K1119">
        <v>0.5</v>
      </c>
      <c r="L1119">
        <v>18782.72</v>
      </c>
      <c r="M1119">
        <v>2.52</v>
      </c>
      <c r="N1119">
        <v>45.36</v>
      </c>
      <c r="O1119">
        <v>152</v>
      </c>
      <c r="P1119" s="2">
        <v>46129</v>
      </c>
      <c r="Q1119" s="2">
        <v>46131</v>
      </c>
      <c r="R1119" t="s">
        <v>39</v>
      </c>
      <c r="S1119" t="s">
        <v>26</v>
      </c>
    </row>
    <row r="1120" spans="1:19" x14ac:dyDescent="0.25">
      <c r="A1120" t="s">
        <v>1210</v>
      </c>
      <c r="B1120" s="2">
        <v>46122</v>
      </c>
      <c r="C1120" t="s">
        <v>53</v>
      </c>
      <c r="D1120" t="s">
        <v>54</v>
      </c>
      <c r="E1120" t="s">
        <v>131</v>
      </c>
      <c r="F1120" t="s">
        <v>114</v>
      </c>
      <c r="G1120" t="s">
        <v>24</v>
      </c>
      <c r="H1120">
        <v>147</v>
      </c>
      <c r="I1120">
        <v>108</v>
      </c>
      <c r="J1120">
        <v>7</v>
      </c>
      <c r="K1120">
        <v>2.2000000000000002</v>
      </c>
      <c r="L1120">
        <v>14358.73</v>
      </c>
      <c r="M1120">
        <v>3.71</v>
      </c>
      <c r="N1120">
        <v>74.2</v>
      </c>
      <c r="O1120">
        <v>156</v>
      </c>
      <c r="P1120" s="2">
        <v>46133</v>
      </c>
      <c r="Q1120" s="2">
        <v>46133</v>
      </c>
      <c r="R1120" t="s">
        <v>25</v>
      </c>
      <c r="S1120" t="s">
        <v>86</v>
      </c>
    </row>
    <row r="1121" spans="1:19" x14ac:dyDescent="0.25">
      <c r="A1121" t="s">
        <v>1211</v>
      </c>
      <c r="B1121" s="2">
        <v>46080</v>
      </c>
      <c r="C1121" t="s">
        <v>80</v>
      </c>
      <c r="D1121" t="s">
        <v>21</v>
      </c>
      <c r="E1121" t="s">
        <v>22</v>
      </c>
      <c r="F1121" t="s">
        <v>46</v>
      </c>
      <c r="G1121" t="s">
        <v>32</v>
      </c>
      <c r="H1121">
        <v>180</v>
      </c>
      <c r="I1121">
        <v>167</v>
      </c>
      <c r="J1121">
        <v>6</v>
      </c>
      <c r="K1121">
        <v>7.6</v>
      </c>
      <c r="L1121">
        <v>37245.230000000003</v>
      </c>
      <c r="M1121">
        <v>3.88</v>
      </c>
      <c r="N1121">
        <v>85.36</v>
      </c>
      <c r="O1121">
        <v>142</v>
      </c>
      <c r="P1121" s="2">
        <v>46083</v>
      </c>
      <c r="Q1121" s="2">
        <v>46087</v>
      </c>
      <c r="R1121" t="s">
        <v>25</v>
      </c>
      <c r="S1121" t="s">
        <v>86</v>
      </c>
    </row>
    <row r="1122" spans="1:19" x14ac:dyDescent="0.25">
      <c r="A1122" t="s">
        <v>1212</v>
      </c>
      <c r="B1122" s="2">
        <v>46056</v>
      </c>
      <c r="C1122" t="s">
        <v>35</v>
      </c>
      <c r="D1122" t="s">
        <v>36</v>
      </c>
      <c r="E1122" t="s">
        <v>37</v>
      </c>
      <c r="F1122" t="s">
        <v>56</v>
      </c>
      <c r="G1122" t="s">
        <v>57</v>
      </c>
      <c r="H1122">
        <v>153</v>
      </c>
      <c r="I1122">
        <v>117</v>
      </c>
      <c r="J1122">
        <v>6</v>
      </c>
      <c r="K1122">
        <v>1.7</v>
      </c>
      <c r="L1122">
        <v>8310.17</v>
      </c>
      <c r="M1122">
        <v>4.7699999999999996</v>
      </c>
      <c r="N1122">
        <v>95.4</v>
      </c>
      <c r="O1122">
        <v>169</v>
      </c>
      <c r="P1122" s="2">
        <v>46061</v>
      </c>
      <c r="Q1122" s="2">
        <v>46061</v>
      </c>
      <c r="R1122" t="s">
        <v>25</v>
      </c>
      <c r="S1122" t="s">
        <v>33</v>
      </c>
    </row>
    <row r="1123" spans="1:19" x14ac:dyDescent="0.25">
      <c r="A1123" t="s">
        <v>1213</v>
      </c>
      <c r="B1123" s="2">
        <v>46026</v>
      </c>
      <c r="C1123" t="s">
        <v>80</v>
      </c>
      <c r="D1123" t="s">
        <v>21</v>
      </c>
      <c r="E1123" t="s">
        <v>66</v>
      </c>
      <c r="F1123" t="s">
        <v>135</v>
      </c>
      <c r="G1123" t="s">
        <v>57</v>
      </c>
      <c r="H1123">
        <v>90</v>
      </c>
      <c r="I1123">
        <v>89</v>
      </c>
      <c r="J1123">
        <v>7</v>
      </c>
      <c r="K1123">
        <v>7.6</v>
      </c>
      <c r="L1123">
        <v>18500.599999999999</v>
      </c>
      <c r="M1123">
        <v>2.96</v>
      </c>
      <c r="N1123">
        <v>76.959999999999994</v>
      </c>
      <c r="O1123">
        <v>155</v>
      </c>
      <c r="P1123" s="2">
        <v>46036</v>
      </c>
      <c r="Q1123" s="2">
        <v>46036</v>
      </c>
      <c r="R1123" t="s">
        <v>25</v>
      </c>
      <c r="S1123" t="s">
        <v>33</v>
      </c>
    </row>
    <row r="1124" spans="1:19" x14ac:dyDescent="0.25">
      <c r="A1124" t="s">
        <v>1214</v>
      </c>
      <c r="B1124" s="2">
        <v>46045</v>
      </c>
      <c r="C1124" t="s">
        <v>35</v>
      </c>
      <c r="D1124" t="s">
        <v>36</v>
      </c>
      <c r="E1124" t="s">
        <v>69</v>
      </c>
      <c r="F1124" t="s">
        <v>56</v>
      </c>
      <c r="G1124" t="s">
        <v>24</v>
      </c>
      <c r="H1124">
        <v>193</v>
      </c>
      <c r="I1124">
        <v>157</v>
      </c>
      <c r="J1124">
        <v>2</v>
      </c>
      <c r="K1124">
        <v>8.3000000000000007</v>
      </c>
      <c r="L1124">
        <v>13955.06</v>
      </c>
      <c r="M1124">
        <v>6.43</v>
      </c>
      <c r="N1124">
        <v>154.32</v>
      </c>
      <c r="O1124">
        <v>238</v>
      </c>
      <c r="P1124" s="2">
        <v>46056</v>
      </c>
      <c r="Q1124" s="2">
        <v>46060</v>
      </c>
      <c r="R1124" t="s">
        <v>25</v>
      </c>
      <c r="S1124" t="s">
        <v>51</v>
      </c>
    </row>
    <row r="1125" spans="1:19" x14ac:dyDescent="0.25">
      <c r="A1125" t="s">
        <v>1215</v>
      </c>
      <c r="B1125" s="2">
        <v>46045</v>
      </c>
      <c r="C1125" t="s">
        <v>43</v>
      </c>
      <c r="D1125" t="s">
        <v>44</v>
      </c>
      <c r="E1125" t="s">
        <v>45</v>
      </c>
      <c r="F1125" t="s">
        <v>91</v>
      </c>
      <c r="G1125" t="s">
        <v>24</v>
      </c>
      <c r="H1125">
        <v>268</v>
      </c>
      <c r="I1125">
        <v>261</v>
      </c>
      <c r="J1125">
        <v>11</v>
      </c>
      <c r="K1125">
        <v>1.5</v>
      </c>
      <c r="L1125">
        <v>28767.43</v>
      </c>
      <c r="M1125">
        <v>6.2</v>
      </c>
      <c r="N1125">
        <v>124</v>
      </c>
      <c r="O1125">
        <v>230</v>
      </c>
      <c r="P1125" s="2">
        <v>46049</v>
      </c>
      <c r="Q1125" s="2">
        <v>46053</v>
      </c>
      <c r="R1125" t="s">
        <v>25</v>
      </c>
      <c r="S1125" t="s">
        <v>51</v>
      </c>
    </row>
    <row r="1126" spans="1:19" x14ac:dyDescent="0.25">
      <c r="A1126" t="s">
        <v>1216</v>
      </c>
      <c r="B1126" s="2">
        <v>46042</v>
      </c>
      <c r="C1126" t="s">
        <v>59</v>
      </c>
      <c r="D1126" t="s">
        <v>49</v>
      </c>
      <c r="E1126" t="s">
        <v>76</v>
      </c>
      <c r="F1126" t="s">
        <v>31</v>
      </c>
      <c r="G1126" t="s">
        <v>32</v>
      </c>
      <c r="H1126">
        <v>198</v>
      </c>
      <c r="I1126">
        <v>218</v>
      </c>
      <c r="J1126">
        <v>14</v>
      </c>
      <c r="K1126">
        <v>1.1000000000000001</v>
      </c>
      <c r="L1126">
        <v>39146</v>
      </c>
      <c r="M1126">
        <v>8.1199999999999992</v>
      </c>
      <c r="N1126">
        <v>162.4</v>
      </c>
      <c r="O1126">
        <v>215</v>
      </c>
      <c r="P1126" s="2">
        <v>46052</v>
      </c>
      <c r="Q1126" s="2">
        <v>46050</v>
      </c>
      <c r="R1126" t="s">
        <v>25</v>
      </c>
      <c r="S1126" t="s">
        <v>51</v>
      </c>
    </row>
    <row r="1127" spans="1:19" x14ac:dyDescent="0.25">
      <c r="A1127" t="s">
        <v>1217</v>
      </c>
      <c r="B1127" s="2">
        <v>46048</v>
      </c>
      <c r="C1127" t="s">
        <v>43</v>
      </c>
      <c r="D1127" t="s">
        <v>44</v>
      </c>
      <c r="E1127" t="s">
        <v>93</v>
      </c>
      <c r="F1127" t="s">
        <v>85</v>
      </c>
      <c r="G1127" t="s">
        <v>32</v>
      </c>
      <c r="H1127">
        <v>170</v>
      </c>
      <c r="I1127">
        <v>188</v>
      </c>
      <c r="J1127">
        <v>9</v>
      </c>
      <c r="K1127">
        <v>1.1000000000000001</v>
      </c>
      <c r="L1127">
        <v>22596.76</v>
      </c>
      <c r="M1127">
        <v>3.4</v>
      </c>
      <c r="N1127">
        <v>74.8</v>
      </c>
      <c r="O1127">
        <v>154</v>
      </c>
      <c r="P1127" s="2">
        <v>46056</v>
      </c>
      <c r="Q1127" s="2">
        <v>46055</v>
      </c>
      <c r="R1127" t="s">
        <v>25</v>
      </c>
      <c r="S1127" t="s">
        <v>51</v>
      </c>
    </row>
    <row r="1128" spans="1:19" x14ac:dyDescent="0.25">
      <c r="A1128" t="s">
        <v>1218</v>
      </c>
      <c r="B1128" s="2">
        <v>46160</v>
      </c>
      <c r="C1128" t="s">
        <v>48</v>
      </c>
      <c r="D1128" t="s">
        <v>49</v>
      </c>
      <c r="E1128" t="s">
        <v>76</v>
      </c>
      <c r="F1128" t="s">
        <v>197</v>
      </c>
      <c r="G1128" t="s">
        <v>32</v>
      </c>
      <c r="H1128">
        <v>220</v>
      </c>
      <c r="I1128">
        <v>210</v>
      </c>
      <c r="J1128">
        <v>14</v>
      </c>
      <c r="K1128">
        <v>7.9</v>
      </c>
      <c r="L1128">
        <v>42630.51</v>
      </c>
      <c r="M1128">
        <v>8.68</v>
      </c>
      <c r="N1128">
        <v>173.6</v>
      </c>
      <c r="O1128">
        <v>204</v>
      </c>
      <c r="P1128" s="2">
        <v>46168</v>
      </c>
      <c r="Q1128" s="2">
        <v>46166</v>
      </c>
      <c r="R1128" t="s">
        <v>25</v>
      </c>
      <c r="S1128" t="s">
        <v>51</v>
      </c>
    </row>
    <row r="1129" spans="1:19" x14ac:dyDescent="0.25">
      <c r="A1129" t="s">
        <v>1219</v>
      </c>
      <c r="B1129" s="2">
        <v>46145</v>
      </c>
      <c r="C1129" t="s">
        <v>28</v>
      </c>
      <c r="D1129" t="s">
        <v>29</v>
      </c>
      <c r="E1129" t="s">
        <v>63</v>
      </c>
      <c r="F1129" t="s">
        <v>41</v>
      </c>
      <c r="G1129" t="s">
        <v>57</v>
      </c>
      <c r="H1129">
        <v>220</v>
      </c>
      <c r="I1129">
        <v>251</v>
      </c>
      <c r="J1129">
        <v>15</v>
      </c>
      <c r="K1129">
        <v>1.4</v>
      </c>
      <c r="L1129">
        <v>65459.46</v>
      </c>
      <c r="M1129">
        <v>5.56</v>
      </c>
      <c r="N1129">
        <v>144.56</v>
      </c>
      <c r="O1129">
        <v>250</v>
      </c>
      <c r="P1129" s="2">
        <v>46152</v>
      </c>
      <c r="Q1129" s="2">
        <v>46152</v>
      </c>
      <c r="R1129" t="s">
        <v>25</v>
      </c>
      <c r="S1129" t="s">
        <v>26</v>
      </c>
    </row>
    <row r="1130" spans="1:19" x14ac:dyDescent="0.25">
      <c r="A1130" t="s">
        <v>1220</v>
      </c>
      <c r="B1130" s="2">
        <v>46058</v>
      </c>
      <c r="C1130" t="s">
        <v>43</v>
      </c>
      <c r="D1130" t="s">
        <v>44</v>
      </c>
      <c r="E1130" t="s">
        <v>45</v>
      </c>
      <c r="F1130" t="s">
        <v>122</v>
      </c>
      <c r="G1130" t="s">
        <v>57</v>
      </c>
      <c r="H1130">
        <v>273</v>
      </c>
      <c r="I1130">
        <v>252</v>
      </c>
      <c r="J1130">
        <v>1</v>
      </c>
      <c r="K1130">
        <v>1.6</v>
      </c>
      <c r="L1130">
        <v>25092.54</v>
      </c>
      <c r="M1130">
        <v>5.31</v>
      </c>
      <c r="N1130">
        <v>106.2</v>
      </c>
      <c r="O1130">
        <v>267</v>
      </c>
      <c r="P1130" s="2">
        <v>46070</v>
      </c>
      <c r="Q1130" s="2">
        <v>46070</v>
      </c>
      <c r="R1130" t="s">
        <v>25</v>
      </c>
      <c r="S1130" t="s">
        <v>86</v>
      </c>
    </row>
    <row r="1131" spans="1:19" x14ac:dyDescent="0.25">
      <c r="A1131" t="s">
        <v>1221</v>
      </c>
      <c r="B1131" s="2">
        <v>46094</v>
      </c>
      <c r="C1131" t="s">
        <v>53</v>
      </c>
      <c r="D1131" t="s">
        <v>54</v>
      </c>
      <c r="E1131" t="s">
        <v>131</v>
      </c>
      <c r="F1131" t="s">
        <v>170</v>
      </c>
      <c r="G1131" t="s">
        <v>57</v>
      </c>
      <c r="H1131">
        <v>247</v>
      </c>
      <c r="I1131">
        <v>200</v>
      </c>
      <c r="J1131">
        <v>3</v>
      </c>
      <c r="K1131">
        <v>6.7</v>
      </c>
      <c r="L1131">
        <v>25818.639999999999</v>
      </c>
      <c r="M1131">
        <v>5.62</v>
      </c>
      <c r="N1131">
        <v>123.64</v>
      </c>
      <c r="O1131">
        <v>257</v>
      </c>
      <c r="P1131" s="2">
        <v>46096</v>
      </c>
      <c r="Q1131" s="2">
        <v>46096</v>
      </c>
      <c r="R1131" t="s">
        <v>25</v>
      </c>
      <c r="S1131" t="s">
        <v>51</v>
      </c>
    </row>
    <row r="1132" spans="1:19" x14ac:dyDescent="0.25">
      <c r="A1132" t="s">
        <v>1222</v>
      </c>
      <c r="B1132" s="2">
        <v>46035</v>
      </c>
      <c r="C1132" t="s">
        <v>59</v>
      </c>
      <c r="D1132" t="s">
        <v>49</v>
      </c>
      <c r="E1132" t="s">
        <v>60</v>
      </c>
      <c r="F1132" t="s">
        <v>38</v>
      </c>
      <c r="G1132" t="s">
        <v>57</v>
      </c>
      <c r="H1132">
        <v>258</v>
      </c>
      <c r="I1132">
        <v>202</v>
      </c>
      <c r="J1132">
        <v>16</v>
      </c>
      <c r="K1132">
        <v>1.2</v>
      </c>
      <c r="L1132">
        <v>33197.81</v>
      </c>
      <c r="M1132">
        <v>8.15</v>
      </c>
      <c r="N1132">
        <v>146.69999999999999</v>
      </c>
      <c r="O1132">
        <v>280</v>
      </c>
      <c r="P1132" s="2">
        <v>46042</v>
      </c>
      <c r="Q1132" s="2">
        <v>46042</v>
      </c>
      <c r="R1132" t="s">
        <v>25</v>
      </c>
      <c r="S1132" t="s">
        <v>26</v>
      </c>
    </row>
    <row r="1133" spans="1:19" x14ac:dyDescent="0.25">
      <c r="A1133" t="s">
        <v>1223</v>
      </c>
      <c r="B1133" s="2">
        <v>46046</v>
      </c>
      <c r="C1133" t="s">
        <v>35</v>
      </c>
      <c r="D1133" t="s">
        <v>36</v>
      </c>
      <c r="E1133" t="s">
        <v>69</v>
      </c>
      <c r="F1133" t="s">
        <v>91</v>
      </c>
      <c r="G1133" t="s">
        <v>32</v>
      </c>
      <c r="H1133">
        <v>306</v>
      </c>
      <c r="I1133">
        <v>226</v>
      </c>
      <c r="J1133">
        <v>6</v>
      </c>
      <c r="K1133">
        <v>1.8</v>
      </c>
      <c r="L1133">
        <v>24102.28</v>
      </c>
      <c r="M1133">
        <v>5.94</v>
      </c>
      <c r="N1133">
        <v>154.44</v>
      </c>
      <c r="O1133">
        <v>325</v>
      </c>
      <c r="P1133" s="2">
        <v>46055</v>
      </c>
      <c r="Q1133" s="2">
        <v>46059</v>
      </c>
      <c r="R1133" t="s">
        <v>100</v>
      </c>
      <c r="S1133" t="s">
        <v>26</v>
      </c>
    </row>
    <row r="1134" spans="1:19" x14ac:dyDescent="0.25">
      <c r="A1134" t="s">
        <v>1224</v>
      </c>
      <c r="B1134" s="2">
        <v>46047</v>
      </c>
      <c r="C1134" t="s">
        <v>28</v>
      </c>
      <c r="D1134" t="s">
        <v>29</v>
      </c>
      <c r="E1134" t="s">
        <v>63</v>
      </c>
      <c r="F1134" t="s">
        <v>64</v>
      </c>
      <c r="G1134" t="s">
        <v>57</v>
      </c>
      <c r="H1134">
        <v>276</v>
      </c>
      <c r="I1134">
        <v>207</v>
      </c>
      <c r="J1134">
        <v>1</v>
      </c>
      <c r="K1134">
        <v>1.5</v>
      </c>
      <c r="L1134">
        <v>47887.75</v>
      </c>
      <c r="M1134">
        <v>8.1199999999999992</v>
      </c>
      <c r="N1134">
        <v>146.16</v>
      </c>
      <c r="O1134">
        <v>356</v>
      </c>
      <c r="P1134" s="2">
        <v>46053</v>
      </c>
      <c r="Q1134" s="2">
        <v>46055</v>
      </c>
      <c r="R1134" t="s">
        <v>39</v>
      </c>
      <c r="S1134" t="s">
        <v>26</v>
      </c>
    </row>
    <row r="1135" spans="1:19" x14ac:dyDescent="0.25">
      <c r="A1135" t="s">
        <v>1225</v>
      </c>
      <c r="B1135" s="2">
        <v>46158</v>
      </c>
      <c r="C1135" t="s">
        <v>28</v>
      </c>
      <c r="D1135" t="s">
        <v>29</v>
      </c>
      <c r="E1135" t="s">
        <v>63</v>
      </c>
      <c r="F1135" t="s">
        <v>71</v>
      </c>
      <c r="G1135" t="s">
        <v>32</v>
      </c>
      <c r="H1135">
        <v>281</v>
      </c>
      <c r="I1135">
        <v>205</v>
      </c>
      <c r="J1135">
        <v>5</v>
      </c>
      <c r="K1135">
        <v>8.6999999999999993</v>
      </c>
      <c r="L1135">
        <v>44705.08</v>
      </c>
      <c r="M1135">
        <v>6.74</v>
      </c>
      <c r="N1135">
        <v>161.76</v>
      </c>
      <c r="O1135">
        <v>282</v>
      </c>
      <c r="P1135" s="2">
        <v>46162</v>
      </c>
      <c r="Q1135" s="2">
        <v>46161</v>
      </c>
      <c r="R1135" t="s">
        <v>25</v>
      </c>
      <c r="S1135" t="s">
        <v>72</v>
      </c>
    </row>
    <row r="1136" spans="1:19" x14ac:dyDescent="0.25">
      <c r="A1136" t="s">
        <v>1226</v>
      </c>
      <c r="B1136" s="2">
        <v>46026</v>
      </c>
      <c r="C1136" t="s">
        <v>80</v>
      </c>
      <c r="D1136" t="s">
        <v>21</v>
      </c>
      <c r="E1136" t="s">
        <v>90</v>
      </c>
      <c r="F1136" t="s">
        <v>88</v>
      </c>
      <c r="G1136" t="s">
        <v>24</v>
      </c>
      <c r="H1136">
        <v>183</v>
      </c>
      <c r="I1136">
        <v>175</v>
      </c>
      <c r="J1136">
        <v>6</v>
      </c>
      <c r="K1136">
        <v>7.6</v>
      </c>
      <c r="L1136">
        <v>58125.64</v>
      </c>
      <c r="M1136">
        <v>5.08</v>
      </c>
      <c r="N1136">
        <v>91.44</v>
      </c>
      <c r="O1136">
        <v>241</v>
      </c>
      <c r="P1136" s="2">
        <v>46031</v>
      </c>
      <c r="Q1136" s="2">
        <v>46033</v>
      </c>
      <c r="R1136" t="s">
        <v>25</v>
      </c>
      <c r="S1136" t="s">
        <v>26</v>
      </c>
    </row>
    <row r="1137" spans="1:19" x14ac:dyDescent="0.25">
      <c r="A1137" t="s">
        <v>1227</v>
      </c>
      <c r="B1137" s="2">
        <v>46123</v>
      </c>
      <c r="C1137" t="s">
        <v>48</v>
      </c>
      <c r="D1137" t="s">
        <v>49</v>
      </c>
      <c r="E1137" t="s">
        <v>76</v>
      </c>
      <c r="F1137" t="s">
        <v>197</v>
      </c>
      <c r="G1137" t="s">
        <v>57</v>
      </c>
      <c r="H1137">
        <v>95</v>
      </c>
      <c r="I1137">
        <v>80</v>
      </c>
      <c r="J1137">
        <v>2</v>
      </c>
      <c r="K1137">
        <v>6.9</v>
      </c>
      <c r="L1137">
        <v>15198.5</v>
      </c>
      <c r="M1137">
        <v>2.29</v>
      </c>
      <c r="N1137">
        <v>54.96</v>
      </c>
      <c r="O1137">
        <v>155</v>
      </c>
      <c r="P1137" s="2">
        <v>46128</v>
      </c>
      <c r="Q1137" s="2">
        <v>46128</v>
      </c>
      <c r="R1137" t="s">
        <v>39</v>
      </c>
      <c r="S1137" t="s">
        <v>51</v>
      </c>
    </row>
    <row r="1138" spans="1:19" x14ac:dyDescent="0.25">
      <c r="A1138" t="s">
        <v>1228</v>
      </c>
      <c r="B1138" s="2">
        <v>46168</v>
      </c>
      <c r="C1138" t="s">
        <v>35</v>
      </c>
      <c r="D1138" t="s">
        <v>36</v>
      </c>
      <c r="E1138" t="s">
        <v>69</v>
      </c>
      <c r="F1138" t="s">
        <v>122</v>
      </c>
      <c r="G1138" t="s">
        <v>57</v>
      </c>
      <c r="H1138">
        <v>82</v>
      </c>
      <c r="I1138">
        <v>69</v>
      </c>
      <c r="J1138">
        <v>4</v>
      </c>
      <c r="K1138">
        <v>1.5</v>
      </c>
      <c r="L1138">
        <v>6167.18</v>
      </c>
      <c r="M1138">
        <v>1.88</v>
      </c>
      <c r="N1138">
        <v>45.12</v>
      </c>
      <c r="O1138">
        <v>80</v>
      </c>
      <c r="P1138" s="2">
        <v>46171</v>
      </c>
      <c r="Q1138" s="2">
        <v>46171</v>
      </c>
      <c r="R1138" t="s">
        <v>25</v>
      </c>
      <c r="S1138" t="s">
        <v>72</v>
      </c>
    </row>
    <row r="1139" spans="1:19" x14ac:dyDescent="0.25">
      <c r="A1139" t="s">
        <v>1229</v>
      </c>
      <c r="B1139" s="2">
        <v>46193</v>
      </c>
      <c r="C1139" t="s">
        <v>43</v>
      </c>
      <c r="D1139" t="s">
        <v>44</v>
      </c>
      <c r="E1139" t="s">
        <v>45</v>
      </c>
      <c r="F1139" t="s">
        <v>41</v>
      </c>
      <c r="G1139" t="s">
        <v>24</v>
      </c>
      <c r="H1139">
        <v>167</v>
      </c>
      <c r="I1139">
        <v>187</v>
      </c>
      <c r="J1139">
        <v>10</v>
      </c>
      <c r="K1139">
        <v>2.9</v>
      </c>
      <c r="L1139">
        <v>20849.41</v>
      </c>
      <c r="M1139">
        <v>5.68</v>
      </c>
      <c r="N1139">
        <v>147.68</v>
      </c>
      <c r="O1139">
        <v>137</v>
      </c>
      <c r="P1139" s="2">
        <v>46203</v>
      </c>
      <c r="Q1139" s="2">
        <v>46207</v>
      </c>
      <c r="R1139" t="s">
        <v>39</v>
      </c>
      <c r="S1139" t="s">
        <v>33</v>
      </c>
    </row>
    <row r="1140" spans="1:19" x14ac:dyDescent="0.25">
      <c r="A1140" t="s">
        <v>1230</v>
      </c>
      <c r="B1140" s="2">
        <v>46182</v>
      </c>
      <c r="C1140" t="s">
        <v>35</v>
      </c>
      <c r="D1140" t="s">
        <v>36</v>
      </c>
      <c r="E1140" t="s">
        <v>37</v>
      </c>
      <c r="F1140" t="s">
        <v>38</v>
      </c>
      <c r="G1140" t="s">
        <v>57</v>
      </c>
      <c r="H1140">
        <v>243</v>
      </c>
      <c r="I1140">
        <v>200</v>
      </c>
      <c r="J1140">
        <v>6</v>
      </c>
      <c r="K1140">
        <v>7.4</v>
      </c>
      <c r="L1140">
        <v>16083.95</v>
      </c>
      <c r="M1140">
        <v>6.88</v>
      </c>
      <c r="N1140">
        <v>151.36000000000001</v>
      </c>
      <c r="O1140">
        <v>259</v>
      </c>
      <c r="P1140" s="2">
        <v>46187</v>
      </c>
      <c r="Q1140" s="2">
        <v>46188</v>
      </c>
      <c r="R1140" t="s">
        <v>25</v>
      </c>
      <c r="S1140" t="s">
        <v>86</v>
      </c>
    </row>
    <row r="1141" spans="1:19" x14ac:dyDescent="0.25">
      <c r="A1141" t="s">
        <v>1231</v>
      </c>
      <c r="B1141" s="2">
        <v>46140</v>
      </c>
      <c r="C1141" t="s">
        <v>43</v>
      </c>
      <c r="D1141" t="s">
        <v>44</v>
      </c>
      <c r="E1141" t="s">
        <v>161</v>
      </c>
      <c r="F1141" t="s">
        <v>119</v>
      </c>
      <c r="G1141" t="s">
        <v>32</v>
      </c>
      <c r="H1141">
        <v>250</v>
      </c>
      <c r="I1141">
        <v>186</v>
      </c>
      <c r="J1141">
        <v>9</v>
      </c>
      <c r="K1141">
        <v>2</v>
      </c>
      <c r="L1141">
        <v>18376.89</v>
      </c>
      <c r="M1141">
        <v>6.99</v>
      </c>
      <c r="N1141">
        <v>139.80000000000001</v>
      </c>
      <c r="O1141">
        <v>229</v>
      </c>
      <c r="P1141" s="2">
        <v>46143</v>
      </c>
      <c r="Q1141" s="2">
        <v>46144</v>
      </c>
      <c r="R1141" t="s">
        <v>39</v>
      </c>
      <c r="S1141" t="s">
        <v>33</v>
      </c>
    </row>
    <row r="1142" spans="1:19" x14ac:dyDescent="0.25">
      <c r="A1142" t="s">
        <v>1232</v>
      </c>
      <c r="B1142" s="2">
        <v>46118</v>
      </c>
      <c r="C1142" t="s">
        <v>59</v>
      </c>
      <c r="D1142" t="s">
        <v>49</v>
      </c>
      <c r="E1142" t="s">
        <v>76</v>
      </c>
      <c r="F1142" t="s">
        <v>31</v>
      </c>
      <c r="G1142" t="s">
        <v>32</v>
      </c>
      <c r="H1142">
        <v>301</v>
      </c>
      <c r="I1142">
        <v>277</v>
      </c>
      <c r="J1142">
        <v>19</v>
      </c>
      <c r="K1142">
        <v>8.1999999999999993</v>
      </c>
      <c r="L1142">
        <v>46414.84</v>
      </c>
      <c r="M1142">
        <v>7.19</v>
      </c>
      <c r="N1142">
        <v>172.56</v>
      </c>
      <c r="O1142">
        <v>363</v>
      </c>
      <c r="P1142" s="2">
        <v>46129</v>
      </c>
      <c r="Q1142" s="2">
        <v>46129</v>
      </c>
      <c r="R1142" t="s">
        <v>25</v>
      </c>
      <c r="S1142" t="s">
        <v>51</v>
      </c>
    </row>
    <row r="1143" spans="1:19" x14ac:dyDescent="0.25">
      <c r="A1143" t="s">
        <v>1233</v>
      </c>
      <c r="B1143" s="2">
        <v>46134</v>
      </c>
      <c r="C1143" t="s">
        <v>48</v>
      </c>
      <c r="D1143" t="s">
        <v>49</v>
      </c>
      <c r="E1143" t="s">
        <v>60</v>
      </c>
      <c r="F1143" t="s">
        <v>88</v>
      </c>
      <c r="G1143" t="s">
        <v>57</v>
      </c>
      <c r="H1143">
        <v>200</v>
      </c>
      <c r="I1143">
        <v>229</v>
      </c>
      <c r="J1143">
        <v>6</v>
      </c>
      <c r="K1143">
        <v>3.5</v>
      </c>
      <c r="L1143">
        <v>53242.42</v>
      </c>
      <c r="M1143">
        <v>6.22</v>
      </c>
      <c r="N1143">
        <v>111.96</v>
      </c>
      <c r="O1143">
        <v>270</v>
      </c>
      <c r="P1143" s="2">
        <v>46139</v>
      </c>
      <c r="Q1143" s="2">
        <v>46139</v>
      </c>
      <c r="R1143" t="s">
        <v>25</v>
      </c>
      <c r="S1143" t="s">
        <v>86</v>
      </c>
    </row>
    <row r="1144" spans="1:19" x14ac:dyDescent="0.25">
      <c r="A1144" t="s">
        <v>1234</v>
      </c>
      <c r="B1144" s="2">
        <v>46096</v>
      </c>
      <c r="C1144" t="s">
        <v>48</v>
      </c>
      <c r="D1144" t="s">
        <v>49</v>
      </c>
      <c r="E1144" t="s">
        <v>50</v>
      </c>
      <c r="F1144" t="s">
        <v>104</v>
      </c>
      <c r="G1144" t="s">
        <v>57</v>
      </c>
      <c r="H1144">
        <v>217</v>
      </c>
      <c r="I1144">
        <v>221</v>
      </c>
      <c r="J1144">
        <v>1</v>
      </c>
      <c r="K1144">
        <v>3</v>
      </c>
      <c r="L1144">
        <v>51167.839999999997</v>
      </c>
      <c r="M1144">
        <v>8.9600000000000009</v>
      </c>
      <c r="N1144">
        <v>232.96</v>
      </c>
      <c r="O1144">
        <v>199</v>
      </c>
      <c r="P1144" s="2">
        <v>46103</v>
      </c>
      <c r="Q1144" s="2">
        <v>46103</v>
      </c>
      <c r="R1144" t="s">
        <v>100</v>
      </c>
      <c r="S1144" t="s">
        <v>86</v>
      </c>
    </row>
    <row r="1145" spans="1:19" x14ac:dyDescent="0.25">
      <c r="A1145" t="s">
        <v>1235</v>
      </c>
      <c r="B1145" s="2">
        <v>46118</v>
      </c>
      <c r="C1145" t="s">
        <v>35</v>
      </c>
      <c r="D1145" t="s">
        <v>36</v>
      </c>
      <c r="E1145" t="s">
        <v>69</v>
      </c>
      <c r="F1145" t="s">
        <v>244</v>
      </c>
      <c r="G1145" t="s">
        <v>32</v>
      </c>
      <c r="H1145">
        <v>157</v>
      </c>
      <c r="I1145">
        <v>170</v>
      </c>
      <c r="J1145">
        <v>3</v>
      </c>
      <c r="K1145">
        <v>7.7</v>
      </c>
      <c r="L1145">
        <v>14007.27</v>
      </c>
      <c r="M1145">
        <v>7.06</v>
      </c>
      <c r="N1145">
        <v>141.19999999999999</v>
      </c>
      <c r="O1145">
        <v>178</v>
      </c>
      <c r="P1145" s="2">
        <v>46125</v>
      </c>
      <c r="Q1145" s="2">
        <v>46124</v>
      </c>
      <c r="R1145" t="s">
        <v>25</v>
      </c>
      <c r="S1145" t="s">
        <v>33</v>
      </c>
    </row>
    <row r="1146" spans="1:19" x14ac:dyDescent="0.25">
      <c r="A1146" t="s">
        <v>1236</v>
      </c>
      <c r="B1146" s="2">
        <v>46096</v>
      </c>
      <c r="C1146" t="s">
        <v>80</v>
      </c>
      <c r="D1146" t="s">
        <v>21</v>
      </c>
      <c r="E1146" t="s">
        <v>66</v>
      </c>
      <c r="F1146" t="s">
        <v>74</v>
      </c>
      <c r="G1146" t="s">
        <v>24</v>
      </c>
      <c r="H1146">
        <v>147</v>
      </c>
      <c r="I1146">
        <v>146</v>
      </c>
      <c r="J1146">
        <v>8</v>
      </c>
      <c r="K1146">
        <v>2.2000000000000002</v>
      </c>
      <c r="L1146">
        <v>49761.03</v>
      </c>
      <c r="M1146">
        <v>5.49</v>
      </c>
      <c r="N1146">
        <v>120.78</v>
      </c>
      <c r="O1146">
        <v>188</v>
      </c>
      <c r="P1146" s="2">
        <v>46102</v>
      </c>
      <c r="Q1146" s="2">
        <v>46102</v>
      </c>
      <c r="R1146" t="s">
        <v>25</v>
      </c>
      <c r="S1146" t="s">
        <v>72</v>
      </c>
    </row>
    <row r="1147" spans="1:19" x14ac:dyDescent="0.25">
      <c r="A1147" t="s">
        <v>1237</v>
      </c>
      <c r="B1147" s="2">
        <v>46079</v>
      </c>
      <c r="C1147" t="s">
        <v>53</v>
      </c>
      <c r="D1147" t="s">
        <v>54</v>
      </c>
      <c r="E1147" t="s">
        <v>55</v>
      </c>
      <c r="F1147" t="s">
        <v>88</v>
      </c>
      <c r="G1147" t="s">
        <v>32</v>
      </c>
      <c r="H1147">
        <v>106</v>
      </c>
      <c r="I1147">
        <v>120</v>
      </c>
      <c r="J1147">
        <v>7</v>
      </c>
      <c r="K1147">
        <v>0.2</v>
      </c>
      <c r="L1147">
        <v>18221.27</v>
      </c>
      <c r="M1147">
        <v>2.5099999999999998</v>
      </c>
      <c r="N1147">
        <v>65.260000000000005</v>
      </c>
      <c r="O1147">
        <v>157</v>
      </c>
      <c r="P1147" s="2">
        <v>46083</v>
      </c>
      <c r="Q1147" s="2">
        <v>46083</v>
      </c>
      <c r="R1147" t="s">
        <v>25</v>
      </c>
      <c r="S1147" t="s">
        <v>26</v>
      </c>
    </row>
    <row r="1148" spans="1:19" x14ac:dyDescent="0.25">
      <c r="A1148" t="s">
        <v>1238</v>
      </c>
      <c r="B1148" s="2">
        <v>46137</v>
      </c>
      <c r="C1148" t="s">
        <v>20</v>
      </c>
      <c r="D1148" t="s">
        <v>21</v>
      </c>
      <c r="E1148" t="s">
        <v>66</v>
      </c>
      <c r="F1148" t="s">
        <v>64</v>
      </c>
      <c r="G1148" t="s">
        <v>57</v>
      </c>
      <c r="H1148">
        <v>151</v>
      </c>
      <c r="I1148">
        <v>129</v>
      </c>
      <c r="J1148">
        <v>3</v>
      </c>
      <c r="K1148">
        <v>7.3</v>
      </c>
      <c r="L1148">
        <v>46978.53</v>
      </c>
      <c r="M1148">
        <v>2.87</v>
      </c>
      <c r="N1148">
        <v>74.62</v>
      </c>
      <c r="O1148">
        <v>228</v>
      </c>
      <c r="P1148" s="2">
        <v>46143</v>
      </c>
      <c r="Q1148" s="2">
        <v>46143</v>
      </c>
      <c r="R1148" t="s">
        <v>100</v>
      </c>
      <c r="S1148" t="s">
        <v>72</v>
      </c>
    </row>
    <row r="1149" spans="1:19" x14ac:dyDescent="0.25">
      <c r="A1149" t="s">
        <v>1239</v>
      </c>
      <c r="B1149" s="2">
        <v>46072</v>
      </c>
      <c r="C1149" t="s">
        <v>43</v>
      </c>
      <c r="D1149" t="s">
        <v>44</v>
      </c>
      <c r="E1149" t="s">
        <v>45</v>
      </c>
      <c r="F1149" t="s">
        <v>114</v>
      </c>
      <c r="G1149" t="s">
        <v>32</v>
      </c>
      <c r="H1149">
        <v>319</v>
      </c>
      <c r="I1149">
        <v>341</v>
      </c>
      <c r="J1149">
        <v>2</v>
      </c>
      <c r="K1149">
        <v>4.8</v>
      </c>
      <c r="L1149">
        <v>48791.62</v>
      </c>
      <c r="M1149">
        <v>12.85</v>
      </c>
      <c r="N1149">
        <v>257</v>
      </c>
      <c r="O1149">
        <v>392</v>
      </c>
      <c r="P1149" s="2">
        <v>46081</v>
      </c>
      <c r="Q1149" s="2">
        <v>46085</v>
      </c>
      <c r="R1149" t="s">
        <v>25</v>
      </c>
      <c r="S1149" t="s">
        <v>72</v>
      </c>
    </row>
    <row r="1150" spans="1:19" x14ac:dyDescent="0.25">
      <c r="A1150" t="s">
        <v>1240</v>
      </c>
      <c r="B1150" s="2">
        <v>46197</v>
      </c>
      <c r="C1150" t="s">
        <v>48</v>
      </c>
      <c r="D1150" t="s">
        <v>49</v>
      </c>
      <c r="E1150" t="s">
        <v>76</v>
      </c>
      <c r="F1150" t="s">
        <v>67</v>
      </c>
      <c r="G1150" t="s">
        <v>32</v>
      </c>
      <c r="H1150">
        <v>128</v>
      </c>
      <c r="I1150">
        <v>102</v>
      </c>
      <c r="J1150">
        <v>0</v>
      </c>
      <c r="K1150">
        <v>2.5</v>
      </c>
      <c r="L1150">
        <v>18691.419999999998</v>
      </c>
      <c r="M1150">
        <v>4.0999999999999996</v>
      </c>
      <c r="N1150">
        <v>90.2</v>
      </c>
      <c r="O1150">
        <v>127</v>
      </c>
      <c r="P1150" s="2">
        <v>46206</v>
      </c>
      <c r="Q1150" s="2">
        <v>46205</v>
      </c>
      <c r="R1150" t="s">
        <v>25</v>
      </c>
      <c r="S1150" t="s">
        <v>86</v>
      </c>
    </row>
    <row r="1151" spans="1:19" x14ac:dyDescent="0.25">
      <c r="A1151" t="s">
        <v>1241</v>
      </c>
      <c r="B1151" s="2">
        <v>46189</v>
      </c>
      <c r="C1151" t="s">
        <v>80</v>
      </c>
      <c r="D1151" t="s">
        <v>21</v>
      </c>
      <c r="E1151" t="s">
        <v>22</v>
      </c>
      <c r="F1151" t="s">
        <v>104</v>
      </c>
      <c r="G1151" t="s">
        <v>32</v>
      </c>
      <c r="H1151">
        <v>86</v>
      </c>
      <c r="I1151">
        <v>95</v>
      </c>
      <c r="J1151">
        <v>4</v>
      </c>
      <c r="K1151">
        <v>6.1</v>
      </c>
      <c r="L1151">
        <v>24240.560000000001</v>
      </c>
      <c r="M1151">
        <v>2.13</v>
      </c>
      <c r="N1151">
        <v>51.12</v>
      </c>
      <c r="O1151">
        <v>99</v>
      </c>
      <c r="P1151" s="2">
        <v>46192</v>
      </c>
      <c r="Q1151" s="2">
        <v>46194</v>
      </c>
      <c r="R1151" t="s">
        <v>25</v>
      </c>
      <c r="S1151" t="s">
        <v>51</v>
      </c>
    </row>
    <row r="1152" spans="1:19" x14ac:dyDescent="0.25">
      <c r="A1152" t="s">
        <v>1242</v>
      </c>
      <c r="B1152" s="2">
        <v>46169</v>
      </c>
      <c r="C1152" t="s">
        <v>20</v>
      </c>
      <c r="D1152" t="s">
        <v>21</v>
      </c>
      <c r="E1152" t="s">
        <v>22</v>
      </c>
      <c r="F1152" t="s">
        <v>106</v>
      </c>
      <c r="G1152" t="s">
        <v>57</v>
      </c>
      <c r="H1152">
        <v>275</v>
      </c>
      <c r="I1152">
        <v>245</v>
      </c>
      <c r="J1152">
        <v>19</v>
      </c>
      <c r="K1152">
        <v>6.2</v>
      </c>
      <c r="L1152">
        <v>72070.09</v>
      </c>
      <c r="M1152">
        <v>4.62</v>
      </c>
      <c r="N1152">
        <v>83.16</v>
      </c>
      <c r="O1152">
        <v>285</v>
      </c>
      <c r="P1152" s="2">
        <v>46177</v>
      </c>
      <c r="Q1152" s="2">
        <v>46178</v>
      </c>
      <c r="R1152" t="s">
        <v>25</v>
      </c>
      <c r="S1152" t="s">
        <v>26</v>
      </c>
    </row>
    <row r="1153" spans="1:19" x14ac:dyDescent="0.25">
      <c r="A1153" t="s">
        <v>1243</v>
      </c>
      <c r="B1153" s="2">
        <v>46123</v>
      </c>
      <c r="C1153" t="s">
        <v>43</v>
      </c>
      <c r="D1153" t="s">
        <v>44</v>
      </c>
      <c r="E1153" t="s">
        <v>45</v>
      </c>
      <c r="F1153" t="s">
        <v>170</v>
      </c>
      <c r="G1153" t="s">
        <v>57</v>
      </c>
      <c r="H1153">
        <v>86</v>
      </c>
      <c r="I1153">
        <v>84</v>
      </c>
      <c r="J1153">
        <v>1</v>
      </c>
      <c r="K1153">
        <v>6.5</v>
      </c>
      <c r="L1153">
        <v>11979.06</v>
      </c>
      <c r="M1153">
        <v>2.21</v>
      </c>
      <c r="N1153">
        <v>48.62</v>
      </c>
      <c r="O1153">
        <v>140</v>
      </c>
      <c r="P1153" s="2">
        <v>46135</v>
      </c>
      <c r="Q1153" s="2">
        <v>46135</v>
      </c>
      <c r="R1153" t="s">
        <v>25</v>
      </c>
      <c r="S1153" t="s">
        <v>51</v>
      </c>
    </row>
    <row r="1154" spans="1:19" x14ac:dyDescent="0.25">
      <c r="A1154" t="s">
        <v>1244</v>
      </c>
      <c r="B1154" s="2">
        <v>46186</v>
      </c>
      <c r="C1154" t="s">
        <v>53</v>
      </c>
      <c r="D1154" t="s">
        <v>54</v>
      </c>
      <c r="E1154" t="s">
        <v>55</v>
      </c>
      <c r="F1154" t="s">
        <v>77</v>
      </c>
      <c r="G1154" t="s">
        <v>32</v>
      </c>
      <c r="H1154">
        <v>259</v>
      </c>
      <c r="I1154">
        <v>255</v>
      </c>
      <c r="J1154">
        <v>21</v>
      </c>
      <c r="K1154">
        <v>5.4</v>
      </c>
      <c r="L1154">
        <v>30330.23</v>
      </c>
      <c r="M1154">
        <v>9.81</v>
      </c>
      <c r="N1154">
        <v>196.2</v>
      </c>
      <c r="O1154">
        <v>309</v>
      </c>
      <c r="P1154" s="2">
        <v>46191</v>
      </c>
      <c r="Q1154" s="2">
        <v>46191</v>
      </c>
      <c r="R1154" t="s">
        <v>25</v>
      </c>
      <c r="S1154" t="s">
        <v>33</v>
      </c>
    </row>
    <row r="1155" spans="1:19" x14ac:dyDescent="0.25">
      <c r="A1155" t="s">
        <v>1245</v>
      </c>
      <c r="B1155" s="2">
        <v>46152</v>
      </c>
      <c r="C1155" t="s">
        <v>48</v>
      </c>
      <c r="D1155" t="s">
        <v>49</v>
      </c>
      <c r="E1155" t="s">
        <v>50</v>
      </c>
      <c r="F1155" t="s">
        <v>46</v>
      </c>
      <c r="G1155" t="s">
        <v>57</v>
      </c>
      <c r="H1155">
        <v>200</v>
      </c>
      <c r="I1155">
        <v>178</v>
      </c>
      <c r="J1155">
        <v>15</v>
      </c>
      <c r="K1155">
        <v>5</v>
      </c>
      <c r="L1155">
        <v>35187.94</v>
      </c>
      <c r="M1155">
        <v>4.87</v>
      </c>
      <c r="N1155">
        <v>116.88</v>
      </c>
      <c r="O1155">
        <v>190</v>
      </c>
      <c r="P1155" s="2">
        <v>46162</v>
      </c>
      <c r="Q1155" s="2">
        <v>46162</v>
      </c>
      <c r="R1155" t="s">
        <v>25</v>
      </c>
      <c r="S1155" t="s">
        <v>33</v>
      </c>
    </row>
    <row r="1156" spans="1:19" x14ac:dyDescent="0.25">
      <c r="A1156" t="s">
        <v>1246</v>
      </c>
      <c r="B1156" s="2">
        <v>46026</v>
      </c>
      <c r="C1156" t="s">
        <v>53</v>
      </c>
      <c r="D1156" t="s">
        <v>54</v>
      </c>
      <c r="E1156" t="s">
        <v>55</v>
      </c>
      <c r="F1156" t="s">
        <v>67</v>
      </c>
      <c r="G1156" t="s">
        <v>24</v>
      </c>
      <c r="H1156">
        <v>119</v>
      </c>
      <c r="I1156">
        <v>105</v>
      </c>
      <c r="J1156">
        <v>3</v>
      </c>
      <c r="K1156">
        <v>7.6</v>
      </c>
      <c r="L1156">
        <v>16990.13</v>
      </c>
      <c r="M1156">
        <v>4.1399999999999997</v>
      </c>
      <c r="N1156">
        <v>107.64</v>
      </c>
      <c r="O1156">
        <v>125</v>
      </c>
      <c r="P1156" s="2">
        <v>46029</v>
      </c>
      <c r="Q1156" s="2">
        <v>46033</v>
      </c>
      <c r="R1156" t="s">
        <v>100</v>
      </c>
      <c r="S1156" t="s">
        <v>86</v>
      </c>
    </row>
    <row r="1157" spans="1:19" x14ac:dyDescent="0.25">
      <c r="A1157" t="s">
        <v>1247</v>
      </c>
      <c r="B1157" s="2">
        <v>46159</v>
      </c>
      <c r="C1157" t="s">
        <v>59</v>
      </c>
      <c r="D1157" t="s">
        <v>49</v>
      </c>
      <c r="E1157" t="s">
        <v>76</v>
      </c>
      <c r="F1157" t="s">
        <v>197</v>
      </c>
      <c r="G1157" t="s">
        <v>24</v>
      </c>
      <c r="H1157">
        <v>202</v>
      </c>
      <c r="I1157">
        <v>162</v>
      </c>
      <c r="J1157">
        <v>7</v>
      </c>
      <c r="K1157">
        <v>2.4</v>
      </c>
      <c r="L1157">
        <v>27844.16</v>
      </c>
      <c r="M1157">
        <v>6.66</v>
      </c>
      <c r="N1157">
        <v>133.19999999999999</v>
      </c>
      <c r="O1157">
        <v>198</v>
      </c>
      <c r="P1157" s="2">
        <v>46163</v>
      </c>
      <c r="Q1157" s="2">
        <v>46161</v>
      </c>
      <c r="R1157" t="s">
        <v>25</v>
      </c>
      <c r="S1157" t="s">
        <v>86</v>
      </c>
    </row>
    <row r="1158" spans="1:19" x14ac:dyDescent="0.25">
      <c r="A1158" t="s">
        <v>1248</v>
      </c>
      <c r="B1158" s="2">
        <v>46087</v>
      </c>
      <c r="C1158" t="s">
        <v>43</v>
      </c>
      <c r="D1158" t="s">
        <v>44</v>
      </c>
      <c r="E1158" t="s">
        <v>161</v>
      </c>
      <c r="F1158" t="s">
        <v>46</v>
      </c>
      <c r="G1158" t="s">
        <v>57</v>
      </c>
      <c r="H1158">
        <v>223</v>
      </c>
      <c r="I1158">
        <v>255</v>
      </c>
      <c r="J1158">
        <v>20</v>
      </c>
      <c r="K1158">
        <v>5.0999999999999996</v>
      </c>
      <c r="L1158">
        <v>33726.959999999999</v>
      </c>
      <c r="M1158">
        <v>8.7799999999999994</v>
      </c>
      <c r="N1158">
        <v>175.6</v>
      </c>
      <c r="O1158">
        <v>228</v>
      </c>
      <c r="P1158" s="2">
        <v>46094</v>
      </c>
      <c r="Q1158" s="2">
        <v>46096</v>
      </c>
      <c r="R1158" t="s">
        <v>25</v>
      </c>
      <c r="S1158" t="s">
        <v>26</v>
      </c>
    </row>
    <row r="1159" spans="1:19" x14ac:dyDescent="0.25">
      <c r="A1159" t="s">
        <v>1249</v>
      </c>
      <c r="B1159" s="2">
        <v>46109</v>
      </c>
      <c r="C1159" t="s">
        <v>28</v>
      </c>
      <c r="D1159" t="s">
        <v>29</v>
      </c>
      <c r="E1159" t="s">
        <v>95</v>
      </c>
      <c r="F1159" t="s">
        <v>64</v>
      </c>
      <c r="G1159" t="s">
        <v>32</v>
      </c>
      <c r="H1159">
        <v>247</v>
      </c>
      <c r="I1159">
        <v>183</v>
      </c>
      <c r="J1159">
        <v>7</v>
      </c>
      <c r="K1159">
        <v>7.5</v>
      </c>
      <c r="L1159">
        <v>46481.66</v>
      </c>
      <c r="M1159">
        <v>7.09</v>
      </c>
      <c r="N1159">
        <v>141.80000000000001</v>
      </c>
      <c r="O1159">
        <v>224</v>
      </c>
      <c r="P1159" s="2">
        <v>46121</v>
      </c>
      <c r="Q1159" s="2">
        <v>46120</v>
      </c>
      <c r="R1159" t="s">
        <v>39</v>
      </c>
      <c r="S1159" t="s">
        <v>72</v>
      </c>
    </row>
    <row r="1160" spans="1:19" x14ac:dyDescent="0.25">
      <c r="A1160" t="s">
        <v>1250</v>
      </c>
      <c r="B1160" s="2">
        <v>46198</v>
      </c>
      <c r="C1160" t="s">
        <v>53</v>
      </c>
      <c r="D1160" t="s">
        <v>54</v>
      </c>
      <c r="E1160" t="s">
        <v>131</v>
      </c>
      <c r="F1160" t="s">
        <v>23</v>
      </c>
      <c r="G1160" t="s">
        <v>32</v>
      </c>
      <c r="H1160">
        <v>106</v>
      </c>
      <c r="I1160">
        <v>114</v>
      </c>
      <c r="J1160">
        <v>0</v>
      </c>
      <c r="K1160">
        <v>6</v>
      </c>
      <c r="L1160">
        <v>14931.14</v>
      </c>
      <c r="M1160">
        <v>2.89</v>
      </c>
      <c r="N1160">
        <v>52.02</v>
      </c>
      <c r="O1160">
        <v>148</v>
      </c>
      <c r="P1160" s="2">
        <v>46202</v>
      </c>
      <c r="Q1160" s="2">
        <v>46200</v>
      </c>
      <c r="R1160" t="s">
        <v>25</v>
      </c>
      <c r="S1160" t="s">
        <v>51</v>
      </c>
    </row>
    <row r="1161" spans="1:19" x14ac:dyDescent="0.25">
      <c r="A1161" t="s">
        <v>1251</v>
      </c>
      <c r="B1161" s="2">
        <v>46125</v>
      </c>
      <c r="C1161" t="s">
        <v>80</v>
      </c>
      <c r="D1161" t="s">
        <v>21</v>
      </c>
      <c r="E1161" t="s">
        <v>66</v>
      </c>
      <c r="F1161" t="s">
        <v>96</v>
      </c>
      <c r="G1161" t="s">
        <v>32</v>
      </c>
      <c r="H1161">
        <v>280</v>
      </c>
      <c r="I1161">
        <v>236</v>
      </c>
      <c r="J1161">
        <v>9</v>
      </c>
      <c r="K1161">
        <v>5.0999999999999996</v>
      </c>
      <c r="L1161">
        <v>70780.72</v>
      </c>
      <c r="M1161">
        <v>6.43</v>
      </c>
      <c r="N1161">
        <v>141.46</v>
      </c>
      <c r="O1161">
        <v>310</v>
      </c>
      <c r="P1161" s="2">
        <v>46134</v>
      </c>
      <c r="Q1161" s="2">
        <v>46132</v>
      </c>
      <c r="R1161" t="s">
        <v>25</v>
      </c>
      <c r="S1161" t="s">
        <v>26</v>
      </c>
    </row>
    <row r="1162" spans="1:19" x14ac:dyDescent="0.25">
      <c r="A1162" t="s">
        <v>1252</v>
      </c>
      <c r="B1162" s="2">
        <v>46041</v>
      </c>
      <c r="C1162" t="s">
        <v>43</v>
      </c>
      <c r="D1162" t="s">
        <v>44</v>
      </c>
      <c r="E1162" t="s">
        <v>45</v>
      </c>
      <c r="F1162" t="s">
        <v>114</v>
      </c>
      <c r="G1162" t="s">
        <v>24</v>
      </c>
      <c r="H1162">
        <v>248</v>
      </c>
      <c r="I1162">
        <v>185</v>
      </c>
      <c r="J1162">
        <v>2</v>
      </c>
      <c r="K1162">
        <v>8.8000000000000007</v>
      </c>
      <c r="L1162">
        <v>17662.509999999998</v>
      </c>
      <c r="M1162">
        <v>6.73</v>
      </c>
      <c r="N1162">
        <v>148.06</v>
      </c>
      <c r="O1162">
        <v>292</v>
      </c>
      <c r="P1162" s="2">
        <v>46049</v>
      </c>
      <c r="Q1162" s="2">
        <v>46049</v>
      </c>
      <c r="R1162" t="s">
        <v>25</v>
      </c>
      <c r="S1162" t="s">
        <v>33</v>
      </c>
    </row>
    <row r="1163" spans="1:19" x14ac:dyDescent="0.25">
      <c r="A1163" t="s">
        <v>1253</v>
      </c>
      <c r="B1163" s="2">
        <v>46170</v>
      </c>
      <c r="C1163" t="s">
        <v>35</v>
      </c>
      <c r="D1163" t="s">
        <v>36</v>
      </c>
      <c r="E1163" t="s">
        <v>37</v>
      </c>
      <c r="F1163" t="s">
        <v>244</v>
      </c>
      <c r="G1163" t="s">
        <v>24</v>
      </c>
      <c r="H1163">
        <v>231</v>
      </c>
      <c r="I1163">
        <v>198</v>
      </c>
      <c r="J1163">
        <v>10</v>
      </c>
      <c r="K1163">
        <v>3.2</v>
      </c>
      <c r="L1163">
        <v>16063.74</v>
      </c>
      <c r="M1163">
        <v>3.57</v>
      </c>
      <c r="N1163">
        <v>71.400000000000006</v>
      </c>
      <c r="O1163">
        <v>195</v>
      </c>
      <c r="P1163" s="2">
        <v>46176</v>
      </c>
      <c r="Q1163" s="2">
        <v>46176</v>
      </c>
      <c r="R1163" t="s">
        <v>100</v>
      </c>
      <c r="S1163" t="s">
        <v>33</v>
      </c>
    </row>
    <row r="1164" spans="1:19" x14ac:dyDescent="0.25">
      <c r="A1164" t="s">
        <v>1254</v>
      </c>
      <c r="B1164" s="2">
        <v>46041</v>
      </c>
      <c r="C1164" t="s">
        <v>53</v>
      </c>
      <c r="D1164" t="s">
        <v>54</v>
      </c>
      <c r="E1164" t="s">
        <v>55</v>
      </c>
      <c r="F1164" t="s">
        <v>64</v>
      </c>
      <c r="G1164" t="s">
        <v>24</v>
      </c>
      <c r="H1164">
        <v>114</v>
      </c>
      <c r="I1164">
        <v>117</v>
      </c>
      <c r="J1164">
        <v>1</v>
      </c>
      <c r="K1164">
        <v>2.8</v>
      </c>
      <c r="L1164">
        <v>19740.21</v>
      </c>
      <c r="M1164">
        <v>4.22</v>
      </c>
      <c r="N1164">
        <v>101.28</v>
      </c>
      <c r="O1164">
        <v>177</v>
      </c>
      <c r="P1164" s="2">
        <v>46050</v>
      </c>
      <c r="Q1164" s="2">
        <v>46054</v>
      </c>
      <c r="R1164" t="s">
        <v>100</v>
      </c>
      <c r="S1164" t="s">
        <v>26</v>
      </c>
    </row>
    <row r="1165" spans="1:19" x14ac:dyDescent="0.25">
      <c r="A1165" t="s">
        <v>1255</v>
      </c>
      <c r="B1165" s="2">
        <v>46144</v>
      </c>
      <c r="C1165" t="s">
        <v>28</v>
      </c>
      <c r="D1165" t="s">
        <v>29</v>
      </c>
      <c r="E1165" t="s">
        <v>63</v>
      </c>
      <c r="F1165" t="s">
        <v>96</v>
      </c>
      <c r="G1165" t="s">
        <v>24</v>
      </c>
      <c r="H1165">
        <v>122</v>
      </c>
      <c r="I1165">
        <v>110</v>
      </c>
      <c r="J1165">
        <v>9</v>
      </c>
      <c r="K1165">
        <v>2.1</v>
      </c>
      <c r="L1165">
        <v>31458.5</v>
      </c>
      <c r="M1165">
        <v>2.4700000000000002</v>
      </c>
      <c r="N1165">
        <v>59.28</v>
      </c>
      <c r="O1165">
        <v>181</v>
      </c>
      <c r="P1165" s="2">
        <v>46156</v>
      </c>
      <c r="Q1165" s="2">
        <v>46154</v>
      </c>
      <c r="R1165" t="s">
        <v>100</v>
      </c>
      <c r="S1165" t="s">
        <v>26</v>
      </c>
    </row>
    <row r="1166" spans="1:19" x14ac:dyDescent="0.25">
      <c r="A1166" t="s">
        <v>1256</v>
      </c>
      <c r="B1166" s="2">
        <v>46158</v>
      </c>
      <c r="C1166" t="s">
        <v>53</v>
      </c>
      <c r="D1166" t="s">
        <v>54</v>
      </c>
      <c r="E1166" t="s">
        <v>131</v>
      </c>
      <c r="F1166" t="s">
        <v>96</v>
      </c>
      <c r="G1166" t="s">
        <v>32</v>
      </c>
      <c r="H1166">
        <v>170</v>
      </c>
      <c r="I1166">
        <v>139</v>
      </c>
      <c r="J1166">
        <v>8</v>
      </c>
      <c r="K1166">
        <v>1.9</v>
      </c>
      <c r="L1166">
        <v>21194.95</v>
      </c>
      <c r="M1166">
        <v>5.56</v>
      </c>
      <c r="N1166">
        <v>122.32</v>
      </c>
      <c r="O1166">
        <v>181</v>
      </c>
      <c r="P1166" s="2">
        <v>46161</v>
      </c>
      <c r="Q1166" s="2">
        <v>46160</v>
      </c>
      <c r="R1166" t="s">
        <v>100</v>
      </c>
      <c r="S1166" t="s">
        <v>51</v>
      </c>
    </row>
    <row r="1167" spans="1:19" x14ac:dyDescent="0.25">
      <c r="A1167" t="s">
        <v>1257</v>
      </c>
      <c r="B1167" s="2">
        <v>46030</v>
      </c>
      <c r="C1167" t="s">
        <v>48</v>
      </c>
      <c r="D1167" t="s">
        <v>49</v>
      </c>
      <c r="E1167" t="s">
        <v>50</v>
      </c>
      <c r="F1167" t="s">
        <v>110</v>
      </c>
      <c r="G1167" t="s">
        <v>32</v>
      </c>
      <c r="H1167">
        <v>139</v>
      </c>
      <c r="I1167">
        <v>107</v>
      </c>
      <c r="J1167">
        <v>0</v>
      </c>
      <c r="K1167">
        <v>1.1000000000000001</v>
      </c>
      <c r="L1167">
        <v>19740.32</v>
      </c>
      <c r="M1167">
        <v>3.92</v>
      </c>
      <c r="N1167">
        <v>94.08</v>
      </c>
      <c r="O1167">
        <v>195</v>
      </c>
      <c r="P1167" s="2">
        <v>46036</v>
      </c>
      <c r="Q1167" s="2">
        <v>46036</v>
      </c>
      <c r="R1167" t="s">
        <v>39</v>
      </c>
      <c r="S1167" t="s">
        <v>86</v>
      </c>
    </row>
    <row r="1168" spans="1:19" x14ac:dyDescent="0.25">
      <c r="A1168" t="s">
        <v>1258</v>
      </c>
      <c r="B1168" s="2">
        <v>46145</v>
      </c>
      <c r="C1168" t="s">
        <v>80</v>
      </c>
      <c r="D1168" t="s">
        <v>21</v>
      </c>
      <c r="E1168" t="s">
        <v>66</v>
      </c>
      <c r="F1168" t="s">
        <v>74</v>
      </c>
      <c r="G1168" t="s">
        <v>24</v>
      </c>
      <c r="H1168">
        <v>92</v>
      </c>
      <c r="I1168">
        <v>66</v>
      </c>
      <c r="J1168">
        <v>2</v>
      </c>
      <c r="K1168">
        <v>5.0999999999999996</v>
      </c>
      <c r="L1168">
        <v>16075.51</v>
      </c>
      <c r="M1168">
        <v>2.2400000000000002</v>
      </c>
      <c r="N1168">
        <v>53.76</v>
      </c>
      <c r="O1168">
        <v>179</v>
      </c>
      <c r="P1168" s="2">
        <v>46153</v>
      </c>
      <c r="Q1168" s="2">
        <v>46153</v>
      </c>
      <c r="R1168" t="s">
        <v>39</v>
      </c>
      <c r="S1168" t="s">
        <v>72</v>
      </c>
    </row>
    <row r="1169" spans="1:19" x14ac:dyDescent="0.25">
      <c r="A1169" t="s">
        <v>1259</v>
      </c>
      <c r="B1169" s="2">
        <v>46102</v>
      </c>
      <c r="C1169" t="s">
        <v>20</v>
      </c>
      <c r="D1169" t="s">
        <v>21</v>
      </c>
      <c r="E1169" t="s">
        <v>90</v>
      </c>
      <c r="F1169" t="s">
        <v>106</v>
      </c>
      <c r="G1169" t="s">
        <v>57</v>
      </c>
      <c r="H1169">
        <v>288</v>
      </c>
      <c r="I1169">
        <v>232</v>
      </c>
      <c r="J1169">
        <v>19</v>
      </c>
      <c r="K1169">
        <v>3.8</v>
      </c>
      <c r="L1169">
        <v>82650.44</v>
      </c>
      <c r="M1169">
        <v>6.02</v>
      </c>
      <c r="N1169">
        <v>108.36</v>
      </c>
      <c r="O1169">
        <v>352</v>
      </c>
      <c r="P1169" s="2">
        <v>46107</v>
      </c>
      <c r="Q1169" s="2">
        <v>46108</v>
      </c>
      <c r="R1169" t="s">
        <v>25</v>
      </c>
      <c r="S1169" t="s">
        <v>72</v>
      </c>
    </row>
    <row r="1170" spans="1:19" x14ac:dyDescent="0.25">
      <c r="A1170" t="s">
        <v>1260</v>
      </c>
      <c r="B1170" s="2">
        <v>46073</v>
      </c>
      <c r="C1170" t="s">
        <v>80</v>
      </c>
      <c r="D1170" t="s">
        <v>21</v>
      </c>
      <c r="E1170" t="s">
        <v>66</v>
      </c>
      <c r="F1170" t="s">
        <v>96</v>
      </c>
      <c r="G1170" t="s">
        <v>57</v>
      </c>
      <c r="H1170">
        <v>269</v>
      </c>
      <c r="I1170">
        <v>238</v>
      </c>
      <c r="J1170">
        <v>7</v>
      </c>
      <c r="K1170">
        <v>3.8</v>
      </c>
      <c r="L1170">
        <v>55773.57</v>
      </c>
      <c r="M1170">
        <v>4.74</v>
      </c>
      <c r="N1170">
        <v>123.24</v>
      </c>
      <c r="O1170">
        <v>320</v>
      </c>
      <c r="P1170" s="2">
        <v>46077</v>
      </c>
      <c r="Q1170" s="2">
        <v>46079</v>
      </c>
      <c r="R1170" t="s">
        <v>25</v>
      </c>
      <c r="S1170" t="s">
        <v>33</v>
      </c>
    </row>
    <row r="1171" spans="1:19" x14ac:dyDescent="0.25">
      <c r="A1171" t="s">
        <v>1261</v>
      </c>
      <c r="B1171" s="2">
        <v>46200</v>
      </c>
      <c r="C1171" t="s">
        <v>48</v>
      </c>
      <c r="D1171" t="s">
        <v>49</v>
      </c>
      <c r="E1171" t="s">
        <v>60</v>
      </c>
      <c r="F1171" t="s">
        <v>56</v>
      </c>
      <c r="G1171" t="s">
        <v>32</v>
      </c>
      <c r="H1171">
        <v>199</v>
      </c>
      <c r="I1171">
        <v>204</v>
      </c>
      <c r="J1171">
        <v>4</v>
      </c>
      <c r="K1171">
        <v>3.1</v>
      </c>
      <c r="L1171">
        <v>32581.71</v>
      </c>
      <c r="M1171">
        <v>5.7</v>
      </c>
      <c r="N1171">
        <v>114</v>
      </c>
      <c r="O1171">
        <v>268</v>
      </c>
      <c r="P1171" s="2">
        <v>46206</v>
      </c>
      <c r="Q1171" s="2">
        <v>46206</v>
      </c>
      <c r="R1171" t="s">
        <v>25</v>
      </c>
      <c r="S1171" t="s">
        <v>26</v>
      </c>
    </row>
    <row r="1172" spans="1:19" x14ac:dyDescent="0.25">
      <c r="A1172" t="s">
        <v>1262</v>
      </c>
      <c r="B1172" s="2">
        <v>46097</v>
      </c>
      <c r="C1172" t="s">
        <v>48</v>
      </c>
      <c r="D1172" t="s">
        <v>49</v>
      </c>
      <c r="E1172" t="s">
        <v>60</v>
      </c>
      <c r="F1172" t="s">
        <v>83</v>
      </c>
      <c r="G1172" t="s">
        <v>32</v>
      </c>
      <c r="H1172">
        <v>180</v>
      </c>
      <c r="I1172">
        <v>156</v>
      </c>
      <c r="J1172">
        <v>4</v>
      </c>
      <c r="K1172">
        <v>5.9</v>
      </c>
      <c r="L1172">
        <v>31961.39</v>
      </c>
      <c r="M1172">
        <v>5.63</v>
      </c>
      <c r="N1172">
        <v>123.86</v>
      </c>
      <c r="O1172">
        <v>196</v>
      </c>
      <c r="P1172" s="2">
        <v>46103</v>
      </c>
      <c r="Q1172" s="2">
        <v>46103</v>
      </c>
      <c r="R1172" t="s">
        <v>25</v>
      </c>
      <c r="S1172" t="s">
        <v>26</v>
      </c>
    </row>
    <row r="1173" spans="1:19" x14ac:dyDescent="0.25">
      <c r="A1173" t="s">
        <v>1263</v>
      </c>
      <c r="B1173" s="2">
        <v>46054</v>
      </c>
      <c r="C1173" t="s">
        <v>35</v>
      </c>
      <c r="D1173" t="s">
        <v>36</v>
      </c>
      <c r="E1173" t="s">
        <v>37</v>
      </c>
      <c r="F1173" t="s">
        <v>85</v>
      </c>
      <c r="G1173" t="s">
        <v>24</v>
      </c>
      <c r="H1173">
        <v>272</v>
      </c>
      <c r="I1173">
        <v>266</v>
      </c>
      <c r="J1173">
        <v>21</v>
      </c>
      <c r="K1173">
        <v>8.5</v>
      </c>
      <c r="L1173">
        <v>22831.31</v>
      </c>
      <c r="M1173">
        <v>6.61</v>
      </c>
      <c r="N1173">
        <v>171.86</v>
      </c>
      <c r="O1173">
        <v>301</v>
      </c>
      <c r="P1173" s="2">
        <v>46062</v>
      </c>
      <c r="Q1173" s="2">
        <v>46062</v>
      </c>
      <c r="R1173" t="s">
        <v>25</v>
      </c>
      <c r="S1173" t="s">
        <v>26</v>
      </c>
    </row>
    <row r="1174" spans="1:19" x14ac:dyDescent="0.25">
      <c r="A1174" t="s">
        <v>1264</v>
      </c>
      <c r="B1174" s="2">
        <v>46066</v>
      </c>
      <c r="C1174" t="s">
        <v>43</v>
      </c>
      <c r="D1174" t="s">
        <v>44</v>
      </c>
      <c r="E1174" t="s">
        <v>93</v>
      </c>
      <c r="F1174" t="s">
        <v>23</v>
      </c>
      <c r="G1174" t="s">
        <v>57</v>
      </c>
      <c r="H1174">
        <v>92</v>
      </c>
      <c r="I1174">
        <v>89</v>
      </c>
      <c r="J1174">
        <v>4</v>
      </c>
      <c r="K1174">
        <v>1.2</v>
      </c>
      <c r="L1174">
        <v>11970.37</v>
      </c>
      <c r="M1174">
        <v>2.0699999999999998</v>
      </c>
      <c r="N1174">
        <v>53.82</v>
      </c>
      <c r="O1174">
        <v>188</v>
      </c>
      <c r="P1174" s="2">
        <v>46078</v>
      </c>
      <c r="Q1174" s="2">
        <v>46078</v>
      </c>
      <c r="R1174" t="s">
        <v>25</v>
      </c>
      <c r="S1174" t="s">
        <v>33</v>
      </c>
    </row>
    <row r="1175" spans="1:19" x14ac:dyDescent="0.25">
      <c r="A1175" t="s">
        <v>1265</v>
      </c>
      <c r="B1175" s="2">
        <v>46025</v>
      </c>
      <c r="C1175" t="s">
        <v>53</v>
      </c>
      <c r="D1175" t="s">
        <v>54</v>
      </c>
      <c r="E1175" t="s">
        <v>55</v>
      </c>
      <c r="F1175" t="s">
        <v>91</v>
      </c>
      <c r="G1175" t="s">
        <v>32</v>
      </c>
      <c r="H1175">
        <v>95</v>
      </c>
      <c r="I1175">
        <v>96</v>
      </c>
      <c r="J1175">
        <v>1</v>
      </c>
      <c r="K1175">
        <v>4.3</v>
      </c>
      <c r="L1175">
        <v>10929.81</v>
      </c>
      <c r="M1175">
        <v>3.8</v>
      </c>
      <c r="N1175">
        <v>98.8</v>
      </c>
      <c r="O1175">
        <v>144</v>
      </c>
      <c r="P1175" s="2">
        <v>46030</v>
      </c>
      <c r="Q1175" s="2">
        <v>46030</v>
      </c>
      <c r="R1175" t="s">
        <v>100</v>
      </c>
      <c r="S1175" t="s">
        <v>72</v>
      </c>
    </row>
    <row r="1176" spans="1:19" x14ac:dyDescent="0.25">
      <c r="A1176" t="s">
        <v>1266</v>
      </c>
      <c r="B1176" s="2">
        <v>46172</v>
      </c>
      <c r="C1176" t="s">
        <v>43</v>
      </c>
      <c r="D1176" t="s">
        <v>44</v>
      </c>
      <c r="E1176" t="s">
        <v>93</v>
      </c>
      <c r="F1176" t="s">
        <v>170</v>
      </c>
      <c r="G1176" t="s">
        <v>24</v>
      </c>
      <c r="H1176">
        <v>89</v>
      </c>
      <c r="I1176">
        <v>73</v>
      </c>
      <c r="J1176">
        <v>0</v>
      </c>
      <c r="K1176">
        <v>2.5</v>
      </c>
      <c r="L1176">
        <v>7930.09</v>
      </c>
      <c r="M1176">
        <v>2.94</v>
      </c>
      <c r="N1176">
        <v>58.8</v>
      </c>
      <c r="O1176">
        <v>107</v>
      </c>
      <c r="P1176" s="2">
        <v>46183</v>
      </c>
      <c r="Q1176" s="2">
        <v>46181</v>
      </c>
      <c r="R1176" t="s">
        <v>25</v>
      </c>
      <c r="S1176" t="s">
        <v>86</v>
      </c>
    </row>
    <row r="1177" spans="1:19" x14ac:dyDescent="0.25">
      <c r="A1177" t="s">
        <v>1267</v>
      </c>
      <c r="B1177" s="2">
        <v>46050</v>
      </c>
      <c r="C1177" t="s">
        <v>43</v>
      </c>
      <c r="D1177" t="s">
        <v>44</v>
      </c>
      <c r="E1177" t="s">
        <v>93</v>
      </c>
      <c r="F1177" t="s">
        <v>135</v>
      </c>
      <c r="G1177" t="s">
        <v>24</v>
      </c>
      <c r="H1177">
        <v>132</v>
      </c>
      <c r="I1177">
        <v>136</v>
      </c>
      <c r="J1177">
        <v>6</v>
      </c>
      <c r="K1177">
        <v>7.7</v>
      </c>
      <c r="L1177">
        <v>18211.18</v>
      </c>
      <c r="M1177">
        <v>4.3899999999999997</v>
      </c>
      <c r="N1177">
        <v>87.8</v>
      </c>
      <c r="O1177">
        <v>176</v>
      </c>
      <c r="P1177" s="2">
        <v>46061</v>
      </c>
      <c r="Q1177" s="2">
        <v>46062</v>
      </c>
      <c r="R1177" t="s">
        <v>100</v>
      </c>
      <c r="S1177" t="s">
        <v>72</v>
      </c>
    </row>
    <row r="1178" spans="1:19" x14ac:dyDescent="0.25">
      <c r="A1178" t="s">
        <v>1268</v>
      </c>
      <c r="B1178" s="2">
        <v>46043</v>
      </c>
      <c r="C1178" t="s">
        <v>28</v>
      </c>
      <c r="D1178" t="s">
        <v>29</v>
      </c>
      <c r="E1178" t="s">
        <v>63</v>
      </c>
      <c r="F1178" t="s">
        <v>38</v>
      </c>
      <c r="G1178" t="s">
        <v>57</v>
      </c>
      <c r="H1178">
        <v>146</v>
      </c>
      <c r="I1178">
        <v>149</v>
      </c>
      <c r="J1178">
        <v>8</v>
      </c>
      <c r="K1178">
        <v>1.7</v>
      </c>
      <c r="L1178">
        <v>35452.03</v>
      </c>
      <c r="M1178">
        <v>3.47</v>
      </c>
      <c r="N1178">
        <v>62.46</v>
      </c>
      <c r="O1178">
        <v>163</v>
      </c>
      <c r="P1178" s="2">
        <v>46053</v>
      </c>
      <c r="Q1178" s="2">
        <v>46054</v>
      </c>
      <c r="R1178" t="s">
        <v>25</v>
      </c>
      <c r="S1178" t="s">
        <v>86</v>
      </c>
    </row>
    <row r="1179" spans="1:19" x14ac:dyDescent="0.25">
      <c r="A1179" t="s">
        <v>1269</v>
      </c>
      <c r="B1179" s="2">
        <v>46069</v>
      </c>
      <c r="C1179" t="s">
        <v>28</v>
      </c>
      <c r="D1179" t="s">
        <v>29</v>
      </c>
      <c r="E1179" t="s">
        <v>95</v>
      </c>
      <c r="F1179" t="s">
        <v>125</v>
      </c>
      <c r="G1179" t="s">
        <v>57</v>
      </c>
      <c r="H1179">
        <v>120</v>
      </c>
      <c r="I1179">
        <v>134</v>
      </c>
      <c r="J1179">
        <v>9</v>
      </c>
      <c r="K1179">
        <v>0.3</v>
      </c>
      <c r="L1179">
        <v>26443.759999999998</v>
      </c>
      <c r="M1179">
        <v>3.35</v>
      </c>
      <c r="N1179">
        <v>73.7</v>
      </c>
      <c r="O1179">
        <v>184</v>
      </c>
      <c r="P1179" s="2">
        <v>46074</v>
      </c>
      <c r="Q1179" s="2">
        <v>46073</v>
      </c>
      <c r="R1179" t="s">
        <v>25</v>
      </c>
      <c r="S1179" t="s">
        <v>72</v>
      </c>
    </row>
    <row r="1180" spans="1:19" x14ac:dyDescent="0.25">
      <c r="A1180" t="s">
        <v>1270</v>
      </c>
      <c r="B1180" s="2">
        <v>46171</v>
      </c>
      <c r="C1180" t="s">
        <v>35</v>
      </c>
      <c r="D1180" t="s">
        <v>36</v>
      </c>
      <c r="E1180" t="s">
        <v>69</v>
      </c>
      <c r="F1180" t="s">
        <v>38</v>
      </c>
      <c r="G1180" t="s">
        <v>24</v>
      </c>
      <c r="H1180">
        <v>280</v>
      </c>
      <c r="I1180">
        <v>300</v>
      </c>
      <c r="J1180">
        <v>23</v>
      </c>
      <c r="K1180">
        <v>0.3</v>
      </c>
      <c r="L1180">
        <v>34513.040000000001</v>
      </c>
      <c r="M1180">
        <v>10.09</v>
      </c>
      <c r="N1180">
        <v>201.8</v>
      </c>
      <c r="O1180">
        <v>311</v>
      </c>
      <c r="P1180" s="2">
        <v>46179</v>
      </c>
      <c r="Q1180" s="2">
        <v>46177</v>
      </c>
      <c r="R1180" t="s">
        <v>25</v>
      </c>
      <c r="S1180" t="s">
        <v>33</v>
      </c>
    </row>
    <row r="1181" spans="1:19" x14ac:dyDescent="0.25">
      <c r="A1181" t="s">
        <v>1271</v>
      </c>
      <c r="B1181" s="2">
        <v>46188</v>
      </c>
      <c r="C1181" t="s">
        <v>53</v>
      </c>
      <c r="D1181" t="s">
        <v>54</v>
      </c>
      <c r="E1181" t="s">
        <v>131</v>
      </c>
      <c r="F1181" t="s">
        <v>244</v>
      </c>
      <c r="G1181" t="s">
        <v>57</v>
      </c>
      <c r="H1181">
        <v>307</v>
      </c>
      <c r="I1181">
        <v>258</v>
      </c>
      <c r="J1181">
        <v>12</v>
      </c>
      <c r="K1181">
        <v>1.7</v>
      </c>
      <c r="L1181">
        <v>28321.62</v>
      </c>
      <c r="M1181">
        <v>6.62</v>
      </c>
      <c r="N1181">
        <v>132.4</v>
      </c>
      <c r="O1181">
        <v>325</v>
      </c>
      <c r="P1181" s="2">
        <v>46198</v>
      </c>
      <c r="Q1181" s="2">
        <v>46199</v>
      </c>
      <c r="R1181" t="s">
        <v>25</v>
      </c>
      <c r="S1181" t="s">
        <v>26</v>
      </c>
    </row>
    <row r="1182" spans="1:19" x14ac:dyDescent="0.25">
      <c r="A1182" t="s">
        <v>1272</v>
      </c>
      <c r="B1182" s="2">
        <v>46179</v>
      </c>
      <c r="C1182" t="s">
        <v>59</v>
      </c>
      <c r="D1182" t="s">
        <v>49</v>
      </c>
      <c r="E1182" t="s">
        <v>76</v>
      </c>
      <c r="F1182" t="s">
        <v>83</v>
      </c>
      <c r="G1182" t="s">
        <v>57</v>
      </c>
      <c r="H1182">
        <v>180</v>
      </c>
      <c r="I1182">
        <v>155</v>
      </c>
      <c r="J1182">
        <v>7</v>
      </c>
      <c r="K1182">
        <v>3</v>
      </c>
      <c r="L1182">
        <v>34162.94</v>
      </c>
      <c r="M1182">
        <v>3.38</v>
      </c>
      <c r="N1182">
        <v>67.599999999999994</v>
      </c>
      <c r="O1182">
        <v>174</v>
      </c>
      <c r="P1182" s="2">
        <v>46189</v>
      </c>
      <c r="Q1182" s="2">
        <v>46189</v>
      </c>
      <c r="R1182" t="s">
        <v>39</v>
      </c>
      <c r="S1182" t="s">
        <v>33</v>
      </c>
    </row>
    <row r="1183" spans="1:19" x14ac:dyDescent="0.25">
      <c r="A1183" t="s">
        <v>1273</v>
      </c>
      <c r="B1183" s="2">
        <v>46057</v>
      </c>
      <c r="C1183" t="s">
        <v>80</v>
      </c>
      <c r="D1183" t="s">
        <v>21</v>
      </c>
      <c r="E1183" t="s">
        <v>22</v>
      </c>
      <c r="F1183" t="s">
        <v>112</v>
      </c>
      <c r="G1183" t="s">
        <v>24</v>
      </c>
      <c r="H1183">
        <v>164</v>
      </c>
      <c r="I1183">
        <v>146</v>
      </c>
      <c r="J1183">
        <v>13</v>
      </c>
      <c r="K1183">
        <v>1.9</v>
      </c>
      <c r="L1183">
        <v>41033.61</v>
      </c>
      <c r="M1183">
        <v>3.4</v>
      </c>
      <c r="N1183">
        <v>74.8</v>
      </c>
      <c r="O1183">
        <v>228</v>
      </c>
      <c r="P1183" s="2">
        <v>46066</v>
      </c>
      <c r="Q1183" s="2">
        <v>46070</v>
      </c>
      <c r="R1183" t="s">
        <v>25</v>
      </c>
      <c r="S1183" t="s">
        <v>33</v>
      </c>
    </row>
    <row r="1184" spans="1:19" x14ac:dyDescent="0.25">
      <c r="A1184" t="s">
        <v>1274</v>
      </c>
      <c r="B1184" s="2">
        <v>46194</v>
      </c>
      <c r="C1184" t="s">
        <v>35</v>
      </c>
      <c r="D1184" t="s">
        <v>36</v>
      </c>
      <c r="E1184" t="s">
        <v>69</v>
      </c>
      <c r="F1184" t="s">
        <v>110</v>
      </c>
      <c r="G1184" t="s">
        <v>32</v>
      </c>
      <c r="H1184">
        <v>173</v>
      </c>
      <c r="I1184">
        <v>193</v>
      </c>
      <c r="J1184">
        <v>1</v>
      </c>
      <c r="K1184">
        <v>7.7</v>
      </c>
      <c r="L1184">
        <v>15390.61</v>
      </c>
      <c r="M1184">
        <v>6.3</v>
      </c>
      <c r="N1184">
        <v>138.6</v>
      </c>
      <c r="O1184">
        <v>196</v>
      </c>
      <c r="P1184" s="2">
        <v>46196</v>
      </c>
      <c r="Q1184" s="2">
        <v>46196</v>
      </c>
      <c r="R1184" t="s">
        <v>25</v>
      </c>
      <c r="S1184" t="s">
        <v>51</v>
      </c>
    </row>
    <row r="1185" spans="1:19" x14ac:dyDescent="0.25">
      <c r="A1185" t="s">
        <v>1275</v>
      </c>
      <c r="B1185" s="2">
        <v>46037</v>
      </c>
      <c r="C1185" t="s">
        <v>20</v>
      </c>
      <c r="D1185" t="s">
        <v>21</v>
      </c>
      <c r="E1185" t="s">
        <v>22</v>
      </c>
      <c r="F1185" t="s">
        <v>125</v>
      </c>
      <c r="G1185" t="s">
        <v>32</v>
      </c>
      <c r="H1185">
        <v>313</v>
      </c>
      <c r="I1185">
        <v>256</v>
      </c>
      <c r="J1185">
        <v>14</v>
      </c>
      <c r="K1185">
        <v>6.9</v>
      </c>
      <c r="L1185">
        <v>84196.57</v>
      </c>
      <c r="M1185">
        <v>4.79</v>
      </c>
      <c r="N1185">
        <v>105.38</v>
      </c>
      <c r="O1185">
        <v>306</v>
      </c>
      <c r="P1185" s="2">
        <v>46039</v>
      </c>
      <c r="Q1185" s="2">
        <v>46039</v>
      </c>
      <c r="R1185" t="s">
        <v>39</v>
      </c>
      <c r="S1185" t="s">
        <v>33</v>
      </c>
    </row>
    <row r="1186" spans="1:19" x14ac:dyDescent="0.25">
      <c r="A1186" t="s">
        <v>1276</v>
      </c>
      <c r="B1186" s="2">
        <v>46171</v>
      </c>
      <c r="C1186" t="s">
        <v>80</v>
      </c>
      <c r="D1186" t="s">
        <v>21</v>
      </c>
      <c r="E1186" t="s">
        <v>22</v>
      </c>
      <c r="F1186" t="s">
        <v>61</v>
      </c>
      <c r="G1186" t="s">
        <v>32</v>
      </c>
      <c r="H1186">
        <v>196</v>
      </c>
      <c r="I1186">
        <v>201</v>
      </c>
      <c r="J1186">
        <v>18</v>
      </c>
      <c r="K1186">
        <v>6</v>
      </c>
      <c r="L1186">
        <v>40935.550000000003</v>
      </c>
      <c r="M1186">
        <v>5.42</v>
      </c>
      <c r="N1186">
        <v>130.08000000000001</v>
      </c>
      <c r="O1186">
        <v>261</v>
      </c>
      <c r="P1186" s="2">
        <v>46177</v>
      </c>
      <c r="Q1186" s="2">
        <v>46181</v>
      </c>
      <c r="R1186" t="s">
        <v>25</v>
      </c>
      <c r="S1186" t="s">
        <v>72</v>
      </c>
    </row>
    <row r="1187" spans="1:19" x14ac:dyDescent="0.25">
      <c r="A1187" t="s">
        <v>1277</v>
      </c>
      <c r="B1187" s="2">
        <v>46105</v>
      </c>
      <c r="C1187" t="s">
        <v>59</v>
      </c>
      <c r="D1187" t="s">
        <v>49</v>
      </c>
      <c r="E1187" t="s">
        <v>76</v>
      </c>
      <c r="F1187" t="s">
        <v>83</v>
      </c>
      <c r="G1187" t="s">
        <v>24</v>
      </c>
      <c r="H1187">
        <v>107</v>
      </c>
      <c r="I1187">
        <v>105</v>
      </c>
      <c r="J1187">
        <v>8</v>
      </c>
      <c r="K1187">
        <v>8.4</v>
      </c>
      <c r="L1187">
        <v>15214.88</v>
      </c>
      <c r="M1187">
        <v>2.86</v>
      </c>
      <c r="N1187">
        <v>74.36</v>
      </c>
      <c r="O1187">
        <v>125</v>
      </c>
      <c r="P1187" s="2">
        <v>46115</v>
      </c>
      <c r="Q1187" s="2">
        <v>46119</v>
      </c>
      <c r="R1187" t="s">
        <v>25</v>
      </c>
      <c r="S1187" t="s">
        <v>72</v>
      </c>
    </row>
    <row r="1188" spans="1:19" x14ac:dyDescent="0.25">
      <c r="A1188" t="s">
        <v>1278</v>
      </c>
      <c r="B1188" s="2">
        <v>46184</v>
      </c>
      <c r="C1188" t="s">
        <v>43</v>
      </c>
      <c r="D1188" t="s">
        <v>44</v>
      </c>
      <c r="E1188" t="s">
        <v>161</v>
      </c>
      <c r="F1188" t="s">
        <v>67</v>
      </c>
      <c r="G1188" t="s">
        <v>24</v>
      </c>
      <c r="H1188">
        <v>209</v>
      </c>
      <c r="I1188">
        <v>228</v>
      </c>
      <c r="J1188">
        <v>2</v>
      </c>
      <c r="K1188">
        <v>1.4</v>
      </c>
      <c r="L1188">
        <v>29984.41</v>
      </c>
      <c r="M1188">
        <v>7.3</v>
      </c>
      <c r="N1188">
        <v>160.6</v>
      </c>
      <c r="O1188">
        <v>267</v>
      </c>
      <c r="P1188" s="2">
        <v>46192</v>
      </c>
      <c r="Q1188" s="2">
        <v>46192</v>
      </c>
      <c r="R1188" t="s">
        <v>25</v>
      </c>
      <c r="S1188" t="s">
        <v>51</v>
      </c>
    </row>
    <row r="1189" spans="1:19" x14ac:dyDescent="0.25">
      <c r="A1189" t="s">
        <v>1279</v>
      </c>
      <c r="B1189" s="2">
        <v>46086</v>
      </c>
      <c r="C1189" t="s">
        <v>53</v>
      </c>
      <c r="D1189" t="s">
        <v>54</v>
      </c>
      <c r="E1189" t="s">
        <v>55</v>
      </c>
      <c r="F1189" t="s">
        <v>64</v>
      </c>
      <c r="G1189" t="s">
        <v>57</v>
      </c>
      <c r="H1189">
        <v>240</v>
      </c>
      <c r="I1189">
        <v>192</v>
      </c>
      <c r="J1189">
        <v>10</v>
      </c>
      <c r="K1189">
        <v>8.5</v>
      </c>
      <c r="L1189">
        <v>27088.48</v>
      </c>
      <c r="M1189">
        <v>3.85</v>
      </c>
      <c r="N1189">
        <v>69.3</v>
      </c>
      <c r="O1189">
        <v>230</v>
      </c>
      <c r="P1189" s="2">
        <v>46096</v>
      </c>
      <c r="Q1189" s="2">
        <v>46100</v>
      </c>
      <c r="R1189" t="s">
        <v>39</v>
      </c>
      <c r="S1189" t="s">
        <v>86</v>
      </c>
    </row>
    <row r="1190" spans="1:19" x14ac:dyDescent="0.25">
      <c r="A1190" t="s">
        <v>1280</v>
      </c>
      <c r="B1190" s="2">
        <v>46199</v>
      </c>
      <c r="C1190" t="s">
        <v>35</v>
      </c>
      <c r="D1190" t="s">
        <v>36</v>
      </c>
      <c r="E1190" t="s">
        <v>37</v>
      </c>
      <c r="F1190" t="s">
        <v>71</v>
      </c>
      <c r="G1190" t="s">
        <v>24</v>
      </c>
      <c r="H1190">
        <v>251</v>
      </c>
      <c r="I1190">
        <v>279</v>
      </c>
      <c r="J1190">
        <v>25</v>
      </c>
      <c r="K1190">
        <v>0.7</v>
      </c>
      <c r="L1190">
        <v>31787.73</v>
      </c>
      <c r="M1190">
        <v>8.27</v>
      </c>
      <c r="N1190">
        <v>148.86000000000001</v>
      </c>
      <c r="O1190">
        <v>268</v>
      </c>
      <c r="P1190" s="2">
        <v>46210</v>
      </c>
      <c r="Q1190" s="2">
        <v>46210</v>
      </c>
      <c r="R1190" t="s">
        <v>25</v>
      </c>
      <c r="S1190" t="s">
        <v>26</v>
      </c>
    </row>
    <row r="1191" spans="1:19" x14ac:dyDescent="0.25">
      <c r="A1191" t="s">
        <v>1281</v>
      </c>
      <c r="B1191" s="2">
        <v>46181</v>
      </c>
      <c r="C1191" t="s">
        <v>59</v>
      </c>
      <c r="D1191" t="s">
        <v>49</v>
      </c>
      <c r="E1191" t="s">
        <v>60</v>
      </c>
      <c r="F1191" t="s">
        <v>23</v>
      </c>
      <c r="G1191" t="s">
        <v>24</v>
      </c>
      <c r="H1191">
        <v>170</v>
      </c>
      <c r="I1191">
        <v>135</v>
      </c>
      <c r="J1191">
        <v>4</v>
      </c>
      <c r="K1191">
        <v>8</v>
      </c>
      <c r="L1191">
        <v>25776.06</v>
      </c>
      <c r="M1191">
        <v>2.99</v>
      </c>
      <c r="N1191">
        <v>59.8</v>
      </c>
      <c r="O1191">
        <v>256</v>
      </c>
      <c r="P1191" s="2">
        <v>46189</v>
      </c>
      <c r="Q1191" s="2">
        <v>46189</v>
      </c>
      <c r="R1191" t="s">
        <v>25</v>
      </c>
      <c r="S1191" t="s">
        <v>72</v>
      </c>
    </row>
    <row r="1192" spans="1:19" x14ac:dyDescent="0.25">
      <c r="A1192" t="s">
        <v>1282</v>
      </c>
      <c r="B1192" s="2">
        <v>46069</v>
      </c>
      <c r="C1192" t="s">
        <v>43</v>
      </c>
      <c r="D1192" t="s">
        <v>44</v>
      </c>
      <c r="E1192" t="s">
        <v>93</v>
      </c>
      <c r="F1192" t="s">
        <v>106</v>
      </c>
      <c r="G1192" t="s">
        <v>24</v>
      </c>
      <c r="H1192">
        <v>172</v>
      </c>
      <c r="I1192">
        <v>187</v>
      </c>
      <c r="J1192">
        <v>3</v>
      </c>
      <c r="K1192">
        <v>1</v>
      </c>
      <c r="L1192">
        <v>20337.32</v>
      </c>
      <c r="M1192">
        <v>6.44</v>
      </c>
      <c r="N1192">
        <v>141.68</v>
      </c>
      <c r="O1192">
        <v>229</v>
      </c>
      <c r="P1192" s="2">
        <v>46074</v>
      </c>
      <c r="Q1192" s="2">
        <v>46074</v>
      </c>
      <c r="R1192" t="s">
        <v>25</v>
      </c>
      <c r="S1192" t="s">
        <v>51</v>
      </c>
    </row>
    <row r="1193" spans="1:19" x14ac:dyDescent="0.25">
      <c r="A1193" t="s">
        <v>1283</v>
      </c>
      <c r="B1193" s="2">
        <v>46074</v>
      </c>
      <c r="C1193" t="s">
        <v>59</v>
      </c>
      <c r="D1193" t="s">
        <v>49</v>
      </c>
      <c r="E1193" t="s">
        <v>76</v>
      </c>
      <c r="F1193" t="s">
        <v>135</v>
      </c>
      <c r="G1193" t="s">
        <v>57</v>
      </c>
      <c r="H1193">
        <v>157</v>
      </c>
      <c r="I1193">
        <v>142</v>
      </c>
      <c r="J1193">
        <v>12</v>
      </c>
      <c r="K1193">
        <v>0.2</v>
      </c>
      <c r="L1193">
        <v>24939.759999999998</v>
      </c>
      <c r="M1193">
        <v>4.29</v>
      </c>
      <c r="N1193">
        <v>111.54</v>
      </c>
      <c r="O1193">
        <v>201</v>
      </c>
      <c r="P1193" s="2">
        <v>46076</v>
      </c>
      <c r="Q1193" s="2">
        <v>46076</v>
      </c>
      <c r="R1193" t="s">
        <v>100</v>
      </c>
      <c r="S1193" t="s">
        <v>33</v>
      </c>
    </row>
    <row r="1194" spans="1:19" x14ac:dyDescent="0.25">
      <c r="A1194" t="s">
        <v>1284</v>
      </c>
      <c r="B1194" s="2">
        <v>46118</v>
      </c>
      <c r="C1194" t="s">
        <v>35</v>
      </c>
      <c r="D1194" t="s">
        <v>36</v>
      </c>
      <c r="E1194" t="s">
        <v>69</v>
      </c>
      <c r="F1194" t="s">
        <v>38</v>
      </c>
      <c r="G1194" t="s">
        <v>24</v>
      </c>
      <c r="H1194">
        <v>98</v>
      </c>
      <c r="I1194">
        <v>96</v>
      </c>
      <c r="J1194">
        <v>8</v>
      </c>
      <c r="K1194">
        <v>1.7</v>
      </c>
      <c r="L1194">
        <v>9409.9500000000007</v>
      </c>
      <c r="M1194">
        <v>3.17</v>
      </c>
      <c r="N1194">
        <v>63.4</v>
      </c>
      <c r="O1194">
        <v>159</v>
      </c>
      <c r="P1194" s="2">
        <v>46126</v>
      </c>
      <c r="Q1194" s="2">
        <v>46126</v>
      </c>
      <c r="R1194" t="s">
        <v>25</v>
      </c>
      <c r="S1194" t="s">
        <v>86</v>
      </c>
    </row>
    <row r="1195" spans="1:19" x14ac:dyDescent="0.25">
      <c r="A1195" t="s">
        <v>1285</v>
      </c>
      <c r="B1195" s="2">
        <v>46129</v>
      </c>
      <c r="C1195" t="s">
        <v>28</v>
      </c>
      <c r="D1195" t="s">
        <v>29</v>
      </c>
      <c r="E1195" t="s">
        <v>95</v>
      </c>
      <c r="F1195" t="s">
        <v>137</v>
      </c>
      <c r="G1195" t="s">
        <v>57</v>
      </c>
      <c r="H1195">
        <v>127</v>
      </c>
      <c r="I1195">
        <v>116</v>
      </c>
      <c r="J1195">
        <v>5</v>
      </c>
      <c r="K1195">
        <v>2.9</v>
      </c>
      <c r="L1195">
        <v>25950.27</v>
      </c>
      <c r="M1195">
        <v>3.67</v>
      </c>
      <c r="N1195">
        <v>66.06</v>
      </c>
      <c r="O1195">
        <v>194</v>
      </c>
      <c r="P1195" s="2">
        <v>46132</v>
      </c>
      <c r="Q1195" s="2">
        <v>46134</v>
      </c>
      <c r="R1195" t="s">
        <v>25</v>
      </c>
      <c r="S1195" t="s">
        <v>51</v>
      </c>
    </row>
    <row r="1196" spans="1:19" x14ac:dyDescent="0.25">
      <c r="A1196" t="s">
        <v>1286</v>
      </c>
      <c r="B1196" s="2">
        <v>46177</v>
      </c>
      <c r="C1196" t="s">
        <v>43</v>
      </c>
      <c r="D1196" t="s">
        <v>44</v>
      </c>
      <c r="E1196" t="s">
        <v>93</v>
      </c>
      <c r="F1196" t="s">
        <v>96</v>
      </c>
      <c r="G1196" t="s">
        <v>32</v>
      </c>
      <c r="H1196">
        <v>247</v>
      </c>
      <c r="I1196">
        <v>217</v>
      </c>
      <c r="J1196">
        <v>15</v>
      </c>
      <c r="K1196">
        <v>1.4</v>
      </c>
      <c r="L1196">
        <v>23640.5</v>
      </c>
      <c r="M1196">
        <v>5.59</v>
      </c>
      <c r="N1196">
        <v>134.16</v>
      </c>
      <c r="O1196">
        <v>262</v>
      </c>
      <c r="P1196" s="2">
        <v>46179</v>
      </c>
      <c r="Q1196" s="2">
        <v>46179</v>
      </c>
      <c r="R1196" t="s">
        <v>39</v>
      </c>
      <c r="S1196" t="s">
        <v>26</v>
      </c>
    </row>
    <row r="1197" spans="1:19" x14ac:dyDescent="0.25">
      <c r="A1197" t="s">
        <v>1287</v>
      </c>
      <c r="B1197" s="2">
        <v>46125</v>
      </c>
      <c r="C1197" t="s">
        <v>28</v>
      </c>
      <c r="D1197" t="s">
        <v>29</v>
      </c>
      <c r="E1197" t="s">
        <v>95</v>
      </c>
      <c r="F1197" t="s">
        <v>96</v>
      </c>
      <c r="G1197" t="s">
        <v>24</v>
      </c>
      <c r="H1197">
        <v>142</v>
      </c>
      <c r="I1197">
        <v>130</v>
      </c>
      <c r="J1197">
        <v>9</v>
      </c>
      <c r="K1197">
        <v>1.4</v>
      </c>
      <c r="L1197">
        <v>31253.68</v>
      </c>
      <c r="M1197">
        <v>4.59</v>
      </c>
      <c r="N1197">
        <v>91.8</v>
      </c>
      <c r="O1197">
        <v>112</v>
      </c>
      <c r="P1197" s="2">
        <v>46133</v>
      </c>
      <c r="Q1197" s="2">
        <v>46135</v>
      </c>
      <c r="R1197" t="s">
        <v>25</v>
      </c>
      <c r="S1197" t="s">
        <v>86</v>
      </c>
    </row>
    <row r="1198" spans="1:19" x14ac:dyDescent="0.25">
      <c r="A1198" t="s">
        <v>1288</v>
      </c>
      <c r="B1198" s="2">
        <v>46182</v>
      </c>
      <c r="C1198" t="s">
        <v>80</v>
      </c>
      <c r="D1198" t="s">
        <v>21</v>
      </c>
      <c r="E1198" t="s">
        <v>66</v>
      </c>
      <c r="F1198" t="s">
        <v>88</v>
      </c>
      <c r="G1198" t="s">
        <v>24</v>
      </c>
      <c r="H1198">
        <v>251</v>
      </c>
      <c r="I1198">
        <v>240</v>
      </c>
      <c r="J1198">
        <v>3</v>
      </c>
      <c r="K1198">
        <v>1.8</v>
      </c>
      <c r="L1198">
        <v>57227.31</v>
      </c>
      <c r="M1198">
        <v>8.6999999999999993</v>
      </c>
      <c r="N1198">
        <v>156.6</v>
      </c>
      <c r="O1198">
        <v>222</v>
      </c>
      <c r="P1198" s="2">
        <v>46188</v>
      </c>
      <c r="Q1198" s="2">
        <v>46188</v>
      </c>
      <c r="R1198" t="s">
        <v>25</v>
      </c>
      <c r="S1198" t="s">
        <v>33</v>
      </c>
    </row>
    <row r="1199" spans="1:19" x14ac:dyDescent="0.25">
      <c r="A1199" t="s">
        <v>1289</v>
      </c>
      <c r="B1199" s="2">
        <v>46068</v>
      </c>
      <c r="C1199" t="s">
        <v>43</v>
      </c>
      <c r="D1199" t="s">
        <v>44</v>
      </c>
      <c r="E1199" t="s">
        <v>93</v>
      </c>
      <c r="F1199" t="s">
        <v>77</v>
      </c>
      <c r="G1199" t="s">
        <v>24</v>
      </c>
      <c r="H1199">
        <v>292</v>
      </c>
      <c r="I1199">
        <v>231</v>
      </c>
      <c r="J1199">
        <v>2</v>
      </c>
      <c r="K1199">
        <v>6.7</v>
      </c>
      <c r="L1199">
        <v>30250.91</v>
      </c>
      <c r="M1199">
        <v>4.78</v>
      </c>
      <c r="N1199">
        <v>105.16</v>
      </c>
      <c r="O1199">
        <v>389</v>
      </c>
      <c r="P1199" s="2">
        <v>46072</v>
      </c>
      <c r="Q1199" s="2">
        <v>46074</v>
      </c>
      <c r="R1199" t="s">
        <v>39</v>
      </c>
      <c r="S1199" t="s">
        <v>72</v>
      </c>
    </row>
    <row r="1200" spans="1:19" x14ac:dyDescent="0.25">
      <c r="A1200" t="s">
        <v>1290</v>
      </c>
      <c r="B1200" s="2">
        <v>46125</v>
      </c>
      <c r="C1200" t="s">
        <v>59</v>
      </c>
      <c r="D1200" t="s">
        <v>49</v>
      </c>
      <c r="E1200" t="s">
        <v>50</v>
      </c>
      <c r="F1200" t="s">
        <v>83</v>
      </c>
      <c r="G1200" t="s">
        <v>32</v>
      </c>
      <c r="H1200">
        <v>106</v>
      </c>
      <c r="I1200">
        <v>111</v>
      </c>
      <c r="J1200">
        <v>1</v>
      </c>
      <c r="K1200">
        <v>2.9</v>
      </c>
      <c r="L1200">
        <v>17438.509999999998</v>
      </c>
      <c r="M1200">
        <v>2.82</v>
      </c>
      <c r="N1200">
        <v>62.04</v>
      </c>
      <c r="O1200">
        <v>100</v>
      </c>
      <c r="P1200" s="2">
        <v>46137</v>
      </c>
      <c r="Q1200" s="2">
        <v>46135</v>
      </c>
      <c r="R1200" t="s">
        <v>25</v>
      </c>
      <c r="S1200" t="s">
        <v>51</v>
      </c>
    </row>
    <row r="1201" spans="1:19" x14ac:dyDescent="0.25">
      <c r="A1201" t="s">
        <v>1291</v>
      </c>
      <c r="B1201" s="2">
        <v>46168</v>
      </c>
      <c r="C1201" t="s">
        <v>53</v>
      </c>
      <c r="D1201" t="s">
        <v>54</v>
      </c>
      <c r="E1201" t="s">
        <v>131</v>
      </c>
      <c r="F1201" t="s">
        <v>104</v>
      </c>
      <c r="G1201" t="s">
        <v>32</v>
      </c>
      <c r="H1201">
        <v>243</v>
      </c>
      <c r="I1201">
        <v>229</v>
      </c>
      <c r="J1201">
        <v>6</v>
      </c>
      <c r="K1201">
        <v>2.8</v>
      </c>
      <c r="L1201">
        <v>32628.93</v>
      </c>
      <c r="M1201">
        <v>6.25</v>
      </c>
      <c r="N1201">
        <v>150</v>
      </c>
      <c r="O1201">
        <v>275</v>
      </c>
      <c r="P1201" s="2">
        <v>46176</v>
      </c>
      <c r="Q1201" s="2">
        <v>46176</v>
      </c>
      <c r="R1201" t="s">
        <v>25</v>
      </c>
      <c r="S1201" t="s">
        <v>51</v>
      </c>
    </row>
    <row r="1202" spans="1:19" x14ac:dyDescent="0.25">
      <c r="A1202" t="s">
        <v>1270</v>
      </c>
      <c r="B1202" s="2">
        <v>46171</v>
      </c>
      <c r="C1202" t="s">
        <v>35</v>
      </c>
      <c r="D1202" t="s">
        <v>36</v>
      </c>
      <c r="E1202" t="s">
        <v>69</v>
      </c>
      <c r="F1202" t="s">
        <v>38</v>
      </c>
      <c r="G1202" t="s">
        <v>24</v>
      </c>
      <c r="H1202">
        <v>280</v>
      </c>
      <c r="I1202">
        <v>300</v>
      </c>
      <c r="J1202">
        <v>23</v>
      </c>
      <c r="K1202">
        <v>0.3</v>
      </c>
      <c r="L1202">
        <v>34513.040000000001</v>
      </c>
      <c r="M1202">
        <v>10.09</v>
      </c>
      <c r="N1202">
        <v>201.8</v>
      </c>
      <c r="O1202">
        <v>311</v>
      </c>
      <c r="P1202" s="2">
        <v>46179</v>
      </c>
      <c r="Q1202" s="2">
        <v>46177</v>
      </c>
      <c r="R1202" t="s">
        <v>25</v>
      </c>
      <c r="S1202" t="s">
        <v>33</v>
      </c>
    </row>
    <row r="1203" spans="1:19" x14ac:dyDescent="0.25">
      <c r="A1203" t="s">
        <v>957</v>
      </c>
      <c r="B1203" s="2">
        <v>46151</v>
      </c>
      <c r="C1203" t="s">
        <v>80</v>
      </c>
      <c r="D1203" t="s">
        <v>21</v>
      </c>
      <c r="E1203" t="s">
        <v>66</v>
      </c>
      <c r="F1203" t="s">
        <v>137</v>
      </c>
      <c r="G1203" t="s">
        <v>32</v>
      </c>
      <c r="H1203">
        <v>106</v>
      </c>
      <c r="I1203">
        <v>102</v>
      </c>
      <c r="J1203">
        <v>2</v>
      </c>
      <c r="K1203">
        <v>5</v>
      </c>
      <c r="L1203">
        <v>33558.58</v>
      </c>
      <c r="M1203">
        <v>3.51</v>
      </c>
      <c r="N1203">
        <v>77.22</v>
      </c>
      <c r="O1203">
        <v>191</v>
      </c>
      <c r="P1203" s="2">
        <v>46154</v>
      </c>
      <c r="Q1203" s="2">
        <v>46155</v>
      </c>
      <c r="R1203" t="s">
        <v>25</v>
      </c>
      <c r="S1203" t="s">
        <v>26</v>
      </c>
    </row>
    <row r="1204" spans="1:19" x14ac:dyDescent="0.25">
      <c r="A1204" t="s">
        <v>189</v>
      </c>
      <c r="B1204" s="2">
        <v>46074</v>
      </c>
      <c r="C1204" t="s">
        <v>20</v>
      </c>
      <c r="D1204" t="s">
        <v>21</v>
      </c>
      <c r="E1204" t="s">
        <v>22</v>
      </c>
      <c r="F1204" t="s">
        <v>56</v>
      </c>
      <c r="G1204" t="s">
        <v>57</v>
      </c>
      <c r="H1204">
        <v>298</v>
      </c>
      <c r="I1204">
        <v>224</v>
      </c>
      <c r="J1204">
        <v>4</v>
      </c>
      <c r="K1204">
        <v>6.4</v>
      </c>
      <c r="L1204">
        <v>92638.49</v>
      </c>
      <c r="M1204">
        <v>9.23</v>
      </c>
      <c r="N1204">
        <v>203.06</v>
      </c>
      <c r="O1204">
        <v>346</v>
      </c>
      <c r="P1204" s="2">
        <v>46077</v>
      </c>
      <c r="Q1204" s="2">
        <v>46077</v>
      </c>
      <c r="R1204" t="s">
        <v>25</v>
      </c>
      <c r="S1204" t="s">
        <v>51</v>
      </c>
    </row>
    <row r="1205" spans="1:19" x14ac:dyDescent="0.25">
      <c r="A1205" t="s">
        <v>531</v>
      </c>
      <c r="B1205" s="2">
        <v>46149</v>
      </c>
      <c r="C1205" t="s">
        <v>20</v>
      </c>
      <c r="D1205" t="s">
        <v>21</v>
      </c>
      <c r="E1205" t="s">
        <v>90</v>
      </c>
      <c r="F1205" t="s">
        <v>64</v>
      </c>
      <c r="G1205" t="s">
        <v>24</v>
      </c>
      <c r="H1205">
        <v>199</v>
      </c>
      <c r="I1205">
        <v>180</v>
      </c>
      <c r="J1205">
        <v>15</v>
      </c>
      <c r="K1205">
        <v>4.3</v>
      </c>
      <c r="L1205">
        <v>45844.94</v>
      </c>
      <c r="M1205">
        <v>7.14</v>
      </c>
      <c r="N1205">
        <v>142.80000000000001</v>
      </c>
      <c r="O1205">
        <v>292</v>
      </c>
      <c r="P1205" s="2">
        <v>46157</v>
      </c>
      <c r="Q1205" s="2">
        <v>46157</v>
      </c>
      <c r="R1205" t="s">
        <v>39</v>
      </c>
      <c r="S1205" t="s">
        <v>33</v>
      </c>
    </row>
    <row r="1206" spans="1:19" x14ac:dyDescent="0.25">
      <c r="A1206" t="s">
        <v>144</v>
      </c>
      <c r="B1206" s="2">
        <v>46142</v>
      </c>
      <c r="C1206" t="s">
        <v>59</v>
      </c>
      <c r="D1206" t="s">
        <v>49</v>
      </c>
      <c r="E1206" t="s">
        <v>60</v>
      </c>
      <c r="F1206" t="s">
        <v>56</v>
      </c>
      <c r="G1206" t="s">
        <v>32</v>
      </c>
      <c r="H1206">
        <v>219</v>
      </c>
      <c r="I1206">
        <v>172</v>
      </c>
      <c r="J1206">
        <v>7</v>
      </c>
      <c r="K1206">
        <v>3.1</v>
      </c>
      <c r="L1206">
        <v>32134.82</v>
      </c>
      <c r="M1206">
        <v>4.8499999999999996</v>
      </c>
      <c r="N1206">
        <v>106.7</v>
      </c>
      <c r="O1206">
        <v>295</v>
      </c>
      <c r="P1206" s="2">
        <v>46148</v>
      </c>
      <c r="Q1206" s="2">
        <v>46148</v>
      </c>
      <c r="R1206" t="s">
        <v>100</v>
      </c>
      <c r="S1206" t="s">
        <v>33</v>
      </c>
    </row>
    <row r="1207" spans="1:19" x14ac:dyDescent="0.25">
      <c r="A1207" t="s">
        <v>1212</v>
      </c>
      <c r="B1207" s="2">
        <v>46056</v>
      </c>
      <c r="C1207" t="s">
        <v>35</v>
      </c>
      <c r="D1207" t="s">
        <v>36</v>
      </c>
      <c r="E1207" t="s">
        <v>37</v>
      </c>
      <c r="F1207" t="s">
        <v>56</v>
      </c>
      <c r="G1207" t="s">
        <v>57</v>
      </c>
      <c r="H1207">
        <v>153</v>
      </c>
      <c r="I1207">
        <v>117</v>
      </c>
      <c r="J1207">
        <v>6</v>
      </c>
      <c r="K1207">
        <v>1.7</v>
      </c>
      <c r="L1207">
        <v>8310.17</v>
      </c>
      <c r="M1207">
        <v>4.7699999999999996</v>
      </c>
      <c r="N1207">
        <v>95.4</v>
      </c>
      <c r="O1207">
        <v>169</v>
      </c>
      <c r="P1207" s="2">
        <v>46061</v>
      </c>
      <c r="Q1207" s="2">
        <v>46061</v>
      </c>
      <c r="R1207" t="s">
        <v>25</v>
      </c>
      <c r="S1207" t="s">
        <v>33</v>
      </c>
    </row>
    <row r="1208" spans="1:19" x14ac:dyDescent="0.25">
      <c r="A1208" t="s">
        <v>415</v>
      </c>
      <c r="B1208" s="2">
        <v>46096</v>
      </c>
      <c r="C1208" t="s">
        <v>43</v>
      </c>
      <c r="D1208" t="s">
        <v>44</v>
      </c>
      <c r="E1208" t="s">
        <v>93</v>
      </c>
      <c r="F1208" t="s">
        <v>31</v>
      </c>
      <c r="G1208" t="s">
        <v>24</v>
      </c>
      <c r="H1208">
        <v>310</v>
      </c>
      <c r="I1208">
        <v>240</v>
      </c>
      <c r="J1208">
        <v>5</v>
      </c>
      <c r="K1208">
        <v>5.6</v>
      </c>
      <c r="L1208">
        <v>25403.7</v>
      </c>
      <c r="M1208">
        <v>9.25</v>
      </c>
      <c r="N1208">
        <v>240.5</v>
      </c>
      <c r="O1208">
        <v>271</v>
      </c>
      <c r="P1208" s="2">
        <v>46107</v>
      </c>
      <c r="Q1208" s="2">
        <v>46111</v>
      </c>
      <c r="R1208" t="s">
        <v>25</v>
      </c>
      <c r="S1208" t="s">
        <v>72</v>
      </c>
    </row>
    <row r="1209" spans="1:19" x14ac:dyDescent="0.25">
      <c r="A1209" t="s">
        <v>1066</v>
      </c>
      <c r="B1209" s="2">
        <v>46145</v>
      </c>
      <c r="C1209" t="s">
        <v>48</v>
      </c>
      <c r="D1209" t="s">
        <v>49</v>
      </c>
      <c r="E1209" t="s">
        <v>50</v>
      </c>
      <c r="F1209" t="s">
        <v>74</v>
      </c>
      <c r="G1209" t="s">
        <v>32</v>
      </c>
      <c r="H1209">
        <v>230</v>
      </c>
      <c r="I1209">
        <v>179</v>
      </c>
      <c r="J1209">
        <v>16</v>
      </c>
      <c r="K1209">
        <v>1.8</v>
      </c>
      <c r="L1209">
        <v>36210.67</v>
      </c>
      <c r="M1209">
        <v>4.1500000000000004</v>
      </c>
      <c r="N1209">
        <v>107.9</v>
      </c>
      <c r="O1209">
        <v>319</v>
      </c>
      <c r="P1209" s="2">
        <v>46149</v>
      </c>
      <c r="Q1209" s="2">
        <v>46148</v>
      </c>
      <c r="R1209" t="s">
        <v>25</v>
      </c>
      <c r="S1209" t="s">
        <v>86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196"/>
  <sheetViews>
    <sheetView topLeftCell="H1" workbookViewId="0">
      <selection activeCell="U8" sqref="U8"/>
    </sheetView>
  </sheetViews>
  <sheetFormatPr defaultRowHeight="15" x14ac:dyDescent="0.25"/>
  <cols>
    <col min="1" max="1" width="15.7109375" customWidth="1"/>
    <col min="2" max="2" width="14.28515625" style="5" customWidth="1"/>
    <col min="3" max="3" width="10" customWidth="1"/>
    <col min="4" max="4" width="13.85546875" customWidth="1"/>
    <col min="5" max="5" width="10.85546875" customWidth="1"/>
    <col min="6" max="6" width="14" customWidth="1"/>
    <col min="8" max="9" width="11" customWidth="1"/>
    <col min="10" max="10" width="9.85546875" customWidth="1"/>
    <col min="11" max="11" width="9.140625" customWidth="1"/>
    <col min="12" max="12" width="15.5703125" customWidth="1"/>
    <col min="13" max="13" width="15.28515625" customWidth="1"/>
    <col min="14" max="14" width="14" customWidth="1"/>
    <col min="15" max="15" width="7.140625" customWidth="1"/>
    <col min="16" max="16" width="14.28515625" style="5" bestFit="1" customWidth="1"/>
    <col min="17" max="17" width="25" style="5" bestFit="1" customWidth="1"/>
    <col min="18" max="18" width="16" customWidth="1"/>
    <col min="19" max="19" width="17.7109375" customWidth="1"/>
  </cols>
  <sheetData>
    <row r="1" spans="1:19" x14ac:dyDescent="0.25">
      <c r="A1" s="3" t="s">
        <v>0</v>
      </c>
      <c r="B1" s="4" t="s">
        <v>1</v>
      </c>
      <c r="C1" s="3" t="s">
        <v>2</v>
      </c>
      <c r="D1" s="3" t="s">
        <v>3</v>
      </c>
      <c r="E1" s="3" t="s">
        <v>4</v>
      </c>
      <c r="F1" s="3" t="s">
        <v>5</v>
      </c>
      <c r="G1" s="3" t="s">
        <v>6</v>
      </c>
      <c r="H1" s="3" t="s">
        <v>7</v>
      </c>
      <c r="I1" s="3" t="s">
        <v>8</v>
      </c>
      <c r="J1" s="3" t="s">
        <v>9</v>
      </c>
      <c r="K1" s="3" t="s">
        <v>10</v>
      </c>
      <c r="L1" s="3" t="s">
        <v>11</v>
      </c>
      <c r="M1" s="3" t="s">
        <v>12</v>
      </c>
      <c r="N1" s="3" t="s">
        <v>13</v>
      </c>
      <c r="O1" s="3" t="s">
        <v>14</v>
      </c>
      <c r="P1" s="4" t="s">
        <v>15</v>
      </c>
      <c r="Q1" s="4" t="s">
        <v>16</v>
      </c>
      <c r="R1" s="3" t="s">
        <v>17</v>
      </c>
      <c r="S1" s="3" t="s">
        <v>18</v>
      </c>
    </row>
    <row r="2" spans="1:19" x14ac:dyDescent="0.25">
      <c r="A2" t="s">
        <v>19</v>
      </c>
      <c r="B2" s="5">
        <v>46186</v>
      </c>
      <c r="C2" t="s">
        <v>20</v>
      </c>
      <c r="D2" t="s">
        <v>21</v>
      </c>
      <c r="E2" t="s">
        <v>22</v>
      </c>
      <c r="F2" t="s">
        <v>23</v>
      </c>
      <c r="G2" t="s">
        <v>24</v>
      </c>
      <c r="H2">
        <v>269</v>
      </c>
      <c r="I2">
        <v>225</v>
      </c>
      <c r="J2">
        <v>5</v>
      </c>
      <c r="K2">
        <v>6.6</v>
      </c>
      <c r="L2">
        <v>85638.51</v>
      </c>
      <c r="M2">
        <v>4.5199999999999996</v>
      </c>
      <c r="N2">
        <v>108.48</v>
      </c>
      <c r="O2">
        <v>237</v>
      </c>
      <c r="P2" s="5">
        <v>46188</v>
      </c>
      <c r="Q2" s="5">
        <v>46187</v>
      </c>
      <c r="R2" t="s">
        <v>25</v>
      </c>
      <c r="S2" t="s">
        <v>26</v>
      </c>
    </row>
    <row r="3" spans="1:19" x14ac:dyDescent="0.25">
      <c r="A3" t="s">
        <v>27</v>
      </c>
      <c r="B3" s="5">
        <v>46029</v>
      </c>
      <c r="C3" t="s">
        <v>28</v>
      </c>
      <c r="D3" t="s">
        <v>29</v>
      </c>
      <c r="E3" t="s">
        <v>30</v>
      </c>
      <c r="F3" t="s">
        <v>31</v>
      </c>
      <c r="G3" t="s">
        <v>32</v>
      </c>
      <c r="H3">
        <v>246</v>
      </c>
      <c r="I3">
        <v>251</v>
      </c>
      <c r="J3">
        <v>10</v>
      </c>
      <c r="K3">
        <v>4</v>
      </c>
      <c r="L3">
        <v>58016.75</v>
      </c>
      <c r="M3">
        <v>9.09</v>
      </c>
      <c r="N3">
        <v>181.8</v>
      </c>
      <c r="O3">
        <v>314</v>
      </c>
      <c r="P3" s="5">
        <v>46036</v>
      </c>
      <c r="Q3" s="5">
        <v>46036</v>
      </c>
      <c r="R3" t="s">
        <v>25</v>
      </c>
      <c r="S3" t="s">
        <v>33</v>
      </c>
    </row>
    <row r="4" spans="1:19" x14ac:dyDescent="0.25">
      <c r="A4" t="s">
        <v>34</v>
      </c>
      <c r="B4" s="5">
        <v>46046</v>
      </c>
      <c r="C4" t="s">
        <v>35</v>
      </c>
      <c r="D4" t="s">
        <v>36</v>
      </c>
      <c r="E4" t="s">
        <v>37</v>
      </c>
      <c r="F4" t="s">
        <v>38</v>
      </c>
      <c r="G4" t="s">
        <v>32</v>
      </c>
      <c r="H4">
        <v>171</v>
      </c>
      <c r="I4">
        <v>185</v>
      </c>
      <c r="J4">
        <v>10</v>
      </c>
      <c r="K4">
        <v>7.3</v>
      </c>
      <c r="L4">
        <v>18621.509999999998</v>
      </c>
      <c r="M4">
        <v>7.65</v>
      </c>
      <c r="N4">
        <v>183.6</v>
      </c>
      <c r="O4">
        <v>151</v>
      </c>
      <c r="P4" s="5">
        <v>46056</v>
      </c>
      <c r="Q4" s="5">
        <v>46056</v>
      </c>
      <c r="R4" t="s">
        <v>39</v>
      </c>
      <c r="S4" t="s">
        <v>26</v>
      </c>
    </row>
    <row r="5" spans="1:19" x14ac:dyDescent="0.25">
      <c r="A5" t="s">
        <v>40</v>
      </c>
      <c r="B5" s="5">
        <v>46072</v>
      </c>
      <c r="C5" t="s">
        <v>20</v>
      </c>
      <c r="D5" t="s">
        <v>21</v>
      </c>
      <c r="E5" t="s">
        <v>22</v>
      </c>
      <c r="F5" t="s">
        <v>41</v>
      </c>
      <c r="G5" t="s">
        <v>32</v>
      </c>
      <c r="H5">
        <v>249</v>
      </c>
      <c r="I5">
        <v>203</v>
      </c>
      <c r="J5">
        <v>6</v>
      </c>
      <c r="K5">
        <v>0.7</v>
      </c>
      <c r="L5">
        <v>53070.63</v>
      </c>
      <c r="M5">
        <v>5.01</v>
      </c>
      <c r="N5">
        <v>110.22</v>
      </c>
      <c r="O5">
        <v>250</v>
      </c>
      <c r="P5" s="5">
        <v>46079</v>
      </c>
      <c r="Q5" s="5">
        <v>46080</v>
      </c>
      <c r="R5" t="s">
        <v>25</v>
      </c>
      <c r="S5" t="s">
        <v>33</v>
      </c>
    </row>
    <row r="6" spans="1:19" x14ac:dyDescent="0.25">
      <c r="A6" t="s">
        <v>42</v>
      </c>
      <c r="B6" s="5">
        <v>46178</v>
      </c>
      <c r="C6" t="s">
        <v>43</v>
      </c>
      <c r="D6" t="s">
        <v>44</v>
      </c>
      <c r="E6" t="s">
        <v>45</v>
      </c>
      <c r="F6" t="s">
        <v>46</v>
      </c>
      <c r="G6" t="s">
        <v>32</v>
      </c>
      <c r="H6">
        <v>266</v>
      </c>
      <c r="I6">
        <v>219</v>
      </c>
      <c r="J6">
        <v>10</v>
      </c>
      <c r="K6">
        <v>2.4</v>
      </c>
      <c r="L6">
        <v>31161.32</v>
      </c>
      <c r="M6">
        <v>5.0999999999999996</v>
      </c>
      <c r="N6">
        <v>112.2</v>
      </c>
      <c r="O6">
        <v>240</v>
      </c>
      <c r="P6" s="5">
        <v>46183</v>
      </c>
      <c r="Q6" s="5">
        <v>46181</v>
      </c>
      <c r="R6" t="s">
        <v>25</v>
      </c>
      <c r="S6" t="s">
        <v>33</v>
      </c>
    </row>
    <row r="7" spans="1:19" x14ac:dyDescent="0.25">
      <c r="A7" t="s">
        <v>47</v>
      </c>
      <c r="B7" s="5">
        <v>46077</v>
      </c>
      <c r="C7" t="s">
        <v>48</v>
      </c>
      <c r="D7" t="s">
        <v>49</v>
      </c>
      <c r="E7" t="s">
        <v>50</v>
      </c>
      <c r="F7" t="s">
        <v>46</v>
      </c>
      <c r="G7" t="s">
        <v>32</v>
      </c>
      <c r="H7">
        <v>247</v>
      </c>
      <c r="I7">
        <v>230</v>
      </c>
      <c r="J7">
        <v>19</v>
      </c>
      <c r="K7">
        <v>5.8</v>
      </c>
      <c r="L7">
        <v>36223.11</v>
      </c>
      <c r="M7">
        <v>8.25</v>
      </c>
      <c r="N7">
        <v>214.5</v>
      </c>
      <c r="O7">
        <v>274</v>
      </c>
      <c r="P7" s="5">
        <v>46088</v>
      </c>
      <c r="Q7" s="5">
        <v>46090</v>
      </c>
      <c r="R7" t="s">
        <v>39</v>
      </c>
      <c r="S7" t="s">
        <v>51</v>
      </c>
    </row>
    <row r="8" spans="1:19" x14ac:dyDescent="0.25">
      <c r="A8" t="s">
        <v>52</v>
      </c>
      <c r="B8" s="5">
        <v>46058</v>
      </c>
      <c r="C8" t="s">
        <v>53</v>
      </c>
      <c r="D8" t="s">
        <v>54</v>
      </c>
      <c r="E8" t="s">
        <v>55</v>
      </c>
      <c r="F8" t="s">
        <v>56</v>
      </c>
      <c r="G8" t="s">
        <v>57</v>
      </c>
      <c r="H8">
        <v>273</v>
      </c>
      <c r="I8">
        <v>202</v>
      </c>
      <c r="J8">
        <v>3</v>
      </c>
      <c r="K8">
        <v>5.6</v>
      </c>
      <c r="L8">
        <v>31230.75</v>
      </c>
      <c r="M8">
        <v>3.94</v>
      </c>
      <c r="N8">
        <v>94.56</v>
      </c>
      <c r="O8">
        <v>352</v>
      </c>
      <c r="P8" s="5">
        <v>46068</v>
      </c>
      <c r="Q8" s="5">
        <v>46068</v>
      </c>
      <c r="R8" t="s">
        <v>39</v>
      </c>
      <c r="S8" t="s">
        <v>33</v>
      </c>
    </row>
    <row r="9" spans="1:19" x14ac:dyDescent="0.25">
      <c r="A9" t="s">
        <v>58</v>
      </c>
      <c r="B9" s="5">
        <v>46197</v>
      </c>
      <c r="C9" t="s">
        <v>59</v>
      </c>
      <c r="D9" t="s">
        <v>49</v>
      </c>
      <c r="E9" t="s">
        <v>60</v>
      </c>
      <c r="F9" t="s">
        <v>61</v>
      </c>
      <c r="G9" t="s">
        <v>24</v>
      </c>
      <c r="H9">
        <v>167</v>
      </c>
      <c r="I9">
        <v>128</v>
      </c>
      <c r="J9">
        <v>5</v>
      </c>
      <c r="K9">
        <v>4.0999999999999996</v>
      </c>
      <c r="L9">
        <v>28620.28</v>
      </c>
      <c r="M9">
        <v>3.11</v>
      </c>
      <c r="N9">
        <v>80.86</v>
      </c>
      <c r="O9">
        <v>172</v>
      </c>
      <c r="P9" s="5">
        <v>46207</v>
      </c>
      <c r="Q9" s="5">
        <v>46206</v>
      </c>
      <c r="R9" t="s">
        <v>25</v>
      </c>
      <c r="S9" t="s">
        <v>26</v>
      </c>
    </row>
    <row r="10" spans="1:19" x14ac:dyDescent="0.25">
      <c r="A10" t="s">
        <v>62</v>
      </c>
      <c r="B10" s="5">
        <v>46178</v>
      </c>
      <c r="C10" t="s">
        <v>28</v>
      </c>
      <c r="D10" t="s">
        <v>29</v>
      </c>
      <c r="E10" t="s">
        <v>63</v>
      </c>
      <c r="F10" t="s">
        <v>64</v>
      </c>
      <c r="G10" t="s">
        <v>57</v>
      </c>
      <c r="H10">
        <v>175</v>
      </c>
      <c r="I10">
        <v>183</v>
      </c>
      <c r="J10">
        <v>9</v>
      </c>
      <c r="K10">
        <v>7</v>
      </c>
      <c r="L10">
        <v>36636.42</v>
      </c>
      <c r="M10">
        <v>4.72</v>
      </c>
      <c r="N10">
        <v>84.96</v>
      </c>
      <c r="O10">
        <v>163</v>
      </c>
      <c r="P10" s="5">
        <v>46185</v>
      </c>
      <c r="Q10" s="5">
        <v>46185</v>
      </c>
      <c r="R10" t="s">
        <v>25</v>
      </c>
      <c r="S10" t="s">
        <v>26</v>
      </c>
    </row>
    <row r="11" spans="1:19" x14ac:dyDescent="0.25">
      <c r="A11" t="s">
        <v>65</v>
      </c>
      <c r="B11" s="5">
        <v>46043</v>
      </c>
      <c r="C11" t="s">
        <v>20</v>
      </c>
      <c r="D11" t="s">
        <v>21</v>
      </c>
      <c r="E11" t="s">
        <v>66</v>
      </c>
      <c r="F11" t="s">
        <v>67</v>
      </c>
      <c r="G11" t="s">
        <v>24</v>
      </c>
      <c r="H11">
        <v>204</v>
      </c>
      <c r="I11">
        <v>218</v>
      </c>
      <c r="J11">
        <v>20</v>
      </c>
      <c r="K11">
        <v>4.8</v>
      </c>
      <c r="L11">
        <v>63700.32</v>
      </c>
      <c r="M11">
        <v>8.8800000000000008</v>
      </c>
      <c r="N11">
        <v>177.6</v>
      </c>
      <c r="O11">
        <v>231</v>
      </c>
      <c r="P11" s="5">
        <v>46053</v>
      </c>
      <c r="Q11" s="5">
        <v>46055</v>
      </c>
      <c r="R11" t="s">
        <v>25</v>
      </c>
      <c r="S11" t="s">
        <v>51</v>
      </c>
    </row>
    <row r="12" spans="1:19" x14ac:dyDescent="0.25">
      <c r="A12" t="s">
        <v>68</v>
      </c>
      <c r="B12" s="5">
        <v>46102</v>
      </c>
      <c r="C12" t="s">
        <v>35</v>
      </c>
      <c r="D12" t="s">
        <v>36</v>
      </c>
      <c r="E12" t="s">
        <v>69</v>
      </c>
      <c r="F12" t="s">
        <v>23</v>
      </c>
      <c r="G12" t="s">
        <v>57</v>
      </c>
      <c r="H12">
        <v>192</v>
      </c>
      <c r="I12">
        <v>212</v>
      </c>
      <c r="J12">
        <v>9</v>
      </c>
      <c r="K12">
        <v>2.2000000000000002</v>
      </c>
      <c r="L12">
        <v>14346.1</v>
      </c>
      <c r="M12">
        <v>6.63</v>
      </c>
      <c r="N12">
        <v>172.38</v>
      </c>
      <c r="O12">
        <v>208</v>
      </c>
      <c r="P12" s="5">
        <v>46104</v>
      </c>
      <c r="Q12" s="5">
        <v>46103</v>
      </c>
      <c r="R12" t="s">
        <v>25</v>
      </c>
      <c r="S12" t="s">
        <v>33</v>
      </c>
    </row>
    <row r="13" spans="1:19" x14ac:dyDescent="0.25">
      <c r="A13" t="s">
        <v>70</v>
      </c>
      <c r="B13" s="5">
        <v>46107</v>
      </c>
      <c r="C13" t="s">
        <v>20</v>
      </c>
      <c r="D13" t="s">
        <v>21</v>
      </c>
      <c r="E13" t="s">
        <v>66</v>
      </c>
      <c r="F13" t="s">
        <v>71</v>
      </c>
      <c r="G13" t="s">
        <v>24</v>
      </c>
      <c r="H13">
        <v>140</v>
      </c>
      <c r="I13">
        <v>117</v>
      </c>
      <c r="J13">
        <v>5</v>
      </c>
      <c r="K13">
        <v>4.9000000000000004</v>
      </c>
      <c r="L13">
        <v>45127.85</v>
      </c>
      <c r="M13">
        <v>3.72</v>
      </c>
      <c r="N13">
        <v>74.400000000000006</v>
      </c>
      <c r="O13">
        <v>221</v>
      </c>
      <c r="P13" s="5">
        <v>46115</v>
      </c>
      <c r="Q13" s="5">
        <v>46115</v>
      </c>
      <c r="R13" t="s">
        <v>25</v>
      </c>
      <c r="S13" t="s">
        <v>72</v>
      </c>
    </row>
    <row r="14" spans="1:19" x14ac:dyDescent="0.25">
      <c r="A14" t="s">
        <v>73</v>
      </c>
      <c r="B14" s="5">
        <v>46113</v>
      </c>
      <c r="C14" t="s">
        <v>35</v>
      </c>
      <c r="D14" t="s">
        <v>36</v>
      </c>
      <c r="E14" t="s">
        <v>69</v>
      </c>
      <c r="F14" t="s">
        <v>74</v>
      </c>
      <c r="G14" t="s">
        <v>57</v>
      </c>
      <c r="H14">
        <v>199</v>
      </c>
      <c r="I14">
        <v>217</v>
      </c>
      <c r="J14">
        <v>2</v>
      </c>
      <c r="K14">
        <v>5.9</v>
      </c>
      <c r="L14">
        <v>18557.740000000002</v>
      </c>
      <c r="M14">
        <v>7.7</v>
      </c>
      <c r="N14">
        <v>138.6</v>
      </c>
      <c r="O14">
        <v>222</v>
      </c>
      <c r="P14" s="5">
        <v>46118</v>
      </c>
      <c r="Q14" s="5">
        <v>46118</v>
      </c>
      <c r="R14" t="s">
        <v>39</v>
      </c>
      <c r="S14" t="s">
        <v>72</v>
      </c>
    </row>
    <row r="15" spans="1:19" x14ac:dyDescent="0.25">
      <c r="A15" t="s">
        <v>75</v>
      </c>
      <c r="B15" s="5">
        <v>46069</v>
      </c>
      <c r="C15" t="s">
        <v>59</v>
      </c>
      <c r="D15" t="s">
        <v>49</v>
      </c>
      <c r="E15" t="s">
        <v>76</v>
      </c>
      <c r="F15" t="s">
        <v>77</v>
      </c>
      <c r="G15" t="s">
        <v>32</v>
      </c>
      <c r="H15">
        <v>143</v>
      </c>
      <c r="I15">
        <v>156</v>
      </c>
      <c r="J15">
        <v>1</v>
      </c>
      <c r="K15">
        <v>7.3</v>
      </c>
      <c r="L15">
        <v>27424.21</v>
      </c>
      <c r="M15">
        <v>5.25</v>
      </c>
      <c r="N15">
        <v>136.5</v>
      </c>
      <c r="O15">
        <v>106</v>
      </c>
      <c r="P15" s="5">
        <v>46072</v>
      </c>
      <c r="Q15" s="5">
        <v>46072</v>
      </c>
      <c r="R15" t="s">
        <v>25</v>
      </c>
      <c r="S15" t="s">
        <v>72</v>
      </c>
    </row>
    <row r="16" spans="1:19" x14ac:dyDescent="0.25">
      <c r="A16" t="s">
        <v>78</v>
      </c>
      <c r="B16" s="5">
        <v>46077</v>
      </c>
      <c r="C16" t="s">
        <v>35</v>
      </c>
      <c r="D16" t="s">
        <v>36</v>
      </c>
      <c r="E16" t="s">
        <v>37</v>
      </c>
      <c r="F16" t="s">
        <v>31</v>
      </c>
      <c r="G16" t="s">
        <v>57</v>
      </c>
      <c r="H16">
        <v>122</v>
      </c>
      <c r="I16">
        <v>107</v>
      </c>
      <c r="J16">
        <v>10</v>
      </c>
      <c r="K16">
        <v>2.4</v>
      </c>
      <c r="L16">
        <v>10728.74</v>
      </c>
      <c r="M16">
        <v>3.01</v>
      </c>
      <c r="N16">
        <v>78.260000000000005</v>
      </c>
      <c r="O16">
        <v>206</v>
      </c>
      <c r="P16" s="5">
        <v>46081</v>
      </c>
      <c r="Q16" s="5">
        <v>46081</v>
      </c>
      <c r="R16" t="s">
        <v>25</v>
      </c>
      <c r="S16" t="s">
        <v>26</v>
      </c>
    </row>
    <row r="17" spans="1:19" x14ac:dyDescent="0.25">
      <c r="A17" t="s">
        <v>79</v>
      </c>
      <c r="B17" s="5">
        <v>46161</v>
      </c>
      <c r="C17" t="s">
        <v>80</v>
      </c>
      <c r="D17" t="s">
        <v>21</v>
      </c>
      <c r="E17" t="s">
        <v>66</v>
      </c>
      <c r="F17" t="s">
        <v>46</v>
      </c>
      <c r="G17" t="s">
        <v>57</v>
      </c>
      <c r="H17">
        <v>160</v>
      </c>
      <c r="I17">
        <v>119</v>
      </c>
      <c r="J17">
        <v>6</v>
      </c>
      <c r="K17">
        <v>4.5</v>
      </c>
      <c r="L17">
        <v>32487.03</v>
      </c>
      <c r="M17">
        <v>4.8899999999999997</v>
      </c>
      <c r="N17">
        <v>88.02</v>
      </c>
      <c r="O17">
        <v>167</v>
      </c>
      <c r="P17" s="5">
        <v>46164</v>
      </c>
      <c r="Q17" s="5">
        <v>46163</v>
      </c>
      <c r="R17" t="s">
        <v>25</v>
      </c>
      <c r="S17" t="s">
        <v>26</v>
      </c>
    </row>
    <row r="18" spans="1:19" x14ac:dyDescent="0.25">
      <c r="A18" t="s">
        <v>81</v>
      </c>
      <c r="B18" s="5">
        <v>46086</v>
      </c>
      <c r="C18" t="s">
        <v>80</v>
      </c>
      <c r="D18" t="s">
        <v>21</v>
      </c>
      <c r="E18" t="s">
        <v>66</v>
      </c>
      <c r="F18" t="s">
        <v>74</v>
      </c>
      <c r="G18" t="s">
        <v>32</v>
      </c>
      <c r="H18">
        <v>100</v>
      </c>
      <c r="I18">
        <v>90</v>
      </c>
      <c r="J18">
        <v>5</v>
      </c>
      <c r="K18">
        <v>4.7</v>
      </c>
      <c r="L18">
        <v>25561.49</v>
      </c>
      <c r="M18">
        <v>3.17</v>
      </c>
      <c r="N18">
        <v>63.4</v>
      </c>
      <c r="O18">
        <v>127</v>
      </c>
      <c r="P18" s="5">
        <v>46094</v>
      </c>
      <c r="Q18" s="5">
        <v>46094</v>
      </c>
      <c r="R18" t="s">
        <v>25</v>
      </c>
      <c r="S18" t="s">
        <v>33</v>
      </c>
    </row>
    <row r="19" spans="1:19" x14ac:dyDescent="0.25">
      <c r="A19" t="s">
        <v>82</v>
      </c>
      <c r="B19" s="5">
        <v>46025</v>
      </c>
      <c r="C19" t="s">
        <v>53</v>
      </c>
      <c r="D19" t="s">
        <v>54</v>
      </c>
      <c r="E19" t="s">
        <v>55</v>
      </c>
      <c r="F19" t="s">
        <v>83</v>
      </c>
      <c r="G19" t="s">
        <v>24</v>
      </c>
      <c r="H19">
        <v>98</v>
      </c>
      <c r="I19">
        <v>93</v>
      </c>
      <c r="J19">
        <v>4</v>
      </c>
      <c r="K19">
        <v>1.2</v>
      </c>
      <c r="L19">
        <v>11114.58</v>
      </c>
      <c r="M19">
        <v>2.2200000000000002</v>
      </c>
      <c r="N19">
        <v>48.84</v>
      </c>
      <c r="O19">
        <v>98</v>
      </c>
      <c r="P19" s="5">
        <v>46034</v>
      </c>
      <c r="Q19" s="5">
        <v>46034</v>
      </c>
      <c r="R19" t="s">
        <v>39</v>
      </c>
      <c r="S19" t="s">
        <v>26</v>
      </c>
    </row>
    <row r="20" spans="1:19" x14ac:dyDescent="0.25">
      <c r="A20" t="s">
        <v>84</v>
      </c>
      <c r="B20" s="5">
        <v>46025</v>
      </c>
      <c r="C20" t="s">
        <v>59</v>
      </c>
      <c r="D20" t="s">
        <v>49</v>
      </c>
      <c r="E20" t="s">
        <v>60</v>
      </c>
      <c r="F20" t="s">
        <v>85</v>
      </c>
      <c r="G20" t="s">
        <v>32</v>
      </c>
      <c r="H20">
        <v>106</v>
      </c>
      <c r="I20">
        <v>119</v>
      </c>
      <c r="J20">
        <v>2</v>
      </c>
      <c r="K20">
        <v>1</v>
      </c>
      <c r="L20">
        <v>18094.849999999999</v>
      </c>
      <c r="M20">
        <v>2.92</v>
      </c>
      <c r="N20">
        <v>75.92</v>
      </c>
      <c r="O20">
        <v>119</v>
      </c>
      <c r="P20" s="5">
        <v>46032</v>
      </c>
      <c r="Q20" s="5">
        <v>46032</v>
      </c>
      <c r="R20" t="s">
        <v>25</v>
      </c>
      <c r="S20" t="s">
        <v>86</v>
      </c>
    </row>
    <row r="21" spans="1:19" x14ac:dyDescent="0.25">
      <c r="A21" t="s">
        <v>87</v>
      </c>
      <c r="B21" s="5">
        <v>46036</v>
      </c>
      <c r="C21" t="s">
        <v>20</v>
      </c>
      <c r="D21" t="s">
        <v>21</v>
      </c>
      <c r="E21" t="s">
        <v>66</v>
      </c>
      <c r="F21" t="s">
        <v>88</v>
      </c>
      <c r="G21" t="s">
        <v>24</v>
      </c>
      <c r="H21">
        <v>188</v>
      </c>
      <c r="I21">
        <v>202</v>
      </c>
      <c r="J21">
        <v>1</v>
      </c>
      <c r="K21">
        <v>3</v>
      </c>
      <c r="L21">
        <v>64009.47</v>
      </c>
      <c r="M21">
        <v>4.42</v>
      </c>
      <c r="N21">
        <v>106.08</v>
      </c>
      <c r="O21">
        <v>257</v>
      </c>
      <c r="P21" s="5">
        <v>46046</v>
      </c>
      <c r="Q21" s="5">
        <v>46044</v>
      </c>
      <c r="R21" t="s">
        <v>25</v>
      </c>
      <c r="S21" t="s">
        <v>51</v>
      </c>
    </row>
    <row r="22" spans="1:19" x14ac:dyDescent="0.25">
      <c r="A22" t="s">
        <v>89</v>
      </c>
      <c r="B22" s="5">
        <v>46162</v>
      </c>
      <c r="C22" t="s">
        <v>80</v>
      </c>
      <c r="D22" t="s">
        <v>21</v>
      </c>
      <c r="E22" t="s">
        <v>90</v>
      </c>
      <c r="F22" t="s">
        <v>91</v>
      </c>
      <c r="G22" t="s">
        <v>24</v>
      </c>
      <c r="H22">
        <v>229</v>
      </c>
      <c r="I22">
        <v>219</v>
      </c>
      <c r="J22">
        <v>9</v>
      </c>
      <c r="K22">
        <v>0.4</v>
      </c>
      <c r="L22">
        <v>62003.43</v>
      </c>
      <c r="M22">
        <v>9.0500000000000007</v>
      </c>
      <c r="N22">
        <v>162.9</v>
      </c>
      <c r="O22">
        <v>280</v>
      </c>
      <c r="P22" s="5">
        <v>46167</v>
      </c>
      <c r="Q22" s="5">
        <v>46167</v>
      </c>
      <c r="R22" t="s">
        <v>25</v>
      </c>
      <c r="S22" t="s">
        <v>72</v>
      </c>
    </row>
    <row r="23" spans="1:19" x14ac:dyDescent="0.25">
      <c r="A23" t="s">
        <v>92</v>
      </c>
      <c r="B23" s="5">
        <v>46181</v>
      </c>
      <c r="C23" t="s">
        <v>43</v>
      </c>
      <c r="D23" t="s">
        <v>44</v>
      </c>
      <c r="E23" t="s">
        <v>93</v>
      </c>
      <c r="F23" t="s">
        <v>46</v>
      </c>
      <c r="G23" t="s">
        <v>57</v>
      </c>
      <c r="H23">
        <v>301</v>
      </c>
      <c r="I23">
        <v>237</v>
      </c>
      <c r="J23">
        <v>18</v>
      </c>
      <c r="K23">
        <v>1.6</v>
      </c>
      <c r="L23">
        <v>24648.03</v>
      </c>
      <c r="M23">
        <v>9.52</v>
      </c>
      <c r="N23">
        <v>228.48</v>
      </c>
      <c r="O23">
        <v>324</v>
      </c>
      <c r="P23" s="5">
        <v>46187</v>
      </c>
      <c r="Q23" s="5">
        <v>46187</v>
      </c>
      <c r="R23" t="s">
        <v>25</v>
      </c>
      <c r="S23" t="s">
        <v>72</v>
      </c>
    </row>
    <row r="24" spans="1:19" x14ac:dyDescent="0.25">
      <c r="A24" t="s">
        <v>94</v>
      </c>
      <c r="B24" s="5">
        <v>46079</v>
      </c>
      <c r="C24" t="s">
        <v>28</v>
      </c>
      <c r="D24" t="s">
        <v>29</v>
      </c>
      <c r="E24" t="s">
        <v>95</v>
      </c>
      <c r="F24" t="s">
        <v>96</v>
      </c>
      <c r="G24" t="s">
        <v>57</v>
      </c>
      <c r="H24">
        <v>169</v>
      </c>
      <c r="I24">
        <v>143</v>
      </c>
      <c r="J24">
        <v>10</v>
      </c>
      <c r="K24">
        <v>2</v>
      </c>
      <c r="L24">
        <v>24859.05</v>
      </c>
      <c r="M24">
        <v>3.7</v>
      </c>
      <c r="N24">
        <v>66.599999999999994</v>
      </c>
      <c r="O24">
        <v>200</v>
      </c>
      <c r="P24" s="5">
        <v>46086</v>
      </c>
      <c r="Q24" s="5">
        <v>46088</v>
      </c>
      <c r="R24" t="s">
        <v>39</v>
      </c>
      <c r="S24" t="s">
        <v>33</v>
      </c>
    </row>
    <row r="25" spans="1:19" x14ac:dyDescent="0.25">
      <c r="A25" t="s">
        <v>97</v>
      </c>
      <c r="B25" s="5">
        <v>46089</v>
      </c>
      <c r="C25" t="s">
        <v>43</v>
      </c>
      <c r="D25" t="s">
        <v>44</v>
      </c>
      <c r="E25" t="s">
        <v>45</v>
      </c>
      <c r="F25" t="s">
        <v>64</v>
      </c>
      <c r="G25" t="s">
        <v>24</v>
      </c>
      <c r="H25">
        <v>147</v>
      </c>
      <c r="I25">
        <v>108</v>
      </c>
      <c r="J25">
        <v>6</v>
      </c>
      <c r="K25">
        <v>3.1</v>
      </c>
      <c r="L25">
        <v>13757.22</v>
      </c>
      <c r="M25">
        <v>4.5</v>
      </c>
      <c r="N25">
        <v>81</v>
      </c>
      <c r="O25">
        <v>205</v>
      </c>
      <c r="P25" s="5">
        <v>46100</v>
      </c>
      <c r="Q25" s="5">
        <v>46100</v>
      </c>
      <c r="R25" t="s">
        <v>25</v>
      </c>
      <c r="S25" t="s">
        <v>72</v>
      </c>
    </row>
    <row r="26" spans="1:19" x14ac:dyDescent="0.25">
      <c r="A26" t="s">
        <v>98</v>
      </c>
      <c r="B26" s="5">
        <v>46023</v>
      </c>
      <c r="C26" t="s">
        <v>28</v>
      </c>
      <c r="D26" t="s">
        <v>29</v>
      </c>
      <c r="E26" t="s">
        <v>95</v>
      </c>
      <c r="F26" t="s">
        <v>46</v>
      </c>
      <c r="G26" t="s">
        <v>24</v>
      </c>
      <c r="H26">
        <v>190</v>
      </c>
      <c r="I26">
        <v>142</v>
      </c>
      <c r="J26">
        <v>9</v>
      </c>
      <c r="K26">
        <v>3</v>
      </c>
      <c r="L26">
        <v>33108.400000000001</v>
      </c>
      <c r="M26">
        <v>5.01</v>
      </c>
      <c r="N26">
        <v>110.22</v>
      </c>
      <c r="O26">
        <v>279</v>
      </c>
      <c r="P26" s="5">
        <v>46029</v>
      </c>
      <c r="Q26" s="5">
        <v>46031</v>
      </c>
      <c r="R26" t="s">
        <v>25</v>
      </c>
      <c r="S26" t="s">
        <v>86</v>
      </c>
    </row>
    <row r="27" spans="1:19" x14ac:dyDescent="0.25">
      <c r="A27" t="s">
        <v>99</v>
      </c>
      <c r="B27" s="5">
        <v>46164</v>
      </c>
      <c r="C27" t="s">
        <v>43</v>
      </c>
      <c r="D27" t="s">
        <v>44</v>
      </c>
      <c r="E27" t="s">
        <v>93</v>
      </c>
      <c r="F27" t="s">
        <v>83</v>
      </c>
      <c r="G27" t="s">
        <v>24</v>
      </c>
      <c r="H27">
        <v>187</v>
      </c>
      <c r="I27">
        <v>188</v>
      </c>
      <c r="J27">
        <v>7</v>
      </c>
      <c r="K27">
        <v>6.7</v>
      </c>
      <c r="L27">
        <v>19854.23</v>
      </c>
      <c r="M27">
        <v>5.22</v>
      </c>
      <c r="N27">
        <v>93.96</v>
      </c>
      <c r="O27">
        <v>224</v>
      </c>
      <c r="P27" s="5">
        <v>46170</v>
      </c>
      <c r="Q27" s="5">
        <v>46170</v>
      </c>
      <c r="R27" t="s">
        <v>100</v>
      </c>
      <c r="S27" t="s">
        <v>26</v>
      </c>
    </row>
    <row r="28" spans="1:19" x14ac:dyDescent="0.25">
      <c r="A28" t="s">
        <v>101</v>
      </c>
      <c r="B28" s="5">
        <v>46190</v>
      </c>
      <c r="C28" t="s">
        <v>48</v>
      </c>
      <c r="D28" t="s">
        <v>49</v>
      </c>
      <c r="E28" t="s">
        <v>76</v>
      </c>
      <c r="F28" t="s">
        <v>61</v>
      </c>
      <c r="G28" t="s">
        <v>57</v>
      </c>
      <c r="H28">
        <v>193</v>
      </c>
      <c r="I28">
        <v>175</v>
      </c>
      <c r="J28">
        <v>4</v>
      </c>
      <c r="K28">
        <v>4.3</v>
      </c>
      <c r="L28">
        <v>43234.66</v>
      </c>
      <c r="M28">
        <v>3.86</v>
      </c>
      <c r="N28">
        <v>69.48</v>
      </c>
      <c r="O28">
        <v>225</v>
      </c>
      <c r="P28" s="5">
        <v>46200</v>
      </c>
      <c r="Q28" s="5">
        <v>46201</v>
      </c>
      <c r="R28" t="s">
        <v>25</v>
      </c>
      <c r="S28" t="s">
        <v>86</v>
      </c>
    </row>
    <row r="29" spans="1:19" x14ac:dyDescent="0.25">
      <c r="A29" t="s">
        <v>102</v>
      </c>
      <c r="B29" s="5">
        <v>46080</v>
      </c>
      <c r="C29" t="s">
        <v>28</v>
      </c>
      <c r="D29" t="s">
        <v>29</v>
      </c>
      <c r="E29" t="s">
        <v>63</v>
      </c>
      <c r="F29" t="s">
        <v>23</v>
      </c>
      <c r="G29" t="s">
        <v>57</v>
      </c>
      <c r="H29">
        <v>86</v>
      </c>
      <c r="I29">
        <v>63</v>
      </c>
      <c r="J29">
        <v>5</v>
      </c>
      <c r="K29">
        <v>5.5</v>
      </c>
      <c r="L29">
        <v>15605.31</v>
      </c>
      <c r="M29">
        <v>2.4700000000000002</v>
      </c>
      <c r="N29">
        <v>64.22</v>
      </c>
      <c r="O29">
        <v>99</v>
      </c>
      <c r="P29" s="5">
        <v>46088</v>
      </c>
      <c r="Q29" s="5">
        <v>46092</v>
      </c>
      <c r="R29" t="s">
        <v>100</v>
      </c>
      <c r="S29" t="s">
        <v>33</v>
      </c>
    </row>
    <row r="30" spans="1:19" x14ac:dyDescent="0.25">
      <c r="A30" t="s">
        <v>103</v>
      </c>
      <c r="B30" s="5">
        <v>46050</v>
      </c>
      <c r="C30" t="s">
        <v>35</v>
      </c>
      <c r="D30" t="s">
        <v>36</v>
      </c>
      <c r="E30" t="s">
        <v>37</v>
      </c>
      <c r="F30" t="s">
        <v>104</v>
      </c>
      <c r="G30" t="s">
        <v>24</v>
      </c>
      <c r="H30">
        <v>125</v>
      </c>
      <c r="I30">
        <v>133</v>
      </c>
      <c r="J30">
        <v>8</v>
      </c>
      <c r="K30">
        <v>4.2</v>
      </c>
      <c r="L30">
        <v>13895.99</v>
      </c>
      <c r="M30">
        <v>2.78</v>
      </c>
      <c r="N30">
        <v>55.6</v>
      </c>
      <c r="O30">
        <v>203</v>
      </c>
      <c r="P30" s="5">
        <v>46062</v>
      </c>
      <c r="Q30" s="5">
        <v>46063</v>
      </c>
      <c r="R30" t="s">
        <v>100</v>
      </c>
      <c r="S30" t="s">
        <v>26</v>
      </c>
    </row>
    <row r="31" spans="1:19" x14ac:dyDescent="0.25">
      <c r="A31" t="s">
        <v>105</v>
      </c>
      <c r="B31" s="5">
        <v>46132</v>
      </c>
      <c r="C31" t="s">
        <v>53</v>
      </c>
      <c r="D31" t="s">
        <v>54</v>
      </c>
      <c r="E31" t="s">
        <v>55</v>
      </c>
      <c r="F31" t="s">
        <v>106</v>
      </c>
      <c r="G31" t="s">
        <v>32</v>
      </c>
      <c r="H31">
        <v>270</v>
      </c>
      <c r="I31">
        <v>294</v>
      </c>
      <c r="J31">
        <v>13</v>
      </c>
      <c r="K31">
        <v>6.8</v>
      </c>
      <c r="L31">
        <v>44333.98</v>
      </c>
      <c r="M31">
        <v>10.78</v>
      </c>
      <c r="N31">
        <v>258.72000000000003</v>
      </c>
      <c r="O31">
        <v>291</v>
      </c>
      <c r="P31" s="5">
        <v>46138</v>
      </c>
      <c r="Q31" s="5">
        <v>46142</v>
      </c>
      <c r="R31" t="s">
        <v>25</v>
      </c>
      <c r="S31" t="s">
        <v>51</v>
      </c>
    </row>
    <row r="32" spans="1:19" x14ac:dyDescent="0.25">
      <c r="A32" t="s">
        <v>107</v>
      </c>
      <c r="B32" s="5">
        <v>46092</v>
      </c>
      <c r="C32" t="s">
        <v>48</v>
      </c>
      <c r="D32" t="s">
        <v>49</v>
      </c>
      <c r="E32" t="s">
        <v>76</v>
      </c>
      <c r="F32" t="s">
        <v>64</v>
      </c>
      <c r="G32" t="s">
        <v>57</v>
      </c>
      <c r="H32">
        <v>308</v>
      </c>
      <c r="I32">
        <v>293</v>
      </c>
      <c r="J32">
        <v>5</v>
      </c>
      <c r="K32">
        <v>2.1</v>
      </c>
      <c r="L32">
        <v>66164.28</v>
      </c>
      <c r="M32">
        <v>5.73</v>
      </c>
      <c r="N32">
        <v>137.52000000000001</v>
      </c>
      <c r="O32">
        <v>352</v>
      </c>
      <c r="P32" s="5">
        <v>46102</v>
      </c>
      <c r="Q32" s="5">
        <v>46106</v>
      </c>
      <c r="R32" t="s">
        <v>100</v>
      </c>
      <c r="S32" t="s">
        <v>72</v>
      </c>
    </row>
    <row r="33" spans="1:19" x14ac:dyDescent="0.25">
      <c r="A33" t="s">
        <v>108</v>
      </c>
      <c r="B33" s="5">
        <v>46122</v>
      </c>
      <c r="C33" t="s">
        <v>80</v>
      </c>
      <c r="D33" t="s">
        <v>21</v>
      </c>
      <c r="E33" t="s">
        <v>66</v>
      </c>
      <c r="F33" t="s">
        <v>23</v>
      </c>
      <c r="G33" t="s">
        <v>32</v>
      </c>
      <c r="H33">
        <v>177</v>
      </c>
      <c r="I33">
        <v>163</v>
      </c>
      <c r="J33">
        <v>14</v>
      </c>
      <c r="K33">
        <v>2.7</v>
      </c>
      <c r="L33">
        <v>46127.88</v>
      </c>
      <c r="M33">
        <v>6.2</v>
      </c>
      <c r="N33">
        <v>161.19999999999999</v>
      </c>
      <c r="O33">
        <v>276</v>
      </c>
      <c r="P33" s="5">
        <v>46133</v>
      </c>
      <c r="Q33" s="5">
        <v>46133</v>
      </c>
      <c r="R33" t="s">
        <v>100</v>
      </c>
      <c r="S33" t="s">
        <v>72</v>
      </c>
    </row>
    <row r="34" spans="1:19" x14ac:dyDescent="0.25">
      <c r="A34" t="s">
        <v>109</v>
      </c>
      <c r="B34" s="5">
        <v>46147</v>
      </c>
      <c r="C34" t="s">
        <v>80</v>
      </c>
      <c r="D34" t="s">
        <v>21</v>
      </c>
      <c r="E34" t="s">
        <v>90</v>
      </c>
      <c r="F34" t="s">
        <v>110</v>
      </c>
      <c r="G34" t="s">
        <v>32</v>
      </c>
      <c r="H34">
        <v>166</v>
      </c>
      <c r="I34">
        <v>167</v>
      </c>
      <c r="J34">
        <v>12</v>
      </c>
      <c r="K34">
        <v>6.5</v>
      </c>
      <c r="L34">
        <v>55614.32</v>
      </c>
      <c r="M34">
        <v>6.94</v>
      </c>
      <c r="N34">
        <v>180.44</v>
      </c>
      <c r="O34">
        <v>132</v>
      </c>
      <c r="P34" s="5">
        <v>46155</v>
      </c>
      <c r="Q34" s="5">
        <v>46153</v>
      </c>
      <c r="R34" t="s">
        <v>25</v>
      </c>
      <c r="S34" t="s">
        <v>51</v>
      </c>
    </row>
    <row r="35" spans="1:19" x14ac:dyDescent="0.25">
      <c r="A35" t="s">
        <v>111</v>
      </c>
      <c r="B35" s="5">
        <v>46141</v>
      </c>
      <c r="C35" t="s">
        <v>43</v>
      </c>
      <c r="D35" t="s">
        <v>44</v>
      </c>
      <c r="E35" t="s">
        <v>93</v>
      </c>
      <c r="F35" t="s">
        <v>112</v>
      </c>
      <c r="G35" t="s">
        <v>24</v>
      </c>
      <c r="H35">
        <v>146</v>
      </c>
      <c r="I35">
        <v>128</v>
      </c>
      <c r="J35">
        <v>3</v>
      </c>
      <c r="K35">
        <v>2.9</v>
      </c>
      <c r="L35">
        <v>15918.55</v>
      </c>
      <c r="M35">
        <v>4.6100000000000003</v>
      </c>
      <c r="N35">
        <v>110.64</v>
      </c>
      <c r="O35">
        <v>170</v>
      </c>
      <c r="P35" s="5">
        <v>46144</v>
      </c>
      <c r="Q35" s="5">
        <v>46148</v>
      </c>
      <c r="R35" t="s">
        <v>25</v>
      </c>
      <c r="S35" t="s">
        <v>33</v>
      </c>
    </row>
    <row r="36" spans="1:19" x14ac:dyDescent="0.25">
      <c r="A36" t="s">
        <v>113</v>
      </c>
      <c r="B36" s="5">
        <v>46112</v>
      </c>
      <c r="C36" t="s">
        <v>28</v>
      </c>
      <c r="D36" t="s">
        <v>29</v>
      </c>
      <c r="E36" t="s">
        <v>30</v>
      </c>
      <c r="F36" t="s">
        <v>114</v>
      </c>
      <c r="G36" t="s">
        <v>57</v>
      </c>
      <c r="H36">
        <v>97</v>
      </c>
      <c r="I36">
        <v>102</v>
      </c>
      <c r="J36">
        <v>6</v>
      </c>
      <c r="K36">
        <v>6.8</v>
      </c>
      <c r="L36">
        <v>24910.85</v>
      </c>
      <c r="M36">
        <v>1.89</v>
      </c>
      <c r="N36">
        <v>37.799999999999997</v>
      </c>
      <c r="O36">
        <v>118</v>
      </c>
      <c r="P36" s="5">
        <v>46116</v>
      </c>
      <c r="Q36" s="5">
        <v>46120</v>
      </c>
      <c r="R36" t="s">
        <v>25</v>
      </c>
      <c r="S36" t="s">
        <v>72</v>
      </c>
    </row>
    <row r="37" spans="1:19" x14ac:dyDescent="0.25">
      <c r="A37" t="s">
        <v>115</v>
      </c>
      <c r="B37" s="5">
        <v>46202</v>
      </c>
      <c r="C37" t="s">
        <v>59</v>
      </c>
      <c r="D37" t="s">
        <v>49</v>
      </c>
      <c r="E37" t="s">
        <v>76</v>
      </c>
      <c r="F37" t="s">
        <v>106</v>
      </c>
      <c r="G37" t="s">
        <v>57</v>
      </c>
      <c r="H37">
        <v>122</v>
      </c>
      <c r="I37">
        <v>119</v>
      </c>
      <c r="J37">
        <v>10</v>
      </c>
      <c r="K37">
        <v>6.5</v>
      </c>
      <c r="L37">
        <v>20800.900000000001</v>
      </c>
      <c r="M37">
        <v>3.03</v>
      </c>
      <c r="N37">
        <v>78.78</v>
      </c>
      <c r="O37">
        <v>88</v>
      </c>
      <c r="P37" s="5">
        <v>46208</v>
      </c>
      <c r="Q37" s="5">
        <v>46210</v>
      </c>
      <c r="R37" t="s">
        <v>100</v>
      </c>
    </row>
    <row r="38" spans="1:19" x14ac:dyDescent="0.25">
      <c r="A38" t="s">
        <v>116</v>
      </c>
      <c r="B38" s="5">
        <v>46174</v>
      </c>
      <c r="C38" t="s">
        <v>28</v>
      </c>
      <c r="D38" t="s">
        <v>29</v>
      </c>
      <c r="E38" t="s">
        <v>63</v>
      </c>
      <c r="F38" t="s">
        <v>85</v>
      </c>
      <c r="G38" t="s">
        <v>24</v>
      </c>
      <c r="H38">
        <v>258</v>
      </c>
      <c r="I38">
        <v>271</v>
      </c>
      <c r="J38">
        <v>22</v>
      </c>
      <c r="K38">
        <v>5.4</v>
      </c>
      <c r="L38">
        <v>60429.22</v>
      </c>
      <c r="M38">
        <v>9.9700000000000006</v>
      </c>
      <c r="N38">
        <v>219.34</v>
      </c>
      <c r="O38">
        <v>354</v>
      </c>
      <c r="P38" s="5">
        <v>46182</v>
      </c>
      <c r="Q38" s="5">
        <v>46183</v>
      </c>
      <c r="R38" t="s">
        <v>25</v>
      </c>
      <c r="S38" t="s">
        <v>86</v>
      </c>
    </row>
    <row r="39" spans="1:19" x14ac:dyDescent="0.25">
      <c r="A39" t="s">
        <v>117</v>
      </c>
      <c r="B39" s="5">
        <v>46026</v>
      </c>
      <c r="C39" t="s">
        <v>35</v>
      </c>
      <c r="D39" t="s">
        <v>36</v>
      </c>
      <c r="E39" t="s">
        <v>69</v>
      </c>
      <c r="F39" t="s">
        <v>77</v>
      </c>
      <c r="G39" t="s">
        <v>24</v>
      </c>
      <c r="H39">
        <v>107</v>
      </c>
      <c r="I39">
        <v>96</v>
      </c>
      <c r="J39">
        <v>3</v>
      </c>
      <c r="K39">
        <v>8</v>
      </c>
      <c r="L39">
        <v>7901.83</v>
      </c>
      <c r="M39">
        <v>2.13</v>
      </c>
      <c r="N39">
        <v>55.38</v>
      </c>
      <c r="O39">
        <v>136</v>
      </c>
      <c r="P39" s="5">
        <v>46037</v>
      </c>
      <c r="Q39" s="5">
        <v>46041</v>
      </c>
      <c r="R39" t="s">
        <v>100</v>
      </c>
      <c r="S39" t="s">
        <v>26</v>
      </c>
    </row>
    <row r="40" spans="1:19" x14ac:dyDescent="0.25">
      <c r="A40" t="s">
        <v>118</v>
      </c>
      <c r="B40" s="5">
        <v>46091</v>
      </c>
      <c r="C40" t="s">
        <v>48</v>
      </c>
      <c r="D40" t="s">
        <v>49</v>
      </c>
      <c r="E40" t="s">
        <v>50</v>
      </c>
      <c r="F40" t="s">
        <v>119</v>
      </c>
      <c r="G40" t="s">
        <v>57</v>
      </c>
      <c r="H40">
        <v>292</v>
      </c>
      <c r="I40">
        <v>327</v>
      </c>
      <c r="J40">
        <v>9</v>
      </c>
      <c r="K40">
        <v>4.0999999999999996</v>
      </c>
      <c r="L40">
        <v>72639.539999999994</v>
      </c>
      <c r="M40">
        <v>11.13</v>
      </c>
      <c r="N40">
        <v>244.86</v>
      </c>
      <c r="O40">
        <v>259</v>
      </c>
      <c r="P40" s="5">
        <v>46100</v>
      </c>
      <c r="Q40" s="5">
        <v>46101</v>
      </c>
      <c r="R40" t="s">
        <v>25</v>
      </c>
      <c r="S40" t="s">
        <v>86</v>
      </c>
    </row>
    <row r="41" spans="1:19" x14ac:dyDescent="0.25">
      <c r="A41" t="s">
        <v>120</v>
      </c>
      <c r="B41" s="5">
        <v>46089</v>
      </c>
      <c r="C41" t="s">
        <v>48</v>
      </c>
      <c r="D41" t="s">
        <v>49</v>
      </c>
      <c r="E41" t="s">
        <v>76</v>
      </c>
      <c r="F41" t="s">
        <v>110</v>
      </c>
      <c r="G41" t="s">
        <v>24</v>
      </c>
      <c r="H41">
        <v>305</v>
      </c>
      <c r="I41">
        <v>297</v>
      </c>
      <c r="J41">
        <v>25</v>
      </c>
      <c r="K41">
        <v>5</v>
      </c>
      <c r="L41">
        <v>54820.07</v>
      </c>
      <c r="M41">
        <v>7.07</v>
      </c>
      <c r="N41">
        <v>169.68</v>
      </c>
      <c r="O41">
        <v>390</v>
      </c>
      <c r="P41" s="5">
        <v>46099</v>
      </c>
      <c r="Q41" s="5">
        <v>46099</v>
      </c>
      <c r="R41" t="s">
        <v>100</v>
      </c>
      <c r="S41" t="s">
        <v>72</v>
      </c>
    </row>
    <row r="42" spans="1:19" x14ac:dyDescent="0.25">
      <c r="A42" t="s">
        <v>121</v>
      </c>
      <c r="B42" s="5">
        <v>46137</v>
      </c>
      <c r="C42" t="s">
        <v>80</v>
      </c>
      <c r="D42" t="s">
        <v>21</v>
      </c>
      <c r="E42" t="s">
        <v>22</v>
      </c>
      <c r="F42" t="s">
        <v>122</v>
      </c>
      <c r="G42" t="s">
        <v>32</v>
      </c>
      <c r="H42">
        <v>155</v>
      </c>
      <c r="I42">
        <v>126</v>
      </c>
      <c r="J42">
        <v>8</v>
      </c>
      <c r="K42">
        <v>2.8</v>
      </c>
      <c r="L42">
        <v>34343.199999999997</v>
      </c>
      <c r="M42">
        <v>3.87</v>
      </c>
      <c r="N42">
        <v>92.88</v>
      </c>
      <c r="O42">
        <v>255</v>
      </c>
      <c r="P42" s="5">
        <v>46144</v>
      </c>
      <c r="Q42" s="5">
        <v>46145</v>
      </c>
      <c r="R42" t="s">
        <v>100</v>
      </c>
      <c r="S42" t="s">
        <v>86</v>
      </c>
    </row>
    <row r="43" spans="1:19" x14ac:dyDescent="0.25">
      <c r="A43" t="s">
        <v>123</v>
      </c>
      <c r="B43" s="5">
        <v>46082</v>
      </c>
      <c r="C43" t="s">
        <v>20</v>
      </c>
      <c r="D43" t="s">
        <v>21</v>
      </c>
      <c r="E43" t="s">
        <v>66</v>
      </c>
      <c r="F43" t="s">
        <v>61</v>
      </c>
      <c r="G43" t="s">
        <v>57</v>
      </c>
      <c r="H43">
        <v>129</v>
      </c>
      <c r="I43">
        <v>110</v>
      </c>
      <c r="J43">
        <v>7</v>
      </c>
      <c r="K43">
        <v>8.6</v>
      </c>
      <c r="L43">
        <v>34919.08</v>
      </c>
      <c r="M43">
        <v>3.93</v>
      </c>
      <c r="N43">
        <v>86.46</v>
      </c>
      <c r="O43">
        <v>223</v>
      </c>
      <c r="P43" s="5">
        <v>46093</v>
      </c>
      <c r="Q43" s="5">
        <v>46093</v>
      </c>
      <c r="R43" t="s">
        <v>25</v>
      </c>
      <c r="S43" t="s">
        <v>86</v>
      </c>
    </row>
    <row r="44" spans="1:19" x14ac:dyDescent="0.25">
      <c r="A44" t="s">
        <v>124</v>
      </c>
      <c r="B44" s="5">
        <v>46081</v>
      </c>
      <c r="C44" t="s">
        <v>48</v>
      </c>
      <c r="D44" t="s">
        <v>49</v>
      </c>
      <c r="E44" t="s">
        <v>50</v>
      </c>
      <c r="F44" t="s">
        <v>125</v>
      </c>
      <c r="G44" t="s">
        <v>32</v>
      </c>
      <c r="H44">
        <v>157</v>
      </c>
      <c r="I44">
        <v>113</v>
      </c>
      <c r="J44">
        <v>5</v>
      </c>
      <c r="K44">
        <v>2.5</v>
      </c>
      <c r="L44">
        <v>26840.19</v>
      </c>
      <c r="M44">
        <v>3.93</v>
      </c>
      <c r="N44">
        <v>78.599999999999994</v>
      </c>
      <c r="O44">
        <v>242</v>
      </c>
      <c r="P44" s="5">
        <v>46084</v>
      </c>
      <c r="Q44" s="5">
        <v>46082</v>
      </c>
      <c r="R44" t="s">
        <v>39</v>
      </c>
      <c r="S44" t="s">
        <v>72</v>
      </c>
    </row>
    <row r="45" spans="1:19" x14ac:dyDescent="0.25">
      <c r="A45" t="s">
        <v>126</v>
      </c>
      <c r="B45" s="5">
        <v>46135</v>
      </c>
      <c r="C45" t="s">
        <v>48</v>
      </c>
      <c r="D45" t="s">
        <v>49</v>
      </c>
      <c r="E45" t="s">
        <v>50</v>
      </c>
      <c r="F45" t="s">
        <v>23</v>
      </c>
      <c r="G45" t="s">
        <v>57</v>
      </c>
      <c r="H45">
        <v>93</v>
      </c>
      <c r="I45">
        <v>77</v>
      </c>
      <c r="J45">
        <v>6</v>
      </c>
      <c r="K45">
        <v>1</v>
      </c>
      <c r="L45">
        <v>12963.18</v>
      </c>
      <c r="M45">
        <v>2.4500000000000002</v>
      </c>
      <c r="N45">
        <v>44.1</v>
      </c>
      <c r="O45">
        <v>91</v>
      </c>
      <c r="P45" s="5">
        <v>46139</v>
      </c>
      <c r="Q45" s="5">
        <v>46139</v>
      </c>
      <c r="R45" t="s">
        <v>25</v>
      </c>
      <c r="S45" t="s">
        <v>26</v>
      </c>
    </row>
    <row r="46" spans="1:19" x14ac:dyDescent="0.25">
      <c r="A46" t="s">
        <v>127</v>
      </c>
      <c r="B46" s="5">
        <v>46129</v>
      </c>
      <c r="C46" t="s">
        <v>28</v>
      </c>
      <c r="D46" t="s">
        <v>29</v>
      </c>
      <c r="E46" t="s">
        <v>30</v>
      </c>
      <c r="F46" t="s">
        <v>41</v>
      </c>
      <c r="G46" t="s">
        <v>57</v>
      </c>
      <c r="H46">
        <v>177</v>
      </c>
      <c r="I46">
        <v>161</v>
      </c>
      <c r="J46">
        <v>7</v>
      </c>
      <c r="K46">
        <v>7.7</v>
      </c>
      <c r="L46">
        <v>41041.43</v>
      </c>
      <c r="M46">
        <v>5.3</v>
      </c>
      <c r="N46">
        <v>137.80000000000001</v>
      </c>
      <c r="O46">
        <v>162</v>
      </c>
      <c r="P46" s="5">
        <v>46134</v>
      </c>
      <c r="Q46" s="5">
        <v>46134</v>
      </c>
      <c r="R46" t="s">
        <v>25</v>
      </c>
      <c r="S46" t="s">
        <v>51</v>
      </c>
    </row>
    <row r="47" spans="1:19" x14ac:dyDescent="0.25">
      <c r="A47" t="s">
        <v>128</v>
      </c>
      <c r="B47" s="5">
        <v>46084</v>
      </c>
      <c r="C47" t="s">
        <v>43</v>
      </c>
      <c r="D47" t="s">
        <v>44</v>
      </c>
      <c r="E47" t="s">
        <v>45</v>
      </c>
      <c r="F47" t="s">
        <v>83</v>
      </c>
      <c r="G47" t="s">
        <v>24</v>
      </c>
      <c r="H47">
        <v>99</v>
      </c>
      <c r="I47">
        <v>77</v>
      </c>
      <c r="J47">
        <v>3</v>
      </c>
      <c r="K47">
        <v>6.2</v>
      </c>
      <c r="L47">
        <v>7828.07</v>
      </c>
      <c r="M47">
        <v>1.92</v>
      </c>
      <c r="N47">
        <v>42.24</v>
      </c>
      <c r="O47">
        <v>175</v>
      </c>
      <c r="P47" s="5">
        <v>46087</v>
      </c>
      <c r="Q47" s="5">
        <v>46087</v>
      </c>
      <c r="R47" t="s">
        <v>25</v>
      </c>
      <c r="S47" t="s">
        <v>26</v>
      </c>
    </row>
    <row r="48" spans="1:19" x14ac:dyDescent="0.25">
      <c r="A48" t="s">
        <v>129</v>
      </c>
      <c r="B48" s="5">
        <v>46192</v>
      </c>
      <c r="C48" t="s">
        <v>28</v>
      </c>
      <c r="D48" t="s">
        <v>29</v>
      </c>
      <c r="E48" t="s">
        <v>95</v>
      </c>
      <c r="F48" t="s">
        <v>106</v>
      </c>
      <c r="G48" t="s">
        <v>32</v>
      </c>
      <c r="H48">
        <v>109</v>
      </c>
      <c r="I48">
        <v>104</v>
      </c>
      <c r="J48">
        <v>6</v>
      </c>
      <c r="K48">
        <v>8.1999999999999993</v>
      </c>
      <c r="L48">
        <v>23521.31</v>
      </c>
      <c r="M48">
        <v>2.29</v>
      </c>
      <c r="N48">
        <v>50.38</v>
      </c>
      <c r="O48">
        <v>142</v>
      </c>
      <c r="P48" s="5">
        <v>46201</v>
      </c>
      <c r="Q48" s="5">
        <v>46200</v>
      </c>
      <c r="R48" t="s">
        <v>100</v>
      </c>
      <c r="S48" t="s">
        <v>72</v>
      </c>
    </row>
    <row r="49" spans="1:19" x14ac:dyDescent="0.25">
      <c r="A49" t="s">
        <v>130</v>
      </c>
      <c r="B49" s="5">
        <v>46092</v>
      </c>
      <c r="C49" t="s">
        <v>53</v>
      </c>
      <c r="D49" t="s">
        <v>54</v>
      </c>
      <c r="E49" t="s">
        <v>131</v>
      </c>
      <c r="F49" t="s">
        <v>64</v>
      </c>
      <c r="G49" t="s">
        <v>57</v>
      </c>
      <c r="H49">
        <v>100</v>
      </c>
      <c r="I49">
        <v>97</v>
      </c>
      <c r="J49">
        <v>8</v>
      </c>
      <c r="K49">
        <v>6.6</v>
      </c>
      <c r="L49">
        <v>12551.48</v>
      </c>
      <c r="M49">
        <v>2.2799999999999998</v>
      </c>
      <c r="N49">
        <v>59.28</v>
      </c>
      <c r="O49">
        <v>65</v>
      </c>
      <c r="P49" s="5">
        <v>46104</v>
      </c>
      <c r="Q49" s="5">
        <v>46104</v>
      </c>
      <c r="R49" t="s">
        <v>39</v>
      </c>
      <c r="S49" t="s">
        <v>72</v>
      </c>
    </row>
    <row r="50" spans="1:19" x14ac:dyDescent="0.25">
      <c r="A50" t="s">
        <v>132</v>
      </c>
      <c r="B50" s="5">
        <v>46155</v>
      </c>
      <c r="C50" t="s">
        <v>53</v>
      </c>
      <c r="D50" t="s">
        <v>54</v>
      </c>
      <c r="E50" t="s">
        <v>131</v>
      </c>
      <c r="F50" t="s">
        <v>106</v>
      </c>
      <c r="G50" t="s">
        <v>32</v>
      </c>
      <c r="H50">
        <v>126</v>
      </c>
      <c r="I50">
        <v>144</v>
      </c>
      <c r="J50">
        <v>6</v>
      </c>
      <c r="K50">
        <v>7.3</v>
      </c>
      <c r="L50">
        <v>23855.05</v>
      </c>
      <c r="M50">
        <v>4</v>
      </c>
      <c r="N50">
        <v>88</v>
      </c>
      <c r="O50">
        <v>112</v>
      </c>
      <c r="P50" s="5">
        <v>46159</v>
      </c>
      <c r="Q50" s="5">
        <v>46160</v>
      </c>
      <c r="R50" t="s">
        <v>100</v>
      </c>
      <c r="S50" t="s">
        <v>86</v>
      </c>
    </row>
    <row r="51" spans="1:19" x14ac:dyDescent="0.25">
      <c r="A51" t="s">
        <v>133</v>
      </c>
      <c r="B51" s="5">
        <v>46192</v>
      </c>
      <c r="C51" t="s">
        <v>35</v>
      </c>
      <c r="D51" t="s">
        <v>36</v>
      </c>
      <c r="E51" t="s">
        <v>37</v>
      </c>
      <c r="F51" t="s">
        <v>31</v>
      </c>
      <c r="G51" t="s">
        <v>24</v>
      </c>
      <c r="H51">
        <v>196</v>
      </c>
      <c r="I51">
        <v>148</v>
      </c>
      <c r="J51">
        <v>4</v>
      </c>
      <c r="K51">
        <v>1</v>
      </c>
      <c r="L51">
        <v>16426.04</v>
      </c>
      <c r="M51">
        <v>5.59</v>
      </c>
      <c r="N51">
        <v>100.62</v>
      </c>
      <c r="O51">
        <v>294</v>
      </c>
      <c r="P51" s="5">
        <v>46201</v>
      </c>
      <c r="Q51" s="5">
        <v>46203</v>
      </c>
      <c r="R51" t="s">
        <v>25</v>
      </c>
      <c r="S51" t="s">
        <v>86</v>
      </c>
    </row>
    <row r="52" spans="1:19" x14ac:dyDescent="0.25">
      <c r="A52" t="s">
        <v>134</v>
      </c>
      <c r="B52" s="5">
        <v>46182</v>
      </c>
      <c r="C52" t="s">
        <v>53</v>
      </c>
      <c r="D52" t="s">
        <v>54</v>
      </c>
      <c r="E52" t="s">
        <v>131</v>
      </c>
      <c r="F52" t="s">
        <v>135</v>
      </c>
      <c r="G52" t="s">
        <v>24</v>
      </c>
      <c r="H52">
        <v>274</v>
      </c>
      <c r="I52">
        <v>203</v>
      </c>
      <c r="J52">
        <v>5</v>
      </c>
      <c r="K52">
        <v>1.2</v>
      </c>
      <c r="L52">
        <v>29521.89</v>
      </c>
      <c r="M52">
        <v>6.02</v>
      </c>
      <c r="N52">
        <v>108.36</v>
      </c>
      <c r="O52">
        <v>295</v>
      </c>
      <c r="P52" s="5">
        <v>46186</v>
      </c>
      <c r="Q52" s="5">
        <v>46186</v>
      </c>
      <c r="R52" t="s">
        <v>39</v>
      </c>
      <c r="S52" t="s">
        <v>72</v>
      </c>
    </row>
    <row r="53" spans="1:19" x14ac:dyDescent="0.25">
      <c r="A53" t="s">
        <v>136</v>
      </c>
      <c r="B53" s="5">
        <v>46046</v>
      </c>
      <c r="C53" t="s">
        <v>28</v>
      </c>
      <c r="D53" t="s">
        <v>29</v>
      </c>
      <c r="E53" t="s">
        <v>63</v>
      </c>
      <c r="F53" t="s">
        <v>137</v>
      </c>
      <c r="G53" t="s">
        <v>57</v>
      </c>
      <c r="H53">
        <v>198</v>
      </c>
      <c r="I53">
        <v>223</v>
      </c>
      <c r="J53">
        <v>14</v>
      </c>
      <c r="K53">
        <v>1.4</v>
      </c>
      <c r="L53">
        <v>55634.83</v>
      </c>
      <c r="M53">
        <v>7.79</v>
      </c>
      <c r="N53">
        <v>186.96</v>
      </c>
      <c r="O53">
        <v>281</v>
      </c>
      <c r="P53" s="5">
        <v>46055</v>
      </c>
      <c r="Q53" s="5">
        <v>46055</v>
      </c>
      <c r="R53" t="s">
        <v>100</v>
      </c>
      <c r="S53" t="s">
        <v>72</v>
      </c>
    </row>
    <row r="54" spans="1:19" x14ac:dyDescent="0.25">
      <c r="A54" t="s">
        <v>138</v>
      </c>
      <c r="B54" s="5">
        <v>46071</v>
      </c>
      <c r="C54" t="s">
        <v>43</v>
      </c>
      <c r="D54" t="s">
        <v>44</v>
      </c>
      <c r="E54" t="s">
        <v>93</v>
      </c>
      <c r="F54" t="s">
        <v>119</v>
      </c>
      <c r="G54" t="s">
        <v>32</v>
      </c>
      <c r="H54">
        <v>150</v>
      </c>
      <c r="I54">
        <v>157</v>
      </c>
      <c r="J54">
        <v>12</v>
      </c>
      <c r="K54">
        <v>3.1</v>
      </c>
      <c r="L54">
        <v>19085.23</v>
      </c>
      <c r="M54">
        <v>2.84</v>
      </c>
      <c r="N54">
        <v>62.48</v>
      </c>
      <c r="O54">
        <v>235</v>
      </c>
      <c r="P54" s="5">
        <v>46075</v>
      </c>
      <c r="Q54" s="5">
        <v>46079</v>
      </c>
      <c r="R54" t="s">
        <v>39</v>
      </c>
      <c r="S54" t="s">
        <v>86</v>
      </c>
    </row>
    <row r="55" spans="1:19" x14ac:dyDescent="0.25">
      <c r="A55" t="s">
        <v>139</v>
      </c>
      <c r="B55" s="5">
        <v>46164</v>
      </c>
      <c r="C55" t="s">
        <v>35</v>
      </c>
      <c r="D55" t="s">
        <v>36</v>
      </c>
      <c r="E55" t="s">
        <v>69</v>
      </c>
      <c r="F55" t="s">
        <v>41</v>
      </c>
      <c r="G55" t="s">
        <v>24</v>
      </c>
      <c r="H55">
        <v>318</v>
      </c>
      <c r="I55">
        <v>272</v>
      </c>
      <c r="J55">
        <v>5</v>
      </c>
      <c r="K55">
        <v>6.3</v>
      </c>
      <c r="L55">
        <v>23859.14</v>
      </c>
      <c r="M55">
        <v>9.9600000000000009</v>
      </c>
      <c r="N55">
        <v>179.28</v>
      </c>
      <c r="O55">
        <v>359</v>
      </c>
      <c r="P55" s="5">
        <v>46173</v>
      </c>
      <c r="Q55" s="5">
        <v>46175</v>
      </c>
      <c r="R55" t="s">
        <v>100</v>
      </c>
      <c r="S55" t="s">
        <v>51</v>
      </c>
    </row>
    <row r="56" spans="1:19" x14ac:dyDescent="0.25">
      <c r="A56" t="s">
        <v>140</v>
      </c>
      <c r="B56" s="5">
        <v>46149</v>
      </c>
      <c r="C56" t="s">
        <v>80</v>
      </c>
      <c r="D56" t="s">
        <v>21</v>
      </c>
      <c r="E56" t="s">
        <v>22</v>
      </c>
      <c r="F56" t="s">
        <v>119</v>
      </c>
      <c r="G56" t="s">
        <v>32</v>
      </c>
      <c r="H56">
        <v>208</v>
      </c>
      <c r="I56">
        <v>236</v>
      </c>
      <c r="J56">
        <v>8</v>
      </c>
      <c r="K56">
        <v>0.9</v>
      </c>
      <c r="L56">
        <v>63176.55</v>
      </c>
      <c r="M56">
        <v>9.4</v>
      </c>
      <c r="N56">
        <v>169.2</v>
      </c>
      <c r="O56">
        <v>204</v>
      </c>
      <c r="P56" s="5">
        <v>46157</v>
      </c>
      <c r="Q56" s="5">
        <v>46157</v>
      </c>
      <c r="R56" t="s">
        <v>25</v>
      </c>
      <c r="S56" t="s">
        <v>86</v>
      </c>
    </row>
    <row r="57" spans="1:19" x14ac:dyDescent="0.25">
      <c r="A57" t="s">
        <v>141</v>
      </c>
      <c r="B57" s="5">
        <v>46182</v>
      </c>
      <c r="C57" t="s">
        <v>35</v>
      </c>
      <c r="D57" t="s">
        <v>36</v>
      </c>
      <c r="E57" t="s">
        <v>37</v>
      </c>
      <c r="F57" t="s">
        <v>110</v>
      </c>
      <c r="G57" t="s">
        <v>24</v>
      </c>
      <c r="H57">
        <v>298</v>
      </c>
      <c r="I57">
        <v>256</v>
      </c>
      <c r="J57">
        <v>16</v>
      </c>
      <c r="K57">
        <v>4.8</v>
      </c>
      <c r="L57">
        <v>28355.83</v>
      </c>
      <c r="M57">
        <v>10.06</v>
      </c>
      <c r="N57">
        <v>241.44</v>
      </c>
      <c r="O57">
        <v>396</v>
      </c>
      <c r="P57" s="5">
        <v>46184</v>
      </c>
      <c r="Q57" s="5">
        <v>46183</v>
      </c>
      <c r="R57" t="s">
        <v>25</v>
      </c>
      <c r="S57" t="s">
        <v>86</v>
      </c>
    </row>
    <row r="58" spans="1:19" x14ac:dyDescent="0.25">
      <c r="A58" t="s">
        <v>142</v>
      </c>
      <c r="B58" s="5">
        <v>46081</v>
      </c>
      <c r="C58" t="s">
        <v>20</v>
      </c>
      <c r="D58" t="s">
        <v>21</v>
      </c>
      <c r="E58" t="s">
        <v>90</v>
      </c>
      <c r="F58" t="s">
        <v>77</v>
      </c>
      <c r="G58" t="s">
        <v>57</v>
      </c>
      <c r="H58">
        <v>105</v>
      </c>
      <c r="I58">
        <v>109</v>
      </c>
      <c r="J58">
        <v>7</v>
      </c>
      <c r="K58">
        <v>0.9</v>
      </c>
      <c r="L58">
        <v>29392.37</v>
      </c>
      <c r="M58">
        <v>2.04</v>
      </c>
      <c r="N58">
        <v>44.88</v>
      </c>
      <c r="O58">
        <v>79</v>
      </c>
      <c r="P58" s="5">
        <v>46087</v>
      </c>
      <c r="Q58" s="5">
        <v>46088</v>
      </c>
      <c r="R58" t="s">
        <v>25</v>
      </c>
      <c r="S58" t="s">
        <v>51</v>
      </c>
    </row>
    <row r="59" spans="1:19" x14ac:dyDescent="0.25">
      <c r="A59" t="s">
        <v>143</v>
      </c>
      <c r="B59" s="5">
        <v>46158</v>
      </c>
      <c r="C59" t="s">
        <v>35</v>
      </c>
      <c r="D59" t="s">
        <v>36</v>
      </c>
      <c r="E59" t="s">
        <v>37</v>
      </c>
      <c r="F59" t="s">
        <v>122</v>
      </c>
      <c r="G59" t="s">
        <v>24</v>
      </c>
      <c r="H59">
        <v>123</v>
      </c>
      <c r="I59">
        <v>97</v>
      </c>
      <c r="J59">
        <v>5</v>
      </c>
      <c r="K59">
        <v>3.4</v>
      </c>
      <c r="L59">
        <v>9514.15</v>
      </c>
      <c r="M59">
        <v>3.1</v>
      </c>
      <c r="N59">
        <v>62</v>
      </c>
      <c r="O59">
        <v>201</v>
      </c>
      <c r="P59" s="5">
        <v>46170</v>
      </c>
      <c r="Q59" s="5">
        <v>46170</v>
      </c>
      <c r="R59" t="s">
        <v>100</v>
      </c>
      <c r="S59" t="s">
        <v>33</v>
      </c>
    </row>
    <row r="60" spans="1:19" x14ac:dyDescent="0.25">
      <c r="A60" t="s">
        <v>144</v>
      </c>
      <c r="B60" s="5">
        <v>46142</v>
      </c>
      <c r="C60" t="s">
        <v>59</v>
      </c>
      <c r="D60" t="s">
        <v>49</v>
      </c>
      <c r="E60" t="s">
        <v>60</v>
      </c>
      <c r="F60" t="s">
        <v>56</v>
      </c>
      <c r="G60" t="s">
        <v>32</v>
      </c>
      <c r="H60">
        <v>219</v>
      </c>
      <c r="I60">
        <v>172</v>
      </c>
      <c r="J60">
        <v>7</v>
      </c>
      <c r="K60">
        <v>3.1</v>
      </c>
      <c r="L60">
        <v>32134.82</v>
      </c>
      <c r="M60">
        <v>4.8499999999999996</v>
      </c>
      <c r="N60">
        <v>106.7</v>
      </c>
      <c r="O60">
        <v>295</v>
      </c>
      <c r="P60" s="5">
        <v>46148</v>
      </c>
      <c r="Q60" s="5">
        <v>46148</v>
      </c>
      <c r="R60" t="s">
        <v>100</v>
      </c>
      <c r="S60" t="s">
        <v>33</v>
      </c>
    </row>
    <row r="61" spans="1:19" x14ac:dyDescent="0.25">
      <c r="A61" t="s">
        <v>145</v>
      </c>
      <c r="B61" s="5">
        <v>46083</v>
      </c>
      <c r="C61" t="s">
        <v>35</v>
      </c>
      <c r="D61" t="s">
        <v>36</v>
      </c>
      <c r="E61" t="s">
        <v>69</v>
      </c>
      <c r="F61" t="s">
        <v>83</v>
      </c>
      <c r="G61" t="s">
        <v>32</v>
      </c>
      <c r="H61">
        <v>227</v>
      </c>
      <c r="I61">
        <v>192</v>
      </c>
      <c r="J61">
        <v>13</v>
      </c>
      <c r="K61">
        <v>0.2</v>
      </c>
      <c r="L61">
        <v>19227.11</v>
      </c>
      <c r="M61">
        <v>3.49</v>
      </c>
      <c r="N61">
        <v>62.82</v>
      </c>
      <c r="O61">
        <v>314</v>
      </c>
      <c r="P61" s="5">
        <v>46089</v>
      </c>
      <c r="Q61" s="5">
        <v>46089</v>
      </c>
      <c r="R61" t="s">
        <v>39</v>
      </c>
      <c r="S61" t="s">
        <v>51</v>
      </c>
    </row>
    <row r="62" spans="1:19" x14ac:dyDescent="0.25">
      <c r="A62" t="s">
        <v>146</v>
      </c>
      <c r="B62" s="5">
        <v>46185</v>
      </c>
      <c r="C62" t="s">
        <v>28</v>
      </c>
      <c r="D62" t="s">
        <v>29</v>
      </c>
      <c r="E62" t="s">
        <v>30</v>
      </c>
      <c r="F62" t="s">
        <v>91</v>
      </c>
      <c r="G62" t="s">
        <v>24</v>
      </c>
      <c r="H62">
        <v>144</v>
      </c>
      <c r="I62">
        <v>145</v>
      </c>
      <c r="J62">
        <v>10</v>
      </c>
      <c r="K62">
        <v>5.9</v>
      </c>
      <c r="L62">
        <v>38461.040000000001</v>
      </c>
      <c r="M62">
        <v>5.75</v>
      </c>
      <c r="N62">
        <v>103.5</v>
      </c>
      <c r="O62">
        <v>183</v>
      </c>
      <c r="P62" s="5">
        <v>46194</v>
      </c>
      <c r="Q62" s="5">
        <v>46192</v>
      </c>
      <c r="R62" t="s">
        <v>39</v>
      </c>
      <c r="S62" t="s">
        <v>51</v>
      </c>
    </row>
    <row r="63" spans="1:19" x14ac:dyDescent="0.25">
      <c r="A63" t="s">
        <v>147</v>
      </c>
      <c r="B63" s="5">
        <v>46046</v>
      </c>
      <c r="C63" t="s">
        <v>59</v>
      </c>
      <c r="D63" t="s">
        <v>49</v>
      </c>
      <c r="E63" t="s">
        <v>76</v>
      </c>
      <c r="F63" t="s">
        <v>112</v>
      </c>
      <c r="G63" t="s">
        <v>32</v>
      </c>
      <c r="H63">
        <v>271</v>
      </c>
      <c r="I63">
        <v>243</v>
      </c>
      <c r="J63">
        <v>5</v>
      </c>
      <c r="K63">
        <v>7.1</v>
      </c>
      <c r="L63">
        <v>46454.34</v>
      </c>
      <c r="M63">
        <v>7.3</v>
      </c>
      <c r="N63">
        <v>160.6</v>
      </c>
      <c r="O63">
        <v>273</v>
      </c>
      <c r="P63" s="5">
        <v>46052</v>
      </c>
      <c r="Q63" s="5">
        <v>46056</v>
      </c>
      <c r="R63" t="s">
        <v>25</v>
      </c>
      <c r="S63" t="s">
        <v>33</v>
      </c>
    </row>
    <row r="64" spans="1:19" x14ac:dyDescent="0.25">
      <c r="A64" t="s">
        <v>148</v>
      </c>
      <c r="B64" s="5">
        <v>46142</v>
      </c>
      <c r="C64" t="s">
        <v>20</v>
      </c>
      <c r="D64" t="s">
        <v>21</v>
      </c>
      <c r="E64" t="s">
        <v>22</v>
      </c>
      <c r="F64" t="s">
        <v>137</v>
      </c>
      <c r="G64" t="s">
        <v>57</v>
      </c>
      <c r="H64">
        <v>273</v>
      </c>
      <c r="I64">
        <v>310</v>
      </c>
      <c r="J64">
        <v>25</v>
      </c>
      <c r="K64">
        <v>6.5</v>
      </c>
      <c r="L64">
        <v>132468.12</v>
      </c>
      <c r="M64">
        <v>11.57</v>
      </c>
      <c r="N64">
        <v>254.54</v>
      </c>
      <c r="O64">
        <v>256</v>
      </c>
      <c r="P64" s="5">
        <v>46150</v>
      </c>
      <c r="Q64" s="5">
        <v>46148</v>
      </c>
      <c r="R64" t="s">
        <v>25</v>
      </c>
      <c r="S64" t="s">
        <v>72</v>
      </c>
    </row>
    <row r="65" spans="1:19" x14ac:dyDescent="0.25">
      <c r="A65" t="s">
        <v>149</v>
      </c>
      <c r="B65" s="5">
        <v>46117</v>
      </c>
      <c r="C65" t="s">
        <v>59</v>
      </c>
      <c r="D65" t="s">
        <v>49</v>
      </c>
      <c r="E65" t="s">
        <v>60</v>
      </c>
      <c r="F65" t="s">
        <v>110</v>
      </c>
      <c r="G65" t="s">
        <v>32</v>
      </c>
      <c r="H65">
        <v>177</v>
      </c>
      <c r="I65">
        <v>190</v>
      </c>
      <c r="J65">
        <v>17</v>
      </c>
      <c r="K65">
        <v>1</v>
      </c>
      <c r="L65">
        <v>26184.74</v>
      </c>
      <c r="M65">
        <v>7.45</v>
      </c>
      <c r="N65">
        <v>193.7</v>
      </c>
      <c r="O65">
        <v>220</v>
      </c>
      <c r="P65" s="5">
        <v>46128</v>
      </c>
      <c r="Q65" s="5">
        <v>46128</v>
      </c>
      <c r="R65" t="s">
        <v>25</v>
      </c>
      <c r="S65" t="s">
        <v>86</v>
      </c>
    </row>
    <row r="66" spans="1:19" x14ac:dyDescent="0.25">
      <c r="A66" t="s">
        <v>150</v>
      </c>
      <c r="B66" s="5">
        <v>46189</v>
      </c>
      <c r="C66" t="s">
        <v>35</v>
      </c>
      <c r="D66" t="s">
        <v>36</v>
      </c>
      <c r="E66" t="s">
        <v>37</v>
      </c>
      <c r="F66" t="s">
        <v>112</v>
      </c>
      <c r="G66" t="s">
        <v>24</v>
      </c>
      <c r="H66">
        <v>115</v>
      </c>
      <c r="I66">
        <v>85</v>
      </c>
      <c r="J66">
        <v>0</v>
      </c>
      <c r="K66">
        <v>9</v>
      </c>
      <c r="L66">
        <v>6265.93</v>
      </c>
      <c r="M66">
        <v>2.63</v>
      </c>
      <c r="N66">
        <v>63.12</v>
      </c>
      <c r="O66">
        <v>191</v>
      </c>
      <c r="P66" s="5">
        <v>46196</v>
      </c>
      <c r="Q66" s="5">
        <v>46198</v>
      </c>
      <c r="R66" t="s">
        <v>39</v>
      </c>
      <c r="S66" t="s">
        <v>51</v>
      </c>
    </row>
    <row r="67" spans="1:19" x14ac:dyDescent="0.25">
      <c r="A67" t="s">
        <v>151</v>
      </c>
      <c r="B67" s="5">
        <v>46129</v>
      </c>
      <c r="C67" t="s">
        <v>20</v>
      </c>
      <c r="D67" t="s">
        <v>21</v>
      </c>
      <c r="E67" t="s">
        <v>90</v>
      </c>
      <c r="F67" t="s">
        <v>38</v>
      </c>
      <c r="G67" t="s">
        <v>24</v>
      </c>
      <c r="H67">
        <v>237</v>
      </c>
      <c r="I67">
        <v>212</v>
      </c>
      <c r="J67">
        <v>19</v>
      </c>
      <c r="K67">
        <v>0.3</v>
      </c>
      <c r="L67">
        <v>64464.05</v>
      </c>
      <c r="M67">
        <v>8.65</v>
      </c>
      <c r="N67">
        <v>190.3</v>
      </c>
      <c r="O67">
        <v>222</v>
      </c>
      <c r="P67" s="5">
        <v>46141</v>
      </c>
      <c r="Q67" s="5">
        <v>46142</v>
      </c>
      <c r="R67" t="s">
        <v>39</v>
      </c>
      <c r="S67" t="s">
        <v>86</v>
      </c>
    </row>
    <row r="68" spans="1:19" x14ac:dyDescent="0.25">
      <c r="A68" t="s">
        <v>152</v>
      </c>
      <c r="B68" s="5">
        <v>46038</v>
      </c>
      <c r="C68" t="s">
        <v>35</v>
      </c>
      <c r="D68" t="s">
        <v>36</v>
      </c>
      <c r="E68" t="s">
        <v>69</v>
      </c>
      <c r="F68" t="s">
        <v>83</v>
      </c>
      <c r="G68" t="s">
        <v>24</v>
      </c>
      <c r="H68">
        <v>128</v>
      </c>
      <c r="I68">
        <v>145</v>
      </c>
      <c r="J68">
        <v>13</v>
      </c>
      <c r="K68">
        <v>7.4</v>
      </c>
      <c r="L68">
        <v>10510.58</v>
      </c>
      <c r="M68">
        <v>4.84</v>
      </c>
      <c r="N68">
        <v>87.12</v>
      </c>
      <c r="O68">
        <v>100</v>
      </c>
      <c r="P68" s="5">
        <v>46045</v>
      </c>
      <c r="Q68" s="5">
        <v>46045</v>
      </c>
      <c r="R68" t="s">
        <v>25</v>
      </c>
      <c r="S68" t="s">
        <v>51</v>
      </c>
    </row>
    <row r="69" spans="1:19" x14ac:dyDescent="0.25">
      <c r="A69" t="s">
        <v>153</v>
      </c>
      <c r="B69" s="5">
        <v>46040</v>
      </c>
      <c r="C69" t="s">
        <v>28</v>
      </c>
      <c r="D69" t="s">
        <v>29</v>
      </c>
      <c r="E69" t="s">
        <v>30</v>
      </c>
      <c r="F69" t="s">
        <v>71</v>
      </c>
      <c r="G69" t="s">
        <v>24</v>
      </c>
      <c r="H69">
        <v>135</v>
      </c>
      <c r="I69">
        <v>144</v>
      </c>
      <c r="J69">
        <v>3</v>
      </c>
      <c r="K69">
        <v>7</v>
      </c>
      <c r="L69">
        <v>37272.769999999997</v>
      </c>
      <c r="M69">
        <v>3.55</v>
      </c>
      <c r="N69">
        <v>71</v>
      </c>
      <c r="O69">
        <v>128</v>
      </c>
      <c r="P69" s="5">
        <v>46050</v>
      </c>
      <c r="Q69" s="5">
        <v>46050</v>
      </c>
      <c r="R69" t="s">
        <v>25</v>
      </c>
      <c r="S69" t="s">
        <v>33</v>
      </c>
    </row>
    <row r="70" spans="1:19" x14ac:dyDescent="0.25">
      <c r="A70" t="s">
        <v>154</v>
      </c>
      <c r="B70" s="5">
        <v>46056</v>
      </c>
      <c r="C70" t="s">
        <v>80</v>
      </c>
      <c r="D70" t="s">
        <v>21</v>
      </c>
      <c r="E70" t="s">
        <v>90</v>
      </c>
      <c r="F70" t="s">
        <v>85</v>
      </c>
      <c r="G70" t="s">
        <v>24</v>
      </c>
      <c r="H70">
        <v>282</v>
      </c>
      <c r="I70">
        <v>298</v>
      </c>
      <c r="J70">
        <v>17</v>
      </c>
      <c r="K70">
        <v>0.1</v>
      </c>
      <c r="L70">
        <v>65492.66</v>
      </c>
      <c r="M70">
        <v>8.3699999999999992</v>
      </c>
      <c r="N70">
        <v>150.66</v>
      </c>
      <c r="O70">
        <v>258</v>
      </c>
      <c r="P70" s="5">
        <v>46065</v>
      </c>
      <c r="Q70" s="5">
        <v>46069</v>
      </c>
      <c r="R70" t="s">
        <v>25</v>
      </c>
      <c r="S70" t="s">
        <v>33</v>
      </c>
    </row>
    <row r="71" spans="1:19" x14ac:dyDescent="0.25">
      <c r="A71" t="s">
        <v>155</v>
      </c>
      <c r="B71" s="5">
        <v>46138</v>
      </c>
      <c r="C71" t="s">
        <v>28</v>
      </c>
      <c r="D71" t="s">
        <v>29</v>
      </c>
      <c r="E71" t="s">
        <v>30</v>
      </c>
      <c r="F71" t="s">
        <v>106</v>
      </c>
      <c r="G71" t="s">
        <v>32</v>
      </c>
      <c r="H71">
        <v>91</v>
      </c>
      <c r="I71">
        <v>93</v>
      </c>
      <c r="J71">
        <v>8</v>
      </c>
      <c r="K71">
        <v>5.9</v>
      </c>
      <c r="L71">
        <v>20499.150000000001</v>
      </c>
      <c r="M71">
        <v>1.74</v>
      </c>
      <c r="N71">
        <v>41.76</v>
      </c>
      <c r="O71">
        <v>153</v>
      </c>
      <c r="P71" s="5">
        <v>46146</v>
      </c>
      <c r="Q71" s="5">
        <v>46145</v>
      </c>
      <c r="R71" t="s">
        <v>100</v>
      </c>
      <c r="S71" t="s">
        <v>33</v>
      </c>
    </row>
    <row r="72" spans="1:19" x14ac:dyDescent="0.25">
      <c r="A72" t="s">
        <v>156</v>
      </c>
      <c r="B72" s="5">
        <v>46043</v>
      </c>
      <c r="C72" t="s">
        <v>48</v>
      </c>
      <c r="D72" t="s">
        <v>49</v>
      </c>
      <c r="E72" t="s">
        <v>60</v>
      </c>
      <c r="F72" t="s">
        <v>83</v>
      </c>
      <c r="G72" t="s">
        <v>24</v>
      </c>
      <c r="H72">
        <v>117</v>
      </c>
      <c r="I72">
        <v>87</v>
      </c>
      <c r="J72">
        <v>2</v>
      </c>
      <c r="K72">
        <v>5.7</v>
      </c>
      <c r="L72">
        <v>16876.5</v>
      </c>
      <c r="M72">
        <v>3.64</v>
      </c>
      <c r="N72">
        <v>94.64</v>
      </c>
      <c r="O72">
        <v>152</v>
      </c>
      <c r="P72" s="5">
        <v>46052</v>
      </c>
      <c r="Q72" s="5">
        <v>46054</v>
      </c>
      <c r="R72" t="s">
        <v>25</v>
      </c>
      <c r="S72" t="s">
        <v>33</v>
      </c>
    </row>
    <row r="73" spans="1:19" x14ac:dyDescent="0.25">
      <c r="A73" t="s">
        <v>157</v>
      </c>
      <c r="B73" s="5">
        <v>46190</v>
      </c>
      <c r="C73" t="s">
        <v>28</v>
      </c>
      <c r="D73" t="s">
        <v>29</v>
      </c>
      <c r="E73" t="s">
        <v>95</v>
      </c>
      <c r="F73" t="s">
        <v>88</v>
      </c>
      <c r="G73" t="s">
        <v>57</v>
      </c>
      <c r="H73">
        <v>195</v>
      </c>
      <c r="I73">
        <v>214</v>
      </c>
      <c r="J73">
        <v>9</v>
      </c>
      <c r="K73">
        <v>7.4</v>
      </c>
      <c r="L73">
        <v>50034.46</v>
      </c>
      <c r="M73">
        <v>5.46</v>
      </c>
      <c r="N73">
        <v>120.12</v>
      </c>
      <c r="O73">
        <v>220</v>
      </c>
      <c r="P73" s="5">
        <v>46197</v>
      </c>
      <c r="Q73" s="5">
        <v>46197</v>
      </c>
      <c r="R73" t="s">
        <v>100</v>
      </c>
      <c r="S73" t="s">
        <v>33</v>
      </c>
    </row>
    <row r="74" spans="1:19" x14ac:dyDescent="0.25">
      <c r="A74" t="s">
        <v>158</v>
      </c>
      <c r="B74" s="5">
        <v>46046</v>
      </c>
      <c r="C74" t="s">
        <v>35</v>
      </c>
      <c r="D74" t="s">
        <v>36</v>
      </c>
      <c r="E74" t="s">
        <v>37</v>
      </c>
      <c r="F74" t="s">
        <v>125</v>
      </c>
      <c r="G74" t="s">
        <v>24</v>
      </c>
      <c r="H74">
        <v>270</v>
      </c>
      <c r="I74">
        <v>280</v>
      </c>
      <c r="J74">
        <v>21</v>
      </c>
      <c r="K74">
        <v>5</v>
      </c>
      <c r="L74">
        <v>27021.8</v>
      </c>
      <c r="M74">
        <v>7.26</v>
      </c>
      <c r="N74">
        <v>130.68</v>
      </c>
      <c r="O74">
        <v>335</v>
      </c>
      <c r="P74" s="5">
        <v>46053</v>
      </c>
      <c r="Q74" s="5">
        <v>46055</v>
      </c>
      <c r="R74" t="s">
        <v>25</v>
      </c>
      <c r="S74" t="s">
        <v>86</v>
      </c>
    </row>
    <row r="75" spans="1:19" x14ac:dyDescent="0.25">
      <c r="A75" t="s">
        <v>159</v>
      </c>
      <c r="B75" s="5">
        <v>46113</v>
      </c>
      <c r="C75" t="s">
        <v>20</v>
      </c>
      <c r="D75" t="s">
        <v>21</v>
      </c>
      <c r="E75" t="s">
        <v>66</v>
      </c>
      <c r="F75" t="s">
        <v>67</v>
      </c>
      <c r="G75" t="s">
        <v>24</v>
      </c>
      <c r="H75">
        <v>209</v>
      </c>
      <c r="I75">
        <v>169</v>
      </c>
      <c r="J75">
        <v>10</v>
      </c>
      <c r="K75">
        <v>2</v>
      </c>
      <c r="L75">
        <v>51358.14</v>
      </c>
      <c r="M75">
        <v>4.53</v>
      </c>
      <c r="N75">
        <v>99.66</v>
      </c>
      <c r="O75">
        <v>226</v>
      </c>
      <c r="P75" s="5">
        <v>46121</v>
      </c>
      <c r="Q75" s="5">
        <v>46119</v>
      </c>
      <c r="R75" t="s">
        <v>39</v>
      </c>
      <c r="S75" t="s">
        <v>86</v>
      </c>
    </row>
    <row r="76" spans="1:19" x14ac:dyDescent="0.25">
      <c r="A76" t="s">
        <v>160</v>
      </c>
      <c r="B76" s="5">
        <v>46030</v>
      </c>
      <c r="C76" t="s">
        <v>43</v>
      </c>
      <c r="D76" t="s">
        <v>44</v>
      </c>
      <c r="E76" t="s">
        <v>161</v>
      </c>
      <c r="F76" t="s">
        <v>112</v>
      </c>
      <c r="G76" t="s">
        <v>24</v>
      </c>
      <c r="H76">
        <v>259</v>
      </c>
      <c r="I76">
        <v>271</v>
      </c>
      <c r="J76">
        <v>23</v>
      </c>
      <c r="K76">
        <v>3.2</v>
      </c>
      <c r="L76">
        <v>25492.54</v>
      </c>
      <c r="M76">
        <v>9.15</v>
      </c>
      <c r="N76">
        <v>164.7</v>
      </c>
      <c r="O76">
        <v>255</v>
      </c>
      <c r="P76" s="5">
        <v>46042</v>
      </c>
      <c r="Q76" s="5">
        <v>46040</v>
      </c>
      <c r="R76" t="s">
        <v>25</v>
      </c>
      <c r="S76" t="s">
        <v>51</v>
      </c>
    </row>
    <row r="77" spans="1:19" x14ac:dyDescent="0.25">
      <c r="A77" t="s">
        <v>162</v>
      </c>
      <c r="B77" s="5">
        <v>46119</v>
      </c>
      <c r="C77" t="s">
        <v>35</v>
      </c>
      <c r="D77" t="s">
        <v>36</v>
      </c>
      <c r="E77" t="s">
        <v>69</v>
      </c>
      <c r="F77" t="s">
        <v>122</v>
      </c>
      <c r="G77" t="s">
        <v>32</v>
      </c>
      <c r="H77">
        <v>167</v>
      </c>
      <c r="I77">
        <v>131</v>
      </c>
      <c r="J77">
        <v>4</v>
      </c>
      <c r="K77">
        <v>2.9</v>
      </c>
      <c r="L77">
        <v>14338.63</v>
      </c>
      <c r="M77">
        <v>5.14</v>
      </c>
      <c r="N77">
        <v>102.8</v>
      </c>
      <c r="O77">
        <v>167</v>
      </c>
      <c r="P77" s="5">
        <v>46130</v>
      </c>
      <c r="Q77" s="5">
        <v>46128</v>
      </c>
      <c r="R77" t="s">
        <v>25</v>
      </c>
      <c r="S77" t="s">
        <v>72</v>
      </c>
    </row>
    <row r="78" spans="1:19" x14ac:dyDescent="0.25">
      <c r="A78" t="s">
        <v>163</v>
      </c>
      <c r="B78" s="5">
        <v>46147</v>
      </c>
      <c r="C78" t="s">
        <v>53</v>
      </c>
      <c r="D78" t="s">
        <v>54</v>
      </c>
      <c r="E78" t="s">
        <v>131</v>
      </c>
      <c r="F78" t="s">
        <v>104</v>
      </c>
      <c r="G78" t="s">
        <v>57</v>
      </c>
      <c r="H78">
        <v>149</v>
      </c>
      <c r="I78">
        <v>121</v>
      </c>
      <c r="J78">
        <v>6</v>
      </c>
      <c r="K78">
        <v>3.1</v>
      </c>
      <c r="L78">
        <v>15575.49</v>
      </c>
      <c r="M78">
        <v>3.9</v>
      </c>
      <c r="N78">
        <v>101.4</v>
      </c>
      <c r="O78">
        <v>187</v>
      </c>
      <c r="P78" s="5">
        <v>46149</v>
      </c>
      <c r="Q78" s="5">
        <v>46149</v>
      </c>
      <c r="R78" t="s">
        <v>100</v>
      </c>
      <c r="S78" t="s">
        <v>33</v>
      </c>
    </row>
    <row r="79" spans="1:19" x14ac:dyDescent="0.25">
      <c r="A79" t="s">
        <v>164</v>
      </c>
      <c r="B79" s="5">
        <v>46075</v>
      </c>
      <c r="C79" t="s">
        <v>59</v>
      </c>
      <c r="D79" t="s">
        <v>49</v>
      </c>
      <c r="E79" t="s">
        <v>50</v>
      </c>
      <c r="F79" t="s">
        <v>46</v>
      </c>
      <c r="G79" t="s">
        <v>24</v>
      </c>
      <c r="H79">
        <v>276</v>
      </c>
      <c r="I79">
        <v>215</v>
      </c>
      <c r="J79">
        <v>6</v>
      </c>
      <c r="K79">
        <v>3</v>
      </c>
      <c r="L79">
        <v>32933.67</v>
      </c>
      <c r="M79">
        <v>4.78</v>
      </c>
      <c r="N79">
        <v>114.72</v>
      </c>
      <c r="O79">
        <v>372</v>
      </c>
      <c r="P79" s="5">
        <v>46080</v>
      </c>
      <c r="Q79" s="5">
        <v>46081</v>
      </c>
      <c r="R79" t="s">
        <v>25</v>
      </c>
      <c r="S79" t="s">
        <v>33</v>
      </c>
    </row>
    <row r="80" spans="1:19" x14ac:dyDescent="0.25">
      <c r="A80" t="s">
        <v>165</v>
      </c>
      <c r="B80" s="5">
        <v>46134</v>
      </c>
      <c r="C80" t="s">
        <v>80</v>
      </c>
      <c r="D80" t="s">
        <v>21</v>
      </c>
      <c r="E80" t="s">
        <v>90</v>
      </c>
      <c r="F80" t="s">
        <v>74</v>
      </c>
      <c r="G80" t="s">
        <v>24</v>
      </c>
      <c r="H80">
        <v>315</v>
      </c>
      <c r="I80">
        <v>237</v>
      </c>
      <c r="J80">
        <v>7</v>
      </c>
      <c r="K80">
        <v>3.9</v>
      </c>
      <c r="L80">
        <v>63322.91</v>
      </c>
      <c r="M80">
        <v>5.91</v>
      </c>
      <c r="N80">
        <v>141.84</v>
      </c>
      <c r="O80">
        <v>280</v>
      </c>
      <c r="P80" s="5">
        <v>46141</v>
      </c>
      <c r="Q80" s="5">
        <v>46141</v>
      </c>
      <c r="R80" t="s">
        <v>39</v>
      </c>
      <c r="S80" t="s">
        <v>86</v>
      </c>
    </row>
    <row r="81" spans="1:19" x14ac:dyDescent="0.25">
      <c r="A81" t="s">
        <v>166</v>
      </c>
      <c r="B81" s="5">
        <v>46045</v>
      </c>
      <c r="C81" t="s">
        <v>35</v>
      </c>
      <c r="D81" t="s">
        <v>36</v>
      </c>
      <c r="E81" t="s">
        <v>37</v>
      </c>
      <c r="F81" t="s">
        <v>85</v>
      </c>
      <c r="G81" t="s">
        <v>57</v>
      </c>
      <c r="H81">
        <v>142</v>
      </c>
      <c r="I81">
        <v>128</v>
      </c>
      <c r="J81">
        <v>5</v>
      </c>
      <c r="K81">
        <v>0.7</v>
      </c>
      <c r="L81">
        <v>14236.68</v>
      </c>
      <c r="M81">
        <v>2.98</v>
      </c>
      <c r="N81">
        <v>59.6</v>
      </c>
      <c r="O81">
        <v>121</v>
      </c>
      <c r="P81" s="5">
        <v>46055</v>
      </c>
      <c r="Q81" s="5">
        <v>46054</v>
      </c>
      <c r="R81" t="s">
        <v>39</v>
      </c>
      <c r="S81" t="s">
        <v>86</v>
      </c>
    </row>
    <row r="82" spans="1:19" x14ac:dyDescent="0.25">
      <c r="A82" t="s">
        <v>167</v>
      </c>
      <c r="B82" s="5">
        <v>46112</v>
      </c>
      <c r="C82" t="s">
        <v>43</v>
      </c>
      <c r="D82" t="s">
        <v>44</v>
      </c>
      <c r="E82" t="s">
        <v>93</v>
      </c>
      <c r="F82" t="s">
        <v>110</v>
      </c>
      <c r="G82" t="s">
        <v>24</v>
      </c>
      <c r="H82">
        <v>106</v>
      </c>
      <c r="I82">
        <v>82</v>
      </c>
      <c r="J82">
        <v>1</v>
      </c>
      <c r="K82">
        <v>5.4</v>
      </c>
      <c r="L82">
        <v>10973.95</v>
      </c>
      <c r="M82">
        <v>1.82</v>
      </c>
      <c r="N82">
        <v>43.68</v>
      </c>
      <c r="O82">
        <v>184</v>
      </c>
      <c r="P82" s="5">
        <v>46123</v>
      </c>
      <c r="Q82" s="5">
        <v>46127</v>
      </c>
      <c r="R82" t="s">
        <v>39</v>
      </c>
      <c r="S82" t="s">
        <v>26</v>
      </c>
    </row>
    <row r="83" spans="1:19" x14ac:dyDescent="0.25">
      <c r="A83" t="s">
        <v>168</v>
      </c>
      <c r="B83" s="5">
        <v>46105</v>
      </c>
      <c r="C83" t="s">
        <v>48</v>
      </c>
      <c r="D83" t="s">
        <v>49</v>
      </c>
      <c r="E83" t="s">
        <v>50</v>
      </c>
      <c r="F83" t="s">
        <v>91</v>
      </c>
      <c r="G83" t="s">
        <v>32</v>
      </c>
      <c r="H83">
        <v>192</v>
      </c>
      <c r="I83">
        <v>143</v>
      </c>
      <c r="J83">
        <v>6</v>
      </c>
      <c r="K83">
        <v>2.7</v>
      </c>
      <c r="L83">
        <v>23160.34</v>
      </c>
      <c r="M83">
        <v>4.32</v>
      </c>
      <c r="N83">
        <v>95.04</v>
      </c>
      <c r="O83">
        <v>270</v>
      </c>
      <c r="P83" s="5">
        <v>46114</v>
      </c>
      <c r="Q83" s="5">
        <v>46112</v>
      </c>
      <c r="R83" t="s">
        <v>25</v>
      </c>
      <c r="S83" t="s">
        <v>33</v>
      </c>
    </row>
    <row r="84" spans="1:19" x14ac:dyDescent="0.25">
      <c r="A84" t="s">
        <v>169</v>
      </c>
      <c r="B84" s="5">
        <v>46188</v>
      </c>
      <c r="C84" t="s">
        <v>20</v>
      </c>
      <c r="D84" t="s">
        <v>21</v>
      </c>
      <c r="E84" t="s">
        <v>66</v>
      </c>
      <c r="F84" t="s">
        <v>170</v>
      </c>
      <c r="G84" t="s">
        <v>57</v>
      </c>
      <c r="H84">
        <v>232</v>
      </c>
      <c r="I84">
        <v>217</v>
      </c>
      <c r="J84">
        <v>10</v>
      </c>
      <c r="K84">
        <v>5</v>
      </c>
      <c r="L84">
        <v>85888.63</v>
      </c>
      <c r="M84">
        <v>6.25</v>
      </c>
      <c r="N84">
        <v>162.5</v>
      </c>
      <c r="O84">
        <v>240</v>
      </c>
      <c r="P84" s="5">
        <v>46195</v>
      </c>
      <c r="Q84" s="5">
        <v>46199</v>
      </c>
      <c r="R84" t="s">
        <v>39</v>
      </c>
      <c r="S84" t="s">
        <v>72</v>
      </c>
    </row>
    <row r="85" spans="1:19" x14ac:dyDescent="0.25">
      <c r="A85" t="s">
        <v>171</v>
      </c>
      <c r="B85" s="5">
        <v>46049</v>
      </c>
      <c r="C85" t="s">
        <v>48</v>
      </c>
      <c r="D85" t="s">
        <v>49</v>
      </c>
      <c r="E85" t="s">
        <v>60</v>
      </c>
      <c r="F85" t="s">
        <v>77</v>
      </c>
      <c r="G85" t="s">
        <v>32</v>
      </c>
      <c r="H85">
        <v>101</v>
      </c>
      <c r="I85">
        <v>94</v>
      </c>
      <c r="J85">
        <v>1</v>
      </c>
      <c r="K85">
        <v>2.2000000000000002</v>
      </c>
      <c r="L85">
        <v>18082.95</v>
      </c>
      <c r="M85">
        <v>2.87</v>
      </c>
      <c r="N85">
        <v>57.4</v>
      </c>
      <c r="O85">
        <v>154</v>
      </c>
      <c r="P85" s="5">
        <v>46056</v>
      </c>
      <c r="Q85" s="5">
        <v>46056</v>
      </c>
      <c r="R85" t="s">
        <v>100</v>
      </c>
      <c r="S85" t="s">
        <v>26</v>
      </c>
    </row>
    <row r="86" spans="1:19" x14ac:dyDescent="0.25">
      <c r="A86" t="s">
        <v>172</v>
      </c>
      <c r="B86" s="5">
        <v>46036</v>
      </c>
      <c r="C86" t="s">
        <v>48</v>
      </c>
      <c r="D86" t="s">
        <v>49</v>
      </c>
      <c r="E86" t="s">
        <v>50</v>
      </c>
      <c r="F86" t="s">
        <v>125</v>
      </c>
      <c r="G86" t="s">
        <v>24</v>
      </c>
      <c r="H86">
        <v>164</v>
      </c>
      <c r="I86">
        <v>124</v>
      </c>
      <c r="J86">
        <v>8</v>
      </c>
      <c r="K86">
        <v>2.6</v>
      </c>
      <c r="L86">
        <v>27924.2</v>
      </c>
      <c r="M86">
        <v>4.93</v>
      </c>
      <c r="N86">
        <v>98.6</v>
      </c>
      <c r="O86">
        <v>209</v>
      </c>
      <c r="P86" s="5">
        <v>46039</v>
      </c>
      <c r="Q86" s="5">
        <v>46039</v>
      </c>
      <c r="R86" t="s">
        <v>25</v>
      </c>
      <c r="S86" t="s">
        <v>72</v>
      </c>
    </row>
    <row r="87" spans="1:19" x14ac:dyDescent="0.25">
      <c r="A87" t="s">
        <v>173</v>
      </c>
      <c r="B87" s="5">
        <v>46056</v>
      </c>
      <c r="C87" t="s">
        <v>20</v>
      </c>
      <c r="D87" t="s">
        <v>21</v>
      </c>
      <c r="E87" t="s">
        <v>90</v>
      </c>
      <c r="F87" t="s">
        <v>91</v>
      </c>
      <c r="G87" t="s">
        <v>57</v>
      </c>
      <c r="H87">
        <v>223</v>
      </c>
      <c r="I87">
        <v>196</v>
      </c>
      <c r="J87">
        <v>14</v>
      </c>
      <c r="K87">
        <v>7.3</v>
      </c>
      <c r="L87">
        <v>73294.320000000007</v>
      </c>
      <c r="M87">
        <v>7</v>
      </c>
      <c r="N87">
        <v>182</v>
      </c>
      <c r="O87">
        <v>206</v>
      </c>
      <c r="P87" s="5">
        <v>46068</v>
      </c>
      <c r="Q87" s="5">
        <v>46070</v>
      </c>
      <c r="R87" t="s">
        <v>39</v>
      </c>
      <c r="S87" t="s">
        <v>86</v>
      </c>
    </row>
    <row r="88" spans="1:19" x14ac:dyDescent="0.25">
      <c r="A88" t="s">
        <v>174</v>
      </c>
      <c r="B88" s="5">
        <v>46102</v>
      </c>
      <c r="C88" t="s">
        <v>43</v>
      </c>
      <c r="D88" t="s">
        <v>44</v>
      </c>
      <c r="E88" t="s">
        <v>93</v>
      </c>
      <c r="F88" t="s">
        <v>38</v>
      </c>
      <c r="G88" t="s">
        <v>24</v>
      </c>
      <c r="H88">
        <v>167</v>
      </c>
      <c r="I88">
        <v>188</v>
      </c>
      <c r="J88">
        <v>9</v>
      </c>
      <c r="K88">
        <v>2</v>
      </c>
      <c r="L88">
        <v>17029.830000000002</v>
      </c>
      <c r="M88">
        <v>7.19</v>
      </c>
      <c r="N88">
        <v>129.41999999999999</v>
      </c>
      <c r="O88">
        <v>256</v>
      </c>
      <c r="P88" s="5">
        <v>46112</v>
      </c>
      <c r="Q88" s="5">
        <v>46110</v>
      </c>
      <c r="R88" t="s">
        <v>25</v>
      </c>
      <c r="S88" t="s">
        <v>51</v>
      </c>
    </row>
    <row r="89" spans="1:19" x14ac:dyDescent="0.25">
      <c r="A89" t="s">
        <v>175</v>
      </c>
      <c r="B89" s="5">
        <v>46175</v>
      </c>
      <c r="C89" t="s">
        <v>35</v>
      </c>
      <c r="D89" t="s">
        <v>36</v>
      </c>
      <c r="E89" t="s">
        <v>37</v>
      </c>
      <c r="F89" t="s">
        <v>23</v>
      </c>
      <c r="G89" t="s">
        <v>24</v>
      </c>
      <c r="H89">
        <v>121</v>
      </c>
      <c r="I89">
        <v>96</v>
      </c>
      <c r="J89">
        <v>6</v>
      </c>
      <c r="K89">
        <v>5.6</v>
      </c>
      <c r="L89">
        <v>10719.78</v>
      </c>
      <c r="M89">
        <v>1.83</v>
      </c>
      <c r="N89">
        <v>40.26</v>
      </c>
      <c r="O89">
        <v>141</v>
      </c>
      <c r="P89" s="5">
        <v>46184</v>
      </c>
      <c r="Q89" s="5">
        <v>46184</v>
      </c>
      <c r="R89" t="s">
        <v>100</v>
      </c>
      <c r="S89" t="s">
        <v>51</v>
      </c>
    </row>
    <row r="90" spans="1:19" x14ac:dyDescent="0.25">
      <c r="A90" t="s">
        <v>176</v>
      </c>
      <c r="B90" s="5">
        <v>46102</v>
      </c>
      <c r="C90" t="s">
        <v>53</v>
      </c>
      <c r="D90" t="s">
        <v>54</v>
      </c>
      <c r="E90" t="s">
        <v>55</v>
      </c>
      <c r="F90" t="s">
        <v>64</v>
      </c>
      <c r="G90" t="s">
        <v>24</v>
      </c>
      <c r="H90">
        <v>174</v>
      </c>
      <c r="I90">
        <v>176</v>
      </c>
      <c r="J90">
        <v>9</v>
      </c>
      <c r="K90">
        <v>4</v>
      </c>
      <c r="L90">
        <v>29639.05</v>
      </c>
      <c r="M90">
        <v>5.29</v>
      </c>
      <c r="N90">
        <v>126.96</v>
      </c>
      <c r="O90">
        <v>175</v>
      </c>
      <c r="P90" s="5">
        <v>46107</v>
      </c>
      <c r="Q90" s="5">
        <v>46107</v>
      </c>
      <c r="R90" t="s">
        <v>25</v>
      </c>
      <c r="S90" t="s">
        <v>72</v>
      </c>
    </row>
    <row r="91" spans="1:19" x14ac:dyDescent="0.25">
      <c r="A91" t="s">
        <v>177</v>
      </c>
      <c r="B91" s="5">
        <v>46118</v>
      </c>
      <c r="C91" t="s">
        <v>20</v>
      </c>
      <c r="D91" t="s">
        <v>21</v>
      </c>
      <c r="E91" t="s">
        <v>66</v>
      </c>
      <c r="F91" t="s">
        <v>67</v>
      </c>
      <c r="G91" t="s">
        <v>57</v>
      </c>
      <c r="H91">
        <v>296</v>
      </c>
      <c r="I91">
        <v>278</v>
      </c>
      <c r="J91">
        <v>4</v>
      </c>
      <c r="K91">
        <v>0.8</v>
      </c>
      <c r="L91">
        <v>77948.55</v>
      </c>
      <c r="M91">
        <v>8.43</v>
      </c>
      <c r="N91">
        <v>202.32</v>
      </c>
      <c r="O91">
        <v>279</v>
      </c>
      <c r="P91" s="5">
        <v>46123</v>
      </c>
      <c r="Q91" s="5">
        <v>46127</v>
      </c>
      <c r="R91" t="s">
        <v>25</v>
      </c>
      <c r="S91" t="s">
        <v>72</v>
      </c>
    </row>
    <row r="92" spans="1:19" x14ac:dyDescent="0.25">
      <c r="A92" t="s">
        <v>178</v>
      </c>
      <c r="B92" s="5">
        <v>46036</v>
      </c>
      <c r="C92" t="s">
        <v>35</v>
      </c>
      <c r="D92" t="s">
        <v>36</v>
      </c>
      <c r="E92" t="s">
        <v>69</v>
      </c>
      <c r="F92" t="s">
        <v>67</v>
      </c>
      <c r="G92" t="s">
        <v>32</v>
      </c>
      <c r="H92">
        <v>140</v>
      </c>
      <c r="I92">
        <v>124</v>
      </c>
      <c r="J92">
        <v>1</v>
      </c>
      <c r="K92">
        <v>2</v>
      </c>
      <c r="L92">
        <v>9526.6</v>
      </c>
      <c r="M92">
        <v>4.3600000000000003</v>
      </c>
      <c r="N92">
        <v>95.92</v>
      </c>
      <c r="O92">
        <v>137</v>
      </c>
      <c r="P92" s="5">
        <v>46040</v>
      </c>
      <c r="Q92" s="5">
        <v>46038</v>
      </c>
      <c r="R92" t="s">
        <v>25</v>
      </c>
      <c r="S92" t="s">
        <v>51</v>
      </c>
    </row>
    <row r="93" spans="1:19" x14ac:dyDescent="0.25">
      <c r="A93" t="s">
        <v>179</v>
      </c>
      <c r="B93" s="5">
        <v>46143</v>
      </c>
      <c r="C93" t="s">
        <v>53</v>
      </c>
      <c r="D93" t="s">
        <v>54</v>
      </c>
      <c r="E93" t="s">
        <v>55</v>
      </c>
      <c r="F93" t="s">
        <v>64</v>
      </c>
      <c r="G93" t="s">
        <v>57</v>
      </c>
      <c r="H93">
        <v>311</v>
      </c>
      <c r="I93">
        <v>234</v>
      </c>
      <c r="J93">
        <v>6</v>
      </c>
      <c r="K93">
        <v>7.5</v>
      </c>
      <c r="L93">
        <v>36089.75</v>
      </c>
      <c r="M93">
        <v>7.18</v>
      </c>
      <c r="N93">
        <v>129.24</v>
      </c>
      <c r="O93">
        <v>344</v>
      </c>
      <c r="P93" s="5">
        <v>46148</v>
      </c>
      <c r="Q93" s="5">
        <v>46148</v>
      </c>
      <c r="R93" t="s">
        <v>25</v>
      </c>
      <c r="S93" t="s">
        <v>72</v>
      </c>
    </row>
    <row r="94" spans="1:19" x14ac:dyDescent="0.25">
      <c r="A94" t="s">
        <v>180</v>
      </c>
      <c r="B94" s="5">
        <v>46186</v>
      </c>
      <c r="C94" t="s">
        <v>53</v>
      </c>
      <c r="D94" t="s">
        <v>54</v>
      </c>
      <c r="E94" t="s">
        <v>55</v>
      </c>
      <c r="F94" t="s">
        <v>114</v>
      </c>
      <c r="G94" t="s">
        <v>32</v>
      </c>
      <c r="H94">
        <v>108</v>
      </c>
      <c r="I94">
        <v>116</v>
      </c>
      <c r="J94">
        <v>5</v>
      </c>
      <c r="K94">
        <v>4.8</v>
      </c>
      <c r="L94">
        <v>17709.61</v>
      </c>
      <c r="M94">
        <v>4.09</v>
      </c>
      <c r="N94">
        <v>89.98</v>
      </c>
      <c r="O94">
        <v>177</v>
      </c>
      <c r="P94" s="5">
        <v>46188</v>
      </c>
      <c r="Q94" s="5">
        <v>46189</v>
      </c>
      <c r="R94" t="s">
        <v>25</v>
      </c>
      <c r="S94" t="s">
        <v>51</v>
      </c>
    </row>
    <row r="95" spans="1:19" x14ac:dyDescent="0.25">
      <c r="A95" t="s">
        <v>182</v>
      </c>
      <c r="B95" s="5">
        <v>46114</v>
      </c>
      <c r="C95" t="s">
        <v>20</v>
      </c>
      <c r="D95" t="s">
        <v>21</v>
      </c>
      <c r="E95" t="s">
        <v>90</v>
      </c>
      <c r="F95" t="s">
        <v>106</v>
      </c>
      <c r="G95" t="s">
        <v>32</v>
      </c>
      <c r="H95">
        <v>141</v>
      </c>
      <c r="I95">
        <v>145</v>
      </c>
      <c r="J95">
        <v>8</v>
      </c>
      <c r="K95">
        <v>6.9</v>
      </c>
      <c r="L95">
        <v>48650.32</v>
      </c>
      <c r="M95">
        <v>2.76</v>
      </c>
      <c r="N95">
        <v>71.760000000000005</v>
      </c>
      <c r="O95">
        <v>187</v>
      </c>
      <c r="P95" s="5">
        <v>46126</v>
      </c>
      <c r="Q95" s="5">
        <v>46126</v>
      </c>
      <c r="R95" t="s">
        <v>100</v>
      </c>
      <c r="S95" t="s">
        <v>51</v>
      </c>
    </row>
    <row r="96" spans="1:19" x14ac:dyDescent="0.25">
      <c r="A96" t="s">
        <v>183</v>
      </c>
      <c r="B96" s="5">
        <v>46057</v>
      </c>
      <c r="C96" t="s">
        <v>20</v>
      </c>
      <c r="D96" t="s">
        <v>21</v>
      </c>
      <c r="E96" t="s">
        <v>66</v>
      </c>
      <c r="F96" t="s">
        <v>64</v>
      </c>
      <c r="G96" t="s">
        <v>24</v>
      </c>
      <c r="H96">
        <v>278</v>
      </c>
      <c r="I96">
        <v>312</v>
      </c>
      <c r="J96">
        <v>2</v>
      </c>
      <c r="K96">
        <v>1.8</v>
      </c>
      <c r="L96">
        <v>123159.7</v>
      </c>
      <c r="M96">
        <v>7.98</v>
      </c>
      <c r="N96">
        <v>175.56</v>
      </c>
      <c r="O96">
        <v>369</v>
      </c>
      <c r="P96" s="5">
        <v>46065</v>
      </c>
      <c r="Q96" s="5">
        <v>46069</v>
      </c>
      <c r="R96" t="s">
        <v>25</v>
      </c>
      <c r="S96" t="s">
        <v>51</v>
      </c>
    </row>
    <row r="97" spans="1:19" x14ac:dyDescent="0.25">
      <c r="A97" t="s">
        <v>184</v>
      </c>
      <c r="B97" s="5">
        <v>46096</v>
      </c>
      <c r="C97" t="s">
        <v>48</v>
      </c>
      <c r="D97" t="s">
        <v>49</v>
      </c>
      <c r="E97" t="s">
        <v>50</v>
      </c>
      <c r="F97" t="s">
        <v>91</v>
      </c>
      <c r="G97" t="s">
        <v>24</v>
      </c>
      <c r="H97">
        <v>301</v>
      </c>
      <c r="I97">
        <v>301</v>
      </c>
      <c r="J97">
        <v>8</v>
      </c>
      <c r="K97">
        <v>7.2</v>
      </c>
      <c r="L97">
        <v>57266.04</v>
      </c>
      <c r="M97">
        <v>8.59</v>
      </c>
      <c r="N97">
        <v>206.16</v>
      </c>
      <c r="O97">
        <v>347</v>
      </c>
      <c r="P97" s="5">
        <v>46100</v>
      </c>
      <c r="Q97" s="5">
        <v>46104</v>
      </c>
      <c r="R97" t="s">
        <v>100</v>
      </c>
      <c r="S97" t="s">
        <v>86</v>
      </c>
    </row>
    <row r="98" spans="1:19" x14ac:dyDescent="0.25">
      <c r="A98" t="s">
        <v>185</v>
      </c>
      <c r="B98" s="5">
        <v>46044</v>
      </c>
      <c r="C98" t="s">
        <v>35</v>
      </c>
      <c r="D98" t="s">
        <v>36</v>
      </c>
      <c r="E98" t="s">
        <v>37</v>
      </c>
      <c r="F98" t="s">
        <v>106</v>
      </c>
      <c r="G98" t="s">
        <v>32</v>
      </c>
      <c r="H98">
        <v>190</v>
      </c>
      <c r="I98">
        <v>186</v>
      </c>
      <c r="J98">
        <v>14</v>
      </c>
      <c r="K98">
        <v>4.9000000000000004</v>
      </c>
      <c r="L98">
        <v>14222.24</v>
      </c>
      <c r="M98">
        <v>6.3</v>
      </c>
      <c r="N98">
        <v>138.6</v>
      </c>
      <c r="O98">
        <v>264</v>
      </c>
      <c r="P98" s="5">
        <v>46055</v>
      </c>
      <c r="Q98" s="5">
        <v>46057</v>
      </c>
      <c r="R98" t="s">
        <v>25</v>
      </c>
      <c r="S98" t="s">
        <v>86</v>
      </c>
    </row>
    <row r="99" spans="1:19" x14ac:dyDescent="0.25">
      <c r="A99" t="s">
        <v>186</v>
      </c>
      <c r="B99" s="5">
        <v>46137</v>
      </c>
      <c r="C99" t="s">
        <v>80</v>
      </c>
      <c r="D99" t="s">
        <v>21</v>
      </c>
      <c r="E99" t="s">
        <v>66</v>
      </c>
      <c r="F99" t="s">
        <v>170</v>
      </c>
      <c r="G99" t="s">
        <v>24</v>
      </c>
      <c r="H99">
        <v>302</v>
      </c>
      <c r="I99">
        <v>335</v>
      </c>
      <c r="J99">
        <v>20</v>
      </c>
      <c r="K99">
        <v>3.9</v>
      </c>
      <c r="L99">
        <v>101152.3</v>
      </c>
      <c r="M99">
        <v>6.49</v>
      </c>
      <c r="N99">
        <v>155.76</v>
      </c>
      <c r="O99">
        <v>355</v>
      </c>
      <c r="P99" s="5">
        <v>46147</v>
      </c>
      <c r="Q99" s="5">
        <v>46147</v>
      </c>
      <c r="R99" t="s">
        <v>25</v>
      </c>
      <c r="S99" t="s">
        <v>72</v>
      </c>
    </row>
    <row r="100" spans="1:19" x14ac:dyDescent="0.25">
      <c r="A100" t="s">
        <v>187</v>
      </c>
      <c r="B100" s="5">
        <v>46031</v>
      </c>
      <c r="C100" t="s">
        <v>43</v>
      </c>
      <c r="D100" t="s">
        <v>44</v>
      </c>
      <c r="E100" t="s">
        <v>93</v>
      </c>
      <c r="F100" t="s">
        <v>170</v>
      </c>
      <c r="G100" t="s">
        <v>24</v>
      </c>
      <c r="H100">
        <v>140</v>
      </c>
      <c r="I100">
        <v>147</v>
      </c>
      <c r="J100">
        <v>5</v>
      </c>
      <c r="K100">
        <v>3.4</v>
      </c>
      <c r="L100">
        <v>18184.5</v>
      </c>
      <c r="M100">
        <v>5.04</v>
      </c>
      <c r="N100">
        <v>110.88</v>
      </c>
      <c r="O100">
        <v>195</v>
      </c>
      <c r="P100" s="5">
        <v>46040</v>
      </c>
      <c r="Q100" s="5">
        <v>46039</v>
      </c>
      <c r="R100" t="s">
        <v>39</v>
      </c>
      <c r="S100" t="s">
        <v>86</v>
      </c>
    </row>
    <row r="101" spans="1:19" x14ac:dyDescent="0.25">
      <c r="A101" t="s">
        <v>188</v>
      </c>
      <c r="B101" s="5">
        <v>46124</v>
      </c>
      <c r="C101" t="s">
        <v>48</v>
      </c>
      <c r="D101" t="s">
        <v>49</v>
      </c>
      <c r="E101" t="s">
        <v>60</v>
      </c>
      <c r="F101" t="s">
        <v>125</v>
      </c>
      <c r="G101" t="s">
        <v>24</v>
      </c>
      <c r="H101">
        <v>151</v>
      </c>
      <c r="I101">
        <v>124</v>
      </c>
      <c r="J101">
        <v>1</v>
      </c>
      <c r="K101">
        <v>6.6</v>
      </c>
      <c r="L101">
        <v>24044.400000000001</v>
      </c>
      <c r="M101">
        <v>3.9</v>
      </c>
      <c r="N101">
        <v>85.8</v>
      </c>
      <c r="O101">
        <v>177</v>
      </c>
      <c r="P101" s="5">
        <v>46133</v>
      </c>
      <c r="Q101" s="5">
        <v>46133</v>
      </c>
      <c r="R101" t="s">
        <v>39</v>
      </c>
      <c r="S101" t="s">
        <v>72</v>
      </c>
    </row>
    <row r="102" spans="1:19" x14ac:dyDescent="0.25">
      <c r="A102" t="s">
        <v>189</v>
      </c>
      <c r="B102" s="5">
        <v>46074</v>
      </c>
      <c r="C102" t="s">
        <v>20</v>
      </c>
      <c r="D102" t="s">
        <v>21</v>
      </c>
      <c r="E102" t="s">
        <v>22</v>
      </c>
      <c r="F102" t="s">
        <v>56</v>
      </c>
      <c r="G102" t="s">
        <v>57</v>
      </c>
      <c r="H102">
        <v>298</v>
      </c>
      <c r="I102">
        <v>224</v>
      </c>
      <c r="J102">
        <v>4</v>
      </c>
      <c r="K102">
        <v>6.4</v>
      </c>
      <c r="L102">
        <v>92638.49</v>
      </c>
      <c r="M102">
        <v>9.23</v>
      </c>
      <c r="N102">
        <v>203.06</v>
      </c>
      <c r="O102">
        <v>346</v>
      </c>
      <c r="P102" s="5">
        <v>46077</v>
      </c>
      <c r="Q102" s="5">
        <v>46077</v>
      </c>
      <c r="R102" t="s">
        <v>25</v>
      </c>
      <c r="S102" t="s">
        <v>51</v>
      </c>
    </row>
    <row r="103" spans="1:19" x14ac:dyDescent="0.25">
      <c r="A103" t="s">
        <v>190</v>
      </c>
      <c r="B103" s="5">
        <v>46115</v>
      </c>
      <c r="C103" t="s">
        <v>28</v>
      </c>
      <c r="D103" t="s">
        <v>29</v>
      </c>
      <c r="E103" t="s">
        <v>63</v>
      </c>
      <c r="F103" t="s">
        <v>125</v>
      </c>
      <c r="G103" t="s">
        <v>32</v>
      </c>
      <c r="H103">
        <v>131</v>
      </c>
      <c r="I103">
        <v>138</v>
      </c>
      <c r="J103">
        <v>3</v>
      </c>
      <c r="K103">
        <v>4.4000000000000004</v>
      </c>
      <c r="L103">
        <v>30546.880000000001</v>
      </c>
      <c r="M103">
        <v>4.03</v>
      </c>
      <c r="N103">
        <v>104.78</v>
      </c>
      <c r="O103">
        <v>124</v>
      </c>
      <c r="P103" s="5">
        <v>46126</v>
      </c>
      <c r="Q103" s="5">
        <v>46125</v>
      </c>
      <c r="R103" t="s">
        <v>25</v>
      </c>
      <c r="S103" t="s">
        <v>72</v>
      </c>
    </row>
    <row r="104" spans="1:19" x14ac:dyDescent="0.25">
      <c r="A104" t="s">
        <v>191</v>
      </c>
      <c r="B104" s="5">
        <v>46157</v>
      </c>
      <c r="C104" t="s">
        <v>35</v>
      </c>
      <c r="D104" t="s">
        <v>36</v>
      </c>
      <c r="E104" t="s">
        <v>69</v>
      </c>
      <c r="F104" t="s">
        <v>67</v>
      </c>
      <c r="G104" t="s">
        <v>57</v>
      </c>
      <c r="H104">
        <v>290</v>
      </c>
      <c r="I104">
        <v>280</v>
      </c>
      <c r="J104">
        <v>4</v>
      </c>
      <c r="K104">
        <v>2.9</v>
      </c>
      <c r="L104">
        <v>21629.09</v>
      </c>
      <c r="M104">
        <v>8.52</v>
      </c>
      <c r="N104">
        <v>170.4</v>
      </c>
      <c r="O104">
        <v>296</v>
      </c>
      <c r="P104" s="5">
        <v>46161</v>
      </c>
      <c r="Q104" s="5">
        <v>46163</v>
      </c>
      <c r="R104" t="s">
        <v>39</v>
      </c>
      <c r="S104" t="s">
        <v>33</v>
      </c>
    </row>
    <row r="105" spans="1:19" x14ac:dyDescent="0.25">
      <c r="A105" t="s">
        <v>192</v>
      </c>
      <c r="B105" s="5">
        <v>46155</v>
      </c>
      <c r="C105" t="s">
        <v>43</v>
      </c>
      <c r="D105" t="s">
        <v>44</v>
      </c>
      <c r="E105" t="s">
        <v>161</v>
      </c>
      <c r="F105" t="s">
        <v>110</v>
      </c>
      <c r="G105" t="s">
        <v>32</v>
      </c>
      <c r="H105">
        <v>122</v>
      </c>
      <c r="I105">
        <v>96</v>
      </c>
      <c r="J105">
        <v>8</v>
      </c>
      <c r="K105">
        <v>2</v>
      </c>
      <c r="L105">
        <v>13160.6</v>
      </c>
      <c r="M105">
        <v>2.38</v>
      </c>
      <c r="N105">
        <v>42.84</v>
      </c>
      <c r="O105">
        <v>146</v>
      </c>
      <c r="P105" s="5">
        <v>46160</v>
      </c>
      <c r="Q105" s="5">
        <v>46160</v>
      </c>
      <c r="R105" t="s">
        <v>25</v>
      </c>
      <c r="S105" t="s">
        <v>26</v>
      </c>
    </row>
    <row r="106" spans="1:19" x14ac:dyDescent="0.25">
      <c r="A106" t="s">
        <v>193</v>
      </c>
      <c r="B106" s="5">
        <v>46159</v>
      </c>
      <c r="C106" t="s">
        <v>20</v>
      </c>
      <c r="D106" t="s">
        <v>21</v>
      </c>
      <c r="E106" t="s">
        <v>66</v>
      </c>
      <c r="F106" t="s">
        <v>110</v>
      </c>
      <c r="G106" t="s">
        <v>24</v>
      </c>
      <c r="H106">
        <v>244</v>
      </c>
      <c r="I106">
        <v>193</v>
      </c>
      <c r="J106">
        <v>17</v>
      </c>
      <c r="K106">
        <v>1.4</v>
      </c>
      <c r="L106">
        <v>69977.55</v>
      </c>
      <c r="M106">
        <v>6.28</v>
      </c>
      <c r="N106">
        <v>163.28</v>
      </c>
      <c r="O106">
        <v>214</v>
      </c>
      <c r="P106" s="5">
        <v>46161</v>
      </c>
      <c r="Q106" s="5">
        <v>46160</v>
      </c>
      <c r="R106" t="s">
        <v>25</v>
      </c>
      <c r="S106" t="s">
        <v>86</v>
      </c>
    </row>
    <row r="107" spans="1:19" x14ac:dyDescent="0.25">
      <c r="A107" t="s">
        <v>194</v>
      </c>
      <c r="B107" s="5">
        <v>46189</v>
      </c>
      <c r="C107" t="s">
        <v>28</v>
      </c>
      <c r="D107" t="s">
        <v>29</v>
      </c>
      <c r="E107" t="s">
        <v>30</v>
      </c>
      <c r="F107" t="s">
        <v>106</v>
      </c>
      <c r="G107" t="s">
        <v>57</v>
      </c>
      <c r="H107">
        <v>186</v>
      </c>
      <c r="I107">
        <v>183</v>
      </c>
      <c r="J107">
        <v>1</v>
      </c>
      <c r="K107">
        <v>8</v>
      </c>
      <c r="L107">
        <v>44135.59</v>
      </c>
      <c r="M107">
        <v>4.62</v>
      </c>
      <c r="N107">
        <v>92.4</v>
      </c>
      <c r="O107">
        <v>249</v>
      </c>
      <c r="P107" s="5">
        <v>46195</v>
      </c>
      <c r="Q107" s="5">
        <v>46199</v>
      </c>
      <c r="R107" t="s">
        <v>25</v>
      </c>
      <c r="S107" t="s">
        <v>51</v>
      </c>
    </row>
    <row r="108" spans="1:19" x14ac:dyDescent="0.25">
      <c r="A108" t="s">
        <v>195</v>
      </c>
      <c r="B108" s="5">
        <v>46135</v>
      </c>
      <c r="C108" t="s">
        <v>35</v>
      </c>
      <c r="D108" t="s">
        <v>36</v>
      </c>
      <c r="E108" t="s">
        <v>69</v>
      </c>
      <c r="F108" t="s">
        <v>23</v>
      </c>
      <c r="G108" t="s">
        <v>32</v>
      </c>
      <c r="H108">
        <v>198</v>
      </c>
      <c r="I108">
        <v>159</v>
      </c>
      <c r="J108">
        <v>9</v>
      </c>
      <c r="K108">
        <v>2.8</v>
      </c>
      <c r="L108">
        <v>16780.849999999999</v>
      </c>
      <c r="M108">
        <v>6.15</v>
      </c>
      <c r="N108">
        <v>147.6</v>
      </c>
      <c r="O108">
        <v>191</v>
      </c>
      <c r="P108" s="5">
        <v>46142</v>
      </c>
      <c r="Q108" s="5">
        <v>46141</v>
      </c>
      <c r="R108" t="s">
        <v>25</v>
      </c>
      <c r="S108" t="s">
        <v>33</v>
      </c>
    </row>
    <row r="109" spans="1:19" x14ac:dyDescent="0.25">
      <c r="A109" t="s">
        <v>196</v>
      </c>
      <c r="B109" s="5">
        <v>46091</v>
      </c>
      <c r="C109" t="s">
        <v>53</v>
      </c>
      <c r="D109" t="s">
        <v>54</v>
      </c>
      <c r="E109" t="s">
        <v>55</v>
      </c>
      <c r="F109" t="s">
        <v>197</v>
      </c>
      <c r="G109" t="s">
        <v>57</v>
      </c>
      <c r="H109">
        <v>116</v>
      </c>
      <c r="I109">
        <v>88</v>
      </c>
      <c r="J109">
        <v>2</v>
      </c>
      <c r="K109">
        <v>3.5</v>
      </c>
      <c r="L109">
        <v>12212.71</v>
      </c>
      <c r="M109">
        <v>3.41</v>
      </c>
      <c r="N109">
        <v>68.2</v>
      </c>
      <c r="O109">
        <v>159</v>
      </c>
      <c r="P109" s="5">
        <v>46102</v>
      </c>
      <c r="Q109" s="5">
        <v>46103</v>
      </c>
      <c r="R109" t="s">
        <v>25</v>
      </c>
      <c r="S109" t="s">
        <v>72</v>
      </c>
    </row>
    <row r="110" spans="1:19" x14ac:dyDescent="0.25">
      <c r="A110" t="s">
        <v>198</v>
      </c>
      <c r="B110" s="5">
        <v>46154</v>
      </c>
      <c r="C110" t="s">
        <v>53</v>
      </c>
      <c r="D110" t="s">
        <v>54</v>
      </c>
      <c r="E110" t="s">
        <v>131</v>
      </c>
      <c r="F110" t="s">
        <v>104</v>
      </c>
      <c r="G110" t="s">
        <v>24</v>
      </c>
      <c r="H110">
        <v>305</v>
      </c>
      <c r="I110">
        <v>260</v>
      </c>
      <c r="J110">
        <v>1</v>
      </c>
      <c r="K110">
        <v>8.5</v>
      </c>
      <c r="L110">
        <v>41870.6</v>
      </c>
      <c r="M110">
        <v>6.02</v>
      </c>
      <c r="N110">
        <v>132.44</v>
      </c>
      <c r="O110">
        <v>277</v>
      </c>
      <c r="P110" s="5">
        <v>46156</v>
      </c>
      <c r="Q110" s="5">
        <v>46156</v>
      </c>
      <c r="R110" t="s">
        <v>100</v>
      </c>
      <c r="S110" t="s">
        <v>72</v>
      </c>
    </row>
    <row r="111" spans="1:19" x14ac:dyDescent="0.25">
      <c r="A111" t="s">
        <v>199</v>
      </c>
      <c r="B111" s="5">
        <v>46096</v>
      </c>
      <c r="C111" t="s">
        <v>80</v>
      </c>
      <c r="D111" t="s">
        <v>21</v>
      </c>
      <c r="E111" t="s">
        <v>22</v>
      </c>
      <c r="F111" t="s">
        <v>46</v>
      </c>
      <c r="G111" t="s">
        <v>24</v>
      </c>
      <c r="H111">
        <v>190</v>
      </c>
      <c r="I111">
        <v>147</v>
      </c>
      <c r="J111">
        <v>4</v>
      </c>
      <c r="K111">
        <v>3.3</v>
      </c>
      <c r="L111">
        <v>33232.639999999999</v>
      </c>
      <c r="M111">
        <v>2.83</v>
      </c>
      <c r="N111">
        <v>73.58</v>
      </c>
      <c r="O111">
        <v>199</v>
      </c>
      <c r="P111" s="5">
        <v>46103</v>
      </c>
      <c r="Q111" s="5">
        <v>46103</v>
      </c>
      <c r="R111" t="s">
        <v>25</v>
      </c>
      <c r="S111" t="s">
        <v>72</v>
      </c>
    </row>
    <row r="112" spans="1:19" x14ac:dyDescent="0.25">
      <c r="A112" t="s">
        <v>200</v>
      </c>
      <c r="B112" s="5">
        <v>46163</v>
      </c>
      <c r="C112" t="s">
        <v>59</v>
      </c>
      <c r="D112" t="s">
        <v>49</v>
      </c>
      <c r="E112" t="s">
        <v>60</v>
      </c>
      <c r="F112" t="s">
        <v>64</v>
      </c>
      <c r="G112" t="s">
        <v>57</v>
      </c>
      <c r="H112">
        <v>254</v>
      </c>
      <c r="I112">
        <v>249</v>
      </c>
      <c r="J112">
        <v>4</v>
      </c>
      <c r="K112">
        <v>0.9</v>
      </c>
      <c r="L112">
        <v>46904.65</v>
      </c>
      <c r="M112">
        <v>7.82</v>
      </c>
      <c r="N112">
        <v>172.04</v>
      </c>
      <c r="O112">
        <v>250</v>
      </c>
      <c r="P112" s="5">
        <v>46168</v>
      </c>
      <c r="Q112" s="5">
        <v>46170</v>
      </c>
      <c r="R112" t="s">
        <v>39</v>
      </c>
      <c r="S112" t="s">
        <v>33</v>
      </c>
    </row>
    <row r="113" spans="1:19" x14ac:dyDescent="0.25">
      <c r="A113" t="s">
        <v>201</v>
      </c>
      <c r="B113" s="5">
        <v>46058</v>
      </c>
      <c r="C113" t="s">
        <v>48</v>
      </c>
      <c r="D113" t="s">
        <v>49</v>
      </c>
      <c r="E113" t="s">
        <v>76</v>
      </c>
      <c r="F113" t="s">
        <v>61</v>
      </c>
      <c r="G113" t="s">
        <v>24</v>
      </c>
      <c r="H113">
        <v>212</v>
      </c>
      <c r="I113">
        <v>194</v>
      </c>
      <c r="J113">
        <v>11</v>
      </c>
      <c r="K113">
        <v>4.5999999999999996</v>
      </c>
      <c r="L113">
        <v>37503.46</v>
      </c>
      <c r="M113">
        <v>4.25</v>
      </c>
      <c r="N113">
        <v>110.5</v>
      </c>
      <c r="O113">
        <v>248</v>
      </c>
      <c r="P113" s="5">
        <v>46069</v>
      </c>
      <c r="Q113" s="5">
        <v>46070</v>
      </c>
      <c r="R113" t="s">
        <v>39</v>
      </c>
      <c r="S113" t="s">
        <v>26</v>
      </c>
    </row>
    <row r="114" spans="1:19" x14ac:dyDescent="0.25">
      <c r="A114" t="s">
        <v>202</v>
      </c>
      <c r="B114" s="5">
        <v>46148</v>
      </c>
      <c r="C114" t="s">
        <v>59</v>
      </c>
      <c r="D114" t="s">
        <v>49</v>
      </c>
      <c r="E114" t="s">
        <v>76</v>
      </c>
      <c r="F114" t="s">
        <v>114</v>
      </c>
      <c r="G114" t="s">
        <v>32</v>
      </c>
      <c r="H114">
        <v>288</v>
      </c>
      <c r="I114">
        <v>209</v>
      </c>
      <c r="J114">
        <v>7</v>
      </c>
      <c r="K114">
        <v>1</v>
      </c>
      <c r="L114">
        <v>33577.39</v>
      </c>
      <c r="M114">
        <v>8.27</v>
      </c>
      <c r="N114">
        <v>148.86000000000001</v>
      </c>
      <c r="O114">
        <v>369</v>
      </c>
      <c r="P114" s="5">
        <v>46154</v>
      </c>
      <c r="Q114" s="5">
        <v>46154</v>
      </c>
      <c r="R114" t="s">
        <v>25</v>
      </c>
      <c r="S114" t="s">
        <v>51</v>
      </c>
    </row>
    <row r="115" spans="1:19" x14ac:dyDescent="0.25">
      <c r="A115" t="s">
        <v>203</v>
      </c>
      <c r="B115" s="5">
        <v>46157</v>
      </c>
      <c r="C115" t="s">
        <v>35</v>
      </c>
      <c r="D115" t="s">
        <v>36</v>
      </c>
      <c r="E115" t="s">
        <v>37</v>
      </c>
      <c r="F115" t="s">
        <v>197</v>
      </c>
      <c r="G115" t="s">
        <v>24</v>
      </c>
      <c r="H115">
        <v>290</v>
      </c>
      <c r="I115">
        <v>293</v>
      </c>
      <c r="J115">
        <v>2</v>
      </c>
      <c r="K115">
        <v>8.5</v>
      </c>
      <c r="L115">
        <v>20202.75</v>
      </c>
      <c r="M115">
        <v>7.48</v>
      </c>
      <c r="N115">
        <v>149.6</v>
      </c>
      <c r="O115">
        <v>355</v>
      </c>
      <c r="P115" s="5">
        <v>46162</v>
      </c>
      <c r="Q115" s="5">
        <v>46164</v>
      </c>
      <c r="R115" t="s">
        <v>39</v>
      </c>
      <c r="S115" t="s">
        <v>72</v>
      </c>
    </row>
    <row r="116" spans="1:19" x14ac:dyDescent="0.25">
      <c r="A116" t="s">
        <v>204</v>
      </c>
      <c r="B116" s="5">
        <v>46038</v>
      </c>
      <c r="C116" t="s">
        <v>43</v>
      </c>
      <c r="D116" t="s">
        <v>44</v>
      </c>
      <c r="E116" t="s">
        <v>45</v>
      </c>
      <c r="F116" t="s">
        <v>104</v>
      </c>
      <c r="G116" t="s">
        <v>32</v>
      </c>
      <c r="H116">
        <v>133</v>
      </c>
      <c r="I116">
        <v>127</v>
      </c>
      <c r="J116">
        <v>12</v>
      </c>
      <c r="K116">
        <v>4.3</v>
      </c>
      <c r="L116">
        <v>16000.94</v>
      </c>
      <c r="M116">
        <v>3.69</v>
      </c>
      <c r="N116">
        <v>95.94</v>
      </c>
      <c r="O116">
        <v>180</v>
      </c>
      <c r="P116" s="5">
        <v>46048</v>
      </c>
      <c r="Q116" s="5">
        <v>46049</v>
      </c>
      <c r="R116" t="s">
        <v>25</v>
      </c>
      <c r="S116" t="s">
        <v>51</v>
      </c>
    </row>
    <row r="117" spans="1:19" x14ac:dyDescent="0.25">
      <c r="A117" t="s">
        <v>205</v>
      </c>
      <c r="B117" s="5">
        <v>46086</v>
      </c>
      <c r="C117" t="s">
        <v>59</v>
      </c>
      <c r="D117" t="s">
        <v>49</v>
      </c>
      <c r="E117" t="s">
        <v>60</v>
      </c>
      <c r="F117" t="s">
        <v>71</v>
      </c>
      <c r="G117" t="s">
        <v>24</v>
      </c>
      <c r="H117">
        <v>156</v>
      </c>
      <c r="I117">
        <v>127</v>
      </c>
      <c r="J117">
        <v>11</v>
      </c>
      <c r="K117">
        <v>2.7</v>
      </c>
      <c r="L117">
        <v>18886.86</v>
      </c>
      <c r="M117">
        <v>4.43</v>
      </c>
      <c r="N117">
        <v>97.46</v>
      </c>
      <c r="O117">
        <v>238</v>
      </c>
      <c r="P117" s="5">
        <v>46093</v>
      </c>
      <c r="Q117" s="5">
        <v>46093</v>
      </c>
      <c r="R117" t="s">
        <v>25</v>
      </c>
      <c r="S117" t="s">
        <v>26</v>
      </c>
    </row>
    <row r="118" spans="1:19" x14ac:dyDescent="0.25">
      <c r="A118" t="s">
        <v>206</v>
      </c>
      <c r="B118" s="5">
        <v>46120</v>
      </c>
      <c r="C118" t="s">
        <v>35</v>
      </c>
      <c r="D118" t="s">
        <v>36</v>
      </c>
      <c r="E118" t="s">
        <v>69</v>
      </c>
      <c r="F118" t="s">
        <v>122</v>
      </c>
      <c r="G118" t="s">
        <v>24</v>
      </c>
      <c r="H118">
        <v>277</v>
      </c>
      <c r="I118">
        <v>295</v>
      </c>
      <c r="J118">
        <v>9</v>
      </c>
      <c r="K118">
        <v>2.6</v>
      </c>
      <c r="L118">
        <v>28052.74</v>
      </c>
      <c r="M118">
        <v>8.44</v>
      </c>
      <c r="N118">
        <v>185.68</v>
      </c>
      <c r="O118">
        <v>359</v>
      </c>
      <c r="P118" s="5">
        <v>46125</v>
      </c>
      <c r="Q118" s="5">
        <v>46125</v>
      </c>
      <c r="R118" t="s">
        <v>39</v>
      </c>
      <c r="S118" t="s">
        <v>86</v>
      </c>
    </row>
    <row r="119" spans="1:19" x14ac:dyDescent="0.25">
      <c r="A119" t="s">
        <v>207</v>
      </c>
      <c r="B119" s="5">
        <v>46058</v>
      </c>
      <c r="C119" t="s">
        <v>20</v>
      </c>
      <c r="D119" t="s">
        <v>21</v>
      </c>
      <c r="E119" t="s">
        <v>66</v>
      </c>
      <c r="F119" t="s">
        <v>135</v>
      </c>
      <c r="G119" t="s">
        <v>24</v>
      </c>
      <c r="H119">
        <v>269</v>
      </c>
      <c r="I119">
        <v>261</v>
      </c>
      <c r="J119">
        <v>7</v>
      </c>
      <c r="K119">
        <v>6</v>
      </c>
      <c r="L119">
        <v>88625.8</v>
      </c>
      <c r="M119">
        <v>5.03</v>
      </c>
      <c r="N119">
        <v>120.72</v>
      </c>
      <c r="O119">
        <v>313</v>
      </c>
      <c r="P119" s="5">
        <v>46067</v>
      </c>
      <c r="Q119" s="5">
        <v>46066</v>
      </c>
      <c r="R119" t="s">
        <v>25</v>
      </c>
      <c r="S119" t="s">
        <v>51</v>
      </c>
    </row>
    <row r="120" spans="1:19" x14ac:dyDescent="0.25">
      <c r="A120" t="s">
        <v>208</v>
      </c>
      <c r="B120" s="5">
        <v>46127</v>
      </c>
      <c r="C120" t="s">
        <v>53</v>
      </c>
      <c r="D120" t="s">
        <v>54</v>
      </c>
      <c r="E120" t="s">
        <v>131</v>
      </c>
      <c r="F120" t="s">
        <v>77</v>
      </c>
      <c r="G120" t="s">
        <v>57</v>
      </c>
      <c r="H120">
        <v>246</v>
      </c>
      <c r="I120">
        <v>198</v>
      </c>
      <c r="J120">
        <v>18</v>
      </c>
      <c r="K120">
        <v>2.9</v>
      </c>
      <c r="L120">
        <v>33026.879999999997</v>
      </c>
      <c r="M120">
        <v>3.99</v>
      </c>
      <c r="N120">
        <v>103.74</v>
      </c>
      <c r="O120">
        <v>265</v>
      </c>
      <c r="P120" s="5">
        <v>46137</v>
      </c>
      <c r="Q120" s="5">
        <v>46135</v>
      </c>
      <c r="R120" t="s">
        <v>25</v>
      </c>
      <c r="S120" t="s">
        <v>33</v>
      </c>
    </row>
    <row r="121" spans="1:19" x14ac:dyDescent="0.25">
      <c r="A121" t="s">
        <v>209</v>
      </c>
      <c r="B121" s="5">
        <v>46124</v>
      </c>
      <c r="C121" t="s">
        <v>53</v>
      </c>
      <c r="D121" t="s">
        <v>54</v>
      </c>
      <c r="E121" t="s">
        <v>55</v>
      </c>
      <c r="F121" t="s">
        <v>56</v>
      </c>
      <c r="G121" t="s">
        <v>24</v>
      </c>
      <c r="H121">
        <v>319</v>
      </c>
      <c r="I121">
        <v>332</v>
      </c>
      <c r="J121">
        <v>27</v>
      </c>
      <c r="K121">
        <v>2.6</v>
      </c>
      <c r="L121">
        <v>37402.17</v>
      </c>
      <c r="M121">
        <v>10.78</v>
      </c>
      <c r="N121">
        <v>237.16</v>
      </c>
      <c r="O121">
        <v>351</v>
      </c>
      <c r="P121" s="5">
        <v>46133</v>
      </c>
      <c r="Q121" s="5">
        <v>46137</v>
      </c>
      <c r="R121" t="s">
        <v>25</v>
      </c>
      <c r="S121" t="s">
        <v>72</v>
      </c>
    </row>
    <row r="122" spans="1:19" x14ac:dyDescent="0.25">
      <c r="A122" t="s">
        <v>210</v>
      </c>
      <c r="B122" s="5">
        <v>46092</v>
      </c>
      <c r="C122" t="s">
        <v>28</v>
      </c>
      <c r="D122" t="s">
        <v>29</v>
      </c>
      <c r="E122" t="s">
        <v>63</v>
      </c>
      <c r="F122" t="s">
        <v>85</v>
      </c>
      <c r="G122" t="s">
        <v>32</v>
      </c>
      <c r="H122">
        <v>164</v>
      </c>
      <c r="I122">
        <v>129</v>
      </c>
      <c r="J122">
        <v>5</v>
      </c>
      <c r="K122">
        <v>2.2999999999999998</v>
      </c>
      <c r="L122">
        <v>27815.05</v>
      </c>
      <c r="M122">
        <v>4.7699999999999996</v>
      </c>
      <c r="N122">
        <v>124.02</v>
      </c>
      <c r="O122">
        <v>173</v>
      </c>
      <c r="P122" s="5">
        <v>46096</v>
      </c>
      <c r="Q122" s="5">
        <v>46098</v>
      </c>
      <c r="R122" t="s">
        <v>100</v>
      </c>
      <c r="S122" t="s">
        <v>33</v>
      </c>
    </row>
    <row r="123" spans="1:19" x14ac:dyDescent="0.25">
      <c r="A123" t="s">
        <v>211</v>
      </c>
      <c r="B123" s="5">
        <v>46125</v>
      </c>
      <c r="C123" t="s">
        <v>20</v>
      </c>
      <c r="D123" t="s">
        <v>21</v>
      </c>
      <c r="E123" t="s">
        <v>22</v>
      </c>
      <c r="F123" t="s">
        <v>110</v>
      </c>
      <c r="G123" t="s">
        <v>32</v>
      </c>
      <c r="H123">
        <v>115</v>
      </c>
      <c r="I123">
        <v>106</v>
      </c>
      <c r="J123">
        <v>9</v>
      </c>
      <c r="K123">
        <v>0.1</v>
      </c>
      <c r="L123">
        <v>32420.3</v>
      </c>
      <c r="M123">
        <v>2.59</v>
      </c>
      <c r="N123">
        <v>56.98</v>
      </c>
      <c r="O123">
        <v>152</v>
      </c>
      <c r="P123" s="5">
        <v>46136</v>
      </c>
      <c r="Q123" s="5">
        <v>46134</v>
      </c>
      <c r="R123" t="s">
        <v>25</v>
      </c>
      <c r="S123" t="s">
        <v>51</v>
      </c>
    </row>
    <row r="124" spans="1:19" x14ac:dyDescent="0.25">
      <c r="A124" t="s">
        <v>212</v>
      </c>
      <c r="B124" s="5">
        <v>46038</v>
      </c>
      <c r="C124" t="s">
        <v>20</v>
      </c>
      <c r="D124" t="s">
        <v>21</v>
      </c>
      <c r="E124" t="s">
        <v>90</v>
      </c>
      <c r="F124" t="s">
        <v>170</v>
      </c>
      <c r="G124" t="s">
        <v>32</v>
      </c>
      <c r="H124">
        <v>158</v>
      </c>
      <c r="I124">
        <v>124</v>
      </c>
      <c r="J124">
        <v>8</v>
      </c>
      <c r="K124">
        <v>8.3000000000000007</v>
      </c>
      <c r="L124">
        <v>49069.73</v>
      </c>
      <c r="M124">
        <v>4.29</v>
      </c>
      <c r="N124">
        <v>94.38</v>
      </c>
      <c r="O124">
        <v>212</v>
      </c>
      <c r="P124" s="5">
        <v>46049</v>
      </c>
      <c r="Q124" s="5">
        <v>46049</v>
      </c>
      <c r="R124" t="s">
        <v>25</v>
      </c>
      <c r="S124" t="s">
        <v>51</v>
      </c>
    </row>
    <row r="125" spans="1:19" x14ac:dyDescent="0.25">
      <c r="A125" t="s">
        <v>213</v>
      </c>
      <c r="B125" s="5">
        <v>46139</v>
      </c>
      <c r="C125" t="s">
        <v>48</v>
      </c>
      <c r="D125" t="s">
        <v>49</v>
      </c>
      <c r="E125" t="s">
        <v>76</v>
      </c>
      <c r="F125" t="s">
        <v>106</v>
      </c>
      <c r="G125" t="s">
        <v>32</v>
      </c>
      <c r="H125">
        <v>259</v>
      </c>
      <c r="I125">
        <v>247</v>
      </c>
      <c r="J125">
        <v>11</v>
      </c>
      <c r="K125">
        <v>4.8</v>
      </c>
      <c r="L125">
        <v>48380.25</v>
      </c>
      <c r="M125">
        <v>5.91</v>
      </c>
      <c r="N125">
        <v>153.66</v>
      </c>
      <c r="O125">
        <v>239</v>
      </c>
      <c r="P125" s="5">
        <v>46149</v>
      </c>
      <c r="Q125" s="5">
        <v>46153</v>
      </c>
      <c r="R125" t="s">
        <v>39</v>
      </c>
      <c r="S125" t="s">
        <v>33</v>
      </c>
    </row>
    <row r="126" spans="1:19" x14ac:dyDescent="0.25">
      <c r="A126" t="s">
        <v>214</v>
      </c>
      <c r="B126" s="5">
        <v>46167</v>
      </c>
      <c r="C126" t="s">
        <v>20</v>
      </c>
      <c r="D126" t="s">
        <v>21</v>
      </c>
      <c r="E126" t="s">
        <v>22</v>
      </c>
      <c r="F126" t="s">
        <v>38</v>
      </c>
      <c r="G126" t="s">
        <v>24</v>
      </c>
      <c r="H126">
        <v>292</v>
      </c>
      <c r="I126">
        <v>279</v>
      </c>
      <c r="J126">
        <v>14</v>
      </c>
      <c r="K126">
        <v>5.2</v>
      </c>
      <c r="L126">
        <v>75331.100000000006</v>
      </c>
      <c r="M126">
        <v>8.51</v>
      </c>
      <c r="N126">
        <v>153.18</v>
      </c>
      <c r="O126">
        <v>304</v>
      </c>
      <c r="P126" s="5">
        <v>46178</v>
      </c>
      <c r="Q126" s="5">
        <v>46182</v>
      </c>
      <c r="R126" t="s">
        <v>25</v>
      </c>
      <c r="S126" t="s">
        <v>72</v>
      </c>
    </row>
    <row r="127" spans="1:19" x14ac:dyDescent="0.25">
      <c r="A127" t="s">
        <v>215</v>
      </c>
      <c r="B127" s="5">
        <v>46037</v>
      </c>
      <c r="C127" t="s">
        <v>53</v>
      </c>
      <c r="D127" t="s">
        <v>54</v>
      </c>
      <c r="E127" t="s">
        <v>55</v>
      </c>
      <c r="F127" t="s">
        <v>77</v>
      </c>
      <c r="G127" t="s">
        <v>32</v>
      </c>
      <c r="H127">
        <v>211</v>
      </c>
      <c r="I127">
        <v>189</v>
      </c>
      <c r="J127">
        <v>10</v>
      </c>
      <c r="K127">
        <v>5</v>
      </c>
      <c r="L127">
        <v>27209.84</v>
      </c>
      <c r="M127">
        <v>3.5</v>
      </c>
      <c r="N127">
        <v>77</v>
      </c>
      <c r="O127">
        <v>171</v>
      </c>
      <c r="P127" s="5">
        <v>46042</v>
      </c>
      <c r="Q127" s="5">
        <v>46041</v>
      </c>
      <c r="R127" t="s">
        <v>25</v>
      </c>
      <c r="S127" t="s">
        <v>33</v>
      </c>
    </row>
    <row r="128" spans="1:19" x14ac:dyDescent="0.25">
      <c r="A128" t="s">
        <v>216</v>
      </c>
      <c r="B128" s="5">
        <v>46161</v>
      </c>
      <c r="C128" t="s">
        <v>80</v>
      </c>
      <c r="D128" t="s">
        <v>21</v>
      </c>
      <c r="E128" t="s">
        <v>22</v>
      </c>
      <c r="F128" t="s">
        <v>46</v>
      </c>
      <c r="G128" t="s">
        <v>57</v>
      </c>
      <c r="H128">
        <v>319</v>
      </c>
      <c r="I128">
        <v>294</v>
      </c>
      <c r="J128">
        <v>9</v>
      </c>
      <c r="K128">
        <v>1.6</v>
      </c>
      <c r="L128">
        <v>70699.789999999994</v>
      </c>
      <c r="M128">
        <v>10.44</v>
      </c>
      <c r="N128">
        <v>250.56</v>
      </c>
      <c r="O128">
        <v>374</v>
      </c>
      <c r="P128" s="5">
        <v>46169</v>
      </c>
      <c r="Q128" s="5">
        <v>46173</v>
      </c>
      <c r="R128" t="s">
        <v>100</v>
      </c>
      <c r="S128" t="s">
        <v>26</v>
      </c>
    </row>
    <row r="129" spans="1:19" x14ac:dyDescent="0.25">
      <c r="A129" t="s">
        <v>217</v>
      </c>
      <c r="B129" s="5">
        <v>46057</v>
      </c>
      <c r="C129" t="s">
        <v>48</v>
      </c>
      <c r="D129" t="s">
        <v>49</v>
      </c>
      <c r="E129" t="s">
        <v>50</v>
      </c>
      <c r="F129" t="s">
        <v>46</v>
      </c>
      <c r="G129" t="s">
        <v>57</v>
      </c>
      <c r="H129">
        <v>125</v>
      </c>
      <c r="I129">
        <v>143</v>
      </c>
      <c r="J129">
        <v>5</v>
      </c>
      <c r="K129">
        <v>1.1000000000000001</v>
      </c>
      <c r="L129">
        <v>36538.959999999999</v>
      </c>
      <c r="M129">
        <v>5.17</v>
      </c>
      <c r="N129">
        <v>113.74</v>
      </c>
      <c r="O129">
        <v>203</v>
      </c>
      <c r="P129" s="5">
        <v>46069</v>
      </c>
      <c r="Q129" s="5">
        <v>46071</v>
      </c>
      <c r="R129" t="s">
        <v>39</v>
      </c>
      <c r="S129" t="s">
        <v>51</v>
      </c>
    </row>
    <row r="130" spans="1:19" x14ac:dyDescent="0.25">
      <c r="A130" t="s">
        <v>218</v>
      </c>
      <c r="B130" s="5">
        <v>46140</v>
      </c>
      <c r="C130" t="s">
        <v>48</v>
      </c>
      <c r="D130" t="s">
        <v>49</v>
      </c>
      <c r="E130" t="s">
        <v>50</v>
      </c>
      <c r="F130" t="s">
        <v>104</v>
      </c>
      <c r="G130" t="s">
        <v>57</v>
      </c>
      <c r="H130">
        <v>150</v>
      </c>
      <c r="I130">
        <v>120</v>
      </c>
      <c r="J130">
        <v>10</v>
      </c>
      <c r="K130">
        <v>6.9</v>
      </c>
      <c r="L130">
        <v>20816.919999999998</v>
      </c>
      <c r="M130">
        <v>3.93</v>
      </c>
      <c r="N130">
        <v>70.739999999999995</v>
      </c>
      <c r="O130">
        <v>171</v>
      </c>
      <c r="P130" s="5">
        <v>46145</v>
      </c>
      <c r="Q130" s="5">
        <v>46144</v>
      </c>
      <c r="R130" t="s">
        <v>25</v>
      </c>
      <c r="S130" t="s">
        <v>72</v>
      </c>
    </row>
    <row r="131" spans="1:19" x14ac:dyDescent="0.25">
      <c r="A131" t="s">
        <v>219</v>
      </c>
      <c r="B131" s="5">
        <v>46176</v>
      </c>
      <c r="C131" t="s">
        <v>80</v>
      </c>
      <c r="D131" t="s">
        <v>21</v>
      </c>
      <c r="E131" t="s">
        <v>22</v>
      </c>
      <c r="F131" t="s">
        <v>104</v>
      </c>
      <c r="G131" t="s">
        <v>24</v>
      </c>
      <c r="H131">
        <v>269</v>
      </c>
      <c r="I131">
        <v>198</v>
      </c>
      <c r="J131">
        <v>8</v>
      </c>
      <c r="K131">
        <v>4.9000000000000004</v>
      </c>
      <c r="L131">
        <v>61902.75</v>
      </c>
      <c r="M131">
        <v>4.2300000000000004</v>
      </c>
      <c r="N131">
        <v>93.06</v>
      </c>
      <c r="O131">
        <v>288</v>
      </c>
      <c r="P131" s="5">
        <v>46187</v>
      </c>
      <c r="Q131" s="5">
        <v>46188</v>
      </c>
      <c r="R131" t="s">
        <v>39</v>
      </c>
    </row>
    <row r="132" spans="1:19" x14ac:dyDescent="0.25">
      <c r="A132" t="s">
        <v>220</v>
      </c>
      <c r="B132" s="5">
        <v>46083</v>
      </c>
      <c r="C132" t="s">
        <v>59</v>
      </c>
      <c r="D132" t="s">
        <v>49</v>
      </c>
      <c r="E132" t="s">
        <v>50</v>
      </c>
      <c r="F132" t="s">
        <v>91</v>
      </c>
      <c r="G132" t="s">
        <v>24</v>
      </c>
      <c r="H132">
        <v>249</v>
      </c>
      <c r="I132">
        <v>235</v>
      </c>
      <c r="J132">
        <v>9</v>
      </c>
      <c r="K132">
        <v>2.5</v>
      </c>
      <c r="L132">
        <v>42902.43</v>
      </c>
      <c r="M132">
        <v>8.3800000000000008</v>
      </c>
      <c r="N132">
        <v>167.6</v>
      </c>
      <c r="O132">
        <v>318</v>
      </c>
      <c r="P132" s="5">
        <v>46093</v>
      </c>
      <c r="Q132" s="5">
        <v>46097</v>
      </c>
      <c r="R132" t="s">
        <v>25</v>
      </c>
      <c r="S132" t="s">
        <v>72</v>
      </c>
    </row>
    <row r="133" spans="1:19" x14ac:dyDescent="0.25">
      <c r="A133" t="s">
        <v>221</v>
      </c>
      <c r="B133" s="5">
        <v>46157</v>
      </c>
      <c r="C133" t="s">
        <v>48</v>
      </c>
      <c r="D133" t="s">
        <v>49</v>
      </c>
      <c r="E133" t="s">
        <v>60</v>
      </c>
      <c r="F133" t="s">
        <v>137</v>
      </c>
      <c r="G133" t="s">
        <v>24</v>
      </c>
      <c r="H133">
        <v>186</v>
      </c>
      <c r="I133">
        <v>166</v>
      </c>
      <c r="J133">
        <v>5</v>
      </c>
      <c r="K133">
        <v>1.7</v>
      </c>
      <c r="L133">
        <v>31323.47</v>
      </c>
      <c r="M133">
        <v>3.89</v>
      </c>
      <c r="N133">
        <v>77.8</v>
      </c>
      <c r="O133">
        <v>264</v>
      </c>
      <c r="P133" s="5">
        <v>46159</v>
      </c>
      <c r="Q133" s="5">
        <v>46161</v>
      </c>
      <c r="R133" t="s">
        <v>100</v>
      </c>
      <c r="S133" t="s">
        <v>51</v>
      </c>
    </row>
    <row r="134" spans="1:19" x14ac:dyDescent="0.25">
      <c r="A134" t="s">
        <v>222</v>
      </c>
      <c r="B134" s="5">
        <v>46122</v>
      </c>
      <c r="C134" t="s">
        <v>28</v>
      </c>
      <c r="D134" t="s">
        <v>29</v>
      </c>
      <c r="E134" t="s">
        <v>95</v>
      </c>
      <c r="F134" t="s">
        <v>31</v>
      </c>
      <c r="G134" t="s">
        <v>24</v>
      </c>
      <c r="H134">
        <v>132</v>
      </c>
      <c r="I134">
        <v>113</v>
      </c>
      <c r="J134">
        <v>1</v>
      </c>
      <c r="K134">
        <v>4</v>
      </c>
      <c r="L134">
        <v>24867.9</v>
      </c>
      <c r="M134">
        <v>4.28</v>
      </c>
      <c r="N134">
        <v>77.040000000000006</v>
      </c>
      <c r="O134">
        <v>160</v>
      </c>
      <c r="P134" s="5">
        <v>46130</v>
      </c>
      <c r="Q134" s="5">
        <v>46128</v>
      </c>
      <c r="R134" t="s">
        <v>25</v>
      </c>
      <c r="S134" t="s">
        <v>26</v>
      </c>
    </row>
    <row r="135" spans="1:19" x14ac:dyDescent="0.25">
      <c r="A135" t="s">
        <v>223</v>
      </c>
      <c r="B135" s="5">
        <v>46078</v>
      </c>
      <c r="C135" t="s">
        <v>53</v>
      </c>
      <c r="D135" t="s">
        <v>54</v>
      </c>
      <c r="E135" t="s">
        <v>55</v>
      </c>
      <c r="F135" t="s">
        <v>67</v>
      </c>
      <c r="G135" t="s">
        <v>57</v>
      </c>
      <c r="H135">
        <v>302</v>
      </c>
      <c r="I135">
        <v>335</v>
      </c>
      <c r="J135">
        <v>10</v>
      </c>
      <c r="K135">
        <v>8.1999999999999993</v>
      </c>
      <c r="L135">
        <v>39337.49</v>
      </c>
      <c r="M135">
        <v>11.99</v>
      </c>
      <c r="N135">
        <v>287.76</v>
      </c>
      <c r="O135">
        <v>324</v>
      </c>
      <c r="P135" s="5">
        <v>46089</v>
      </c>
      <c r="Q135" s="5">
        <v>46089</v>
      </c>
      <c r="R135" t="s">
        <v>100</v>
      </c>
      <c r="S135" t="s">
        <v>26</v>
      </c>
    </row>
    <row r="136" spans="1:19" x14ac:dyDescent="0.25">
      <c r="A136" t="s">
        <v>224</v>
      </c>
      <c r="B136" s="5">
        <v>46105</v>
      </c>
      <c r="C136" t="s">
        <v>59</v>
      </c>
      <c r="D136" t="s">
        <v>49</v>
      </c>
      <c r="E136" t="s">
        <v>76</v>
      </c>
      <c r="F136" t="s">
        <v>77</v>
      </c>
      <c r="G136" t="s">
        <v>57</v>
      </c>
      <c r="H136">
        <v>199</v>
      </c>
      <c r="I136">
        <v>188</v>
      </c>
      <c r="J136">
        <v>7</v>
      </c>
      <c r="K136">
        <v>2.4</v>
      </c>
      <c r="L136">
        <v>32956.93</v>
      </c>
      <c r="M136">
        <v>3.83</v>
      </c>
      <c r="N136">
        <v>91.92</v>
      </c>
      <c r="O136">
        <v>240</v>
      </c>
      <c r="P136" s="5">
        <v>46110</v>
      </c>
      <c r="Q136" s="5">
        <v>46111</v>
      </c>
      <c r="R136" t="s">
        <v>25</v>
      </c>
      <c r="S136" t="s">
        <v>26</v>
      </c>
    </row>
    <row r="137" spans="1:19" x14ac:dyDescent="0.25">
      <c r="A137" t="s">
        <v>225</v>
      </c>
      <c r="B137" s="5">
        <v>46079</v>
      </c>
      <c r="C137" t="s">
        <v>43</v>
      </c>
      <c r="D137" t="s">
        <v>44</v>
      </c>
      <c r="E137" t="s">
        <v>93</v>
      </c>
      <c r="F137" t="s">
        <v>197</v>
      </c>
      <c r="G137" t="s">
        <v>32</v>
      </c>
      <c r="H137">
        <v>146</v>
      </c>
      <c r="I137">
        <v>139</v>
      </c>
      <c r="J137">
        <v>8</v>
      </c>
      <c r="K137">
        <v>6.5</v>
      </c>
      <c r="L137">
        <v>13894.88</v>
      </c>
      <c r="M137">
        <v>3.27</v>
      </c>
      <c r="N137">
        <v>85.02</v>
      </c>
      <c r="O137">
        <v>168</v>
      </c>
      <c r="P137" s="5">
        <v>46088</v>
      </c>
      <c r="Q137" s="5">
        <v>46089</v>
      </c>
      <c r="R137" t="s">
        <v>25</v>
      </c>
      <c r="S137" t="s">
        <v>72</v>
      </c>
    </row>
    <row r="138" spans="1:19" x14ac:dyDescent="0.25">
      <c r="A138" t="s">
        <v>226</v>
      </c>
      <c r="B138" s="5">
        <v>46140</v>
      </c>
      <c r="C138" t="s">
        <v>43</v>
      </c>
      <c r="D138" t="s">
        <v>44</v>
      </c>
      <c r="E138" t="s">
        <v>45</v>
      </c>
      <c r="F138" t="s">
        <v>197</v>
      </c>
      <c r="G138" t="s">
        <v>57</v>
      </c>
      <c r="H138">
        <v>283</v>
      </c>
      <c r="I138">
        <v>246</v>
      </c>
      <c r="J138">
        <v>4</v>
      </c>
      <c r="K138">
        <v>4.9000000000000004</v>
      </c>
      <c r="L138">
        <v>28281.57</v>
      </c>
      <c r="M138">
        <v>10.27</v>
      </c>
      <c r="N138">
        <v>184.86</v>
      </c>
      <c r="O138">
        <v>377</v>
      </c>
      <c r="P138" s="5">
        <v>46142</v>
      </c>
      <c r="Q138" s="5">
        <v>46141</v>
      </c>
      <c r="R138" t="s">
        <v>25</v>
      </c>
      <c r="S138" t="s">
        <v>72</v>
      </c>
    </row>
    <row r="139" spans="1:19" x14ac:dyDescent="0.25">
      <c r="A139" t="s">
        <v>227</v>
      </c>
      <c r="B139" s="5">
        <v>46058</v>
      </c>
      <c r="C139" t="s">
        <v>28</v>
      </c>
      <c r="D139" t="s">
        <v>29</v>
      </c>
      <c r="E139" t="s">
        <v>63</v>
      </c>
      <c r="F139" t="s">
        <v>137</v>
      </c>
      <c r="G139" t="s">
        <v>32</v>
      </c>
      <c r="H139">
        <v>261</v>
      </c>
      <c r="I139">
        <v>204</v>
      </c>
      <c r="J139">
        <v>5</v>
      </c>
      <c r="K139">
        <v>4.0999999999999996</v>
      </c>
      <c r="L139">
        <v>40702.49</v>
      </c>
      <c r="M139">
        <v>8.24</v>
      </c>
      <c r="N139">
        <v>197.76</v>
      </c>
      <c r="O139">
        <v>345</v>
      </c>
      <c r="P139" s="5">
        <v>46060</v>
      </c>
      <c r="Q139" s="5">
        <v>46058</v>
      </c>
      <c r="R139" t="s">
        <v>39</v>
      </c>
      <c r="S139" t="s">
        <v>33</v>
      </c>
    </row>
    <row r="140" spans="1:19" x14ac:dyDescent="0.25">
      <c r="A140" t="s">
        <v>228</v>
      </c>
      <c r="B140" s="5">
        <v>46027</v>
      </c>
      <c r="C140" t="s">
        <v>59</v>
      </c>
      <c r="D140" t="s">
        <v>49</v>
      </c>
      <c r="E140" t="s">
        <v>60</v>
      </c>
      <c r="F140" t="s">
        <v>104</v>
      </c>
      <c r="G140" t="s">
        <v>24</v>
      </c>
      <c r="H140">
        <v>153</v>
      </c>
      <c r="I140">
        <v>111</v>
      </c>
      <c r="J140">
        <v>8</v>
      </c>
      <c r="K140">
        <v>6.1</v>
      </c>
      <c r="L140">
        <v>23880.61</v>
      </c>
      <c r="M140">
        <v>2.2799999999999998</v>
      </c>
      <c r="N140">
        <v>41.04</v>
      </c>
      <c r="O140">
        <v>247</v>
      </c>
      <c r="P140" s="5">
        <v>46031</v>
      </c>
      <c r="Q140" s="5">
        <v>46031</v>
      </c>
      <c r="R140" t="s">
        <v>25</v>
      </c>
      <c r="S140" t="s">
        <v>86</v>
      </c>
    </row>
    <row r="141" spans="1:19" x14ac:dyDescent="0.25">
      <c r="A141" t="s">
        <v>229</v>
      </c>
      <c r="B141" s="5">
        <v>46113</v>
      </c>
      <c r="C141" t="s">
        <v>59</v>
      </c>
      <c r="D141" t="s">
        <v>49</v>
      </c>
      <c r="E141" t="s">
        <v>76</v>
      </c>
      <c r="F141" t="s">
        <v>46</v>
      </c>
      <c r="G141" t="s">
        <v>24</v>
      </c>
      <c r="H141">
        <v>100</v>
      </c>
      <c r="I141">
        <v>88</v>
      </c>
      <c r="J141">
        <v>3</v>
      </c>
      <c r="K141">
        <v>5.0999999999999996</v>
      </c>
      <c r="L141">
        <v>16752.16</v>
      </c>
      <c r="M141">
        <v>3.03</v>
      </c>
      <c r="N141">
        <v>54.54</v>
      </c>
      <c r="O141">
        <v>68</v>
      </c>
      <c r="P141" s="5">
        <v>46116</v>
      </c>
      <c r="Q141" s="5">
        <v>46118</v>
      </c>
      <c r="R141" t="s">
        <v>100</v>
      </c>
      <c r="S141" t="s">
        <v>72</v>
      </c>
    </row>
    <row r="142" spans="1:19" x14ac:dyDescent="0.25">
      <c r="A142" t="s">
        <v>230</v>
      </c>
      <c r="B142" s="5">
        <v>46037</v>
      </c>
      <c r="C142" t="s">
        <v>80</v>
      </c>
      <c r="D142" t="s">
        <v>21</v>
      </c>
      <c r="E142" t="s">
        <v>66</v>
      </c>
      <c r="F142" t="s">
        <v>119</v>
      </c>
      <c r="G142" t="s">
        <v>32</v>
      </c>
      <c r="H142">
        <v>123</v>
      </c>
      <c r="I142">
        <v>92</v>
      </c>
      <c r="J142">
        <v>7</v>
      </c>
      <c r="K142">
        <v>5.8</v>
      </c>
      <c r="L142">
        <v>25991.02</v>
      </c>
      <c r="M142">
        <v>3.81</v>
      </c>
      <c r="N142">
        <v>99.06</v>
      </c>
      <c r="O142">
        <v>93</v>
      </c>
      <c r="P142" s="5">
        <v>46042</v>
      </c>
      <c r="Q142" s="5">
        <v>46042</v>
      </c>
      <c r="R142" t="s">
        <v>39</v>
      </c>
      <c r="S142" t="s">
        <v>33</v>
      </c>
    </row>
    <row r="143" spans="1:19" x14ac:dyDescent="0.25">
      <c r="A143" t="s">
        <v>231</v>
      </c>
      <c r="B143" s="5">
        <v>46042</v>
      </c>
      <c r="C143" t="s">
        <v>59</v>
      </c>
      <c r="D143" t="s">
        <v>49</v>
      </c>
      <c r="E143" t="s">
        <v>60</v>
      </c>
      <c r="F143" t="s">
        <v>23</v>
      </c>
      <c r="G143" t="s">
        <v>24</v>
      </c>
      <c r="H143">
        <v>224</v>
      </c>
      <c r="I143">
        <v>224</v>
      </c>
      <c r="J143">
        <v>4</v>
      </c>
      <c r="K143">
        <v>7.7</v>
      </c>
      <c r="L143">
        <v>29763.68</v>
      </c>
      <c r="M143">
        <v>4.8099999999999996</v>
      </c>
      <c r="N143">
        <v>115.44</v>
      </c>
      <c r="O143">
        <v>203</v>
      </c>
      <c r="P143" s="5">
        <v>46048</v>
      </c>
      <c r="Q143" s="5">
        <v>46048</v>
      </c>
      <c r="R143" t="s">
        <v>39</v>
      </c>
      <c r="S143" t="s">
        <v>72</v>
      </c>
    </row>
    <row r="144" spans="1:19" x14ac:dyDescent="0.25">
      <c r="A144" t="s">
        <v>232</v>
      </c>
      <c r="B144" s="5">
        <v>46196</v>
      </c>
      <c r="C144" t="s">
        <v>48</v>
      </c>
      <c r="D144" t="s">
        <v>49</v>
      </c>
      <c r="E144" t="s">
        <v>76</v>
      </c>
      <c r="F144" t="s">
        <v>104</v>
      </c>
      <c r="G144" t="s">
        <v>24</v>
      </c>
      <c r="H144">
        <v>273</v>
      </c>
      <c r="I144">
        <v>283</v>
      </c>
      <c r="J144">
        <v>21</v>
      </c>
      <c r="K144">
        <v>6.2</v>
      </c>
      <c r="L144">
        <v>51171.31</v>
      </c>
      <c r="M144">
        <v>7.44</v>
      </c>
      <c r="N144">
        <v>133.91999999999999</v>
      </c>
      <c r="O144">
        <v>344</v>
      </c>
      <c r="P144" s="5">
        <v>46201</v>
      </c>
      <c r="Q144" s="5">
        <v>46200</v>
      </c>
      <c r="R144" t="s">
        <v>25</v>
      </c>
      <c r="S144" t="s">
        <v>26</v>
      </c>
    </row>
    <row r="145" spans="1:19" x14ac:dyDescent="0.25">
      <c r="A145" t="s">
        <v>233</v>
      </c>
      <c r="B145" s="5">
        <v>46124</v>
      </c>
      <c r="C145" t="s">
        <v>48</v>
      </c>
      <c r="D145" t="s">
        <v>49</v>
      </c>
      <c r="E145" t="s">
        <v>50</v>
      </c>
      <c r="F145" t="s">
        <v>106</v>
      </c>
      <c r="G145" t="s">
        <v>57</v>
      </c>
      <c r="H145">
        <v>242</v>
      </c>
      <c r="I145">
        <v>202</v>
      </c>
      <c r="J145">
        <v>19</v>
      </c>
      <c r="K145">
        <v>4.4000000000000004</v>
      </c>
      <c r="L145">
        <v>42831.89</v>
      </c>
      <c r="M145">
        <v>5.73</v>
      </c>
      <c r="N145">
        <v>148.97999999999999</v>
      </c>
      <c r="O145">
        <v>299</v>
      </c>
      <c r="P145" s="5">
        <v>46127</v>
      </c>
      <c r="Q145" s="5">
        <v>46127</v>
      </c>
      <c r="R145" t="s">
        <v>25</v>
      </c>
      <c r="S145" t="s">
        <v>33</v>
      </c>
    </row>
    <row r="146" spans="1:19" x14ac:dyDescent="0.25">
      <c r="A146" t="s">
        <v>234</v>
      </c>
      <c r="B146" s="5">
        <v>46091</v>
      </c>
      <c r="C146" t="s">
        <v>43</v>
      </c>
      <c r="D146" t="s">
        <v>44</v>
      </c>
      <c r="E146" t="s">
        <v>161</v>
      </c>
      <c r="F146" t="s">
        <v>88</v>
      </c>
      <c r="G146" t="s">
        <v>57</v>
      </c>
      <c r="H146">
        <v>262</v>
      </c>
      <c r="I146">
        <v>276</v>
      </c>
      <c r="J146">
        <v>5</v>
      </c>
      <c r="K146">
        <v>3.5</v>
      </c>
      <c r="L146">
        <v>27429.27</v>
      </c>
      <c r="M146">
        <v>11.21</v>
      </c>
      <c r="N146">
        <v>269.04000000000002</v>
      </c>
      <c r="O146">
        <v>314</v>
      </c>
      <c r="P146" s="5">
        <v>46097</v>
      </c>
      <c r="Q146" s="5">
        <v>46096</v>
      </c>
      <c r="R146" t="s">
        <v>25</v>
      </c>
      <c r="S146" t="s">
        <v>72</v>
      </c>
    </row>
    <row r="147" spans="1:19" x14ac:dyDescent="0.25">
      <c r="A147" t="s">
        <v>235</v>
      </c>
      <c r="B147" s="5">
        <v>46137</v>
      </c>
      <c r="C147" t="s">
        <v>35</v>
      </c>
      <c r="D147" t="s">
        <v>36</v>
      </c>
      <c r="E147" t="s">
        <v>37</v>
      </c>
      <c r="F147" t="s">
        <v>85</v>
      </c>
      <c r="G147" t="s">
        <v>57</v>
      </c>
      <c r="H147">
        <v>86</v>
      </c>
      <c r="I147">
        <v>65</v>
      </c>
      <c r="J147">
        <v>3</v>
      </c>
      <c r="K147">
        <v>5.4</v>
      </c>
      <c r="L147">
        <v>7240.16</v>
      </c>
      <c r="M147">
        <v>1.19</v>
      </c>
      <c r="N147">
        <v>28.56</v>
      </c>
      <c r="O147">
        <v>149</v>
      </c>
      <c r="P147" s="5">
        <v>46140</v>
      </c>
      <c r="Q147" s="5">
        <v>46140</v>
      </c>
      <c r="R147" t="s">
        <v>39</v>
      </c>
      <c r="S147" t="s">
        <v>72</v>
      </c>
    </row>
    <row r="148" spans="1:19" x14ac:dyDescent="0.25">
      <c r="A148" t="s">
        <v>236</v>
      </c>
      <c r="B148" s="5">
        <v>46066</v>
      </c>
      <c r="C148" t="s">
        <v>43</v>
      </c>
      <c r="D148" t="s">
        <v>44</v>
      </c>
      <c r="E148" t="s">
        <v>161</v>
      </c>
      <c r="F148" t="s">
        <v>104</v>
      </c>
      <c r="G148" t="s">
        <v>57</v>
      </c>
      <c r="H148">
        <v>157</v>
      </c>
      <c r="I148">
        <v>131</v>
      </c>
      <c r="J148">
        <v>2</v>
      </c>
      <c r="K148">
        <v>1.5</v>
      </c>
      <c r="L148">
        <v>13389.56</v>
      </c>
      <c r="M148">
        <v>4.82</v>
      </c>
      <c r="N148">
        <v>106.04</v>
      </c>
      <c r="O148">
        <v>181</v>
      </c>
      <c r="P148" s="5">
        <v>46071</v>
      </c>
      <c r="Q148" s="5">
        <v>46075</v>
      </c>
      <c r="R148" t="s">
        <v>39</v>
      </c>
      <c r="S148" t="s">
        <v>72</v>
      </c>
    </row>
    <row r="149" spans="1:19" x14ac:dyDescent="0.25">
      <c r="A149" t="s">
        <v>237</v>
      </c>
      <c r="B149" s="5">
        <v>46050</v>
      </c>
      <c r="C149" t="s">
        <v>43</v>
      </c>
      <c r="D149" t="s">
        <v>44</v>
      </c>
      <c r="E149" t="s">
        <v>161</v>
      </c>
      <c r="F149" t="s">
        <v>106</v>
      </c>
      <c r="G149" t="s">
        <v>57</v>
      </c>
      <c r="H149">
        <v>81</v>
      </c>
      <c r="I149">
        <v>91</v>
      </c>
      <c r="J149">
        <v>3</v>
      </c>
      <c r="K149">
        <v>5.6</v>
      </c>
      <c r="L149">
        <v>11319.21</v>
      </c>
      <c r="M149">
        <v>2.37</v>
      </c>
      <c r="N149">
        <v>61.62</v>
      </c>
      <c r="O149">
        <v>84</v>
      </c>
      <c r="P149" s="5">
        <v>46056</v>
      </c>
      <c r="Q149" s="5">
        <v>46057</v>
      </c>
      <c r="R149" t="s">
        <v>39</v>
      </c>
      <c r="S149" t="s">
        <v>72</v>
      </c>
    </row>
    <row r="150" spans="1:19" x14ac:dyDescent="0.25">
      <c r="A150" t="s">
        <v>238</v>
      </c>
      <c r="B150" s="5">
        <v>46103</v>
      </c>
      <c r="C150" t="s">
        <v>43</v>
      </c>
      <c r="D150" t="s">
        <v>44</v>
      </c>
      <c r="E150" t="s">
        <v>161</v>
      </c>
      <c r="F150" t="s">
        <v>137</v>
      </c>
      <c r="G150" t="s">
        <v>57</v>
      </c>
      <c r="H150">
        <v>161</v>
      </c>
      <c r="I150">
        <v>136</v>
      </c>
      <c r="J150">
        <v>9</v>
      </c>
      <c r="K150">
        <v>4.4000000000000004</v>
      </c>
      <c r="L150">
        <v>15281.23</v>
      </c>
      <c r="M150">
        <v>3.68</v>
      </c>
      <c r="N150">
        <v>88.32</v>
      </c>
      <c r="O150">
        <v>214</v>
      </c>
      <c r="P150" s="5">
        <v>46106</v>
      </c>
      <c r="Q150" s="5">
        <v>46106</v>
      </c>
      <c r="R150" t="s">
        <v>39</v>
      </c>
      <c r="S150" t="s">
        <v>26</v>
      </c>
    </row>
    <row r="151" spans="1:19" x14ac:dyDescent="0.25">
      <c r="A151" t="s">
        <v>239</v>
      </c>
      <c r="B151" s="5">
        <v>46029</v>
      </c>
      <c r="C151" t="s">
        <v>53</v>
      </c>
      <c r="D151" t="s">
        <v>54</v>
      </c>
      <c r="E151" t="s">
        <v>55</v>
      </c>
      <c r="F151" t="s">
        <v>106</v>
      </c>
      <c r="G151" t="s">
        <v>32</v>
      </c>
      <c r="H151">
        <v>192</v>
      </c>
      <c r="I151">
        <v>204</v>
      </c>
      <c r="J151">
        <v>16</v>
      </c>
      <c r="K151">
        <v>0.6</v>
      </c>
      <c r="L151">
        <v>35386.239999999998</v>
      </c>
      <c r="M151">
        <v>6.97</v>
      </c>
      <c r="N151">
        <v>139.4</v>
      </c>
      <c r="O151">
        <v>229</v>
      </c>
      <c r="P151" s="5">
        <v>46034</v>
      </c>
      <c r="Q151" s="5">
        <v>46034</v>
      </c>
      <c r="R151" t="s">
        <v>25</v>
      </c>
      <c r="S151" t="s">
        <v>72</v>
      </c>
    </row>
    <row r="152" spans="1:19" x14ac:dyDescent="0.25">
      <c r="A152" t="s">
        <v>240</v>
      </c>
      <c r="B152" s="5">
        <v>46041</v>
      </c>
      <c r="C152" t="s">
        <v>53</v>
      </c>
      <c r="D152" t="s">
        <v>54</v>
      </c>
      <c r="E152" t="s">
        <v>131</v>
      </c>
      <c r="F152" t="s">
        <v>197</v>
      </c>
      <c r="G152" t="s">
        <v>57</v>
      </c>
      <c r="H152">
        <v>229</v>
      </c>
      <c r="I152">
        <v>204</v>
      </c>
      <c r="J152">
        <v>10</v>
      </c>
      <c r="K152">
        <v>8.3000000000000007</v>
      </c>
      <c r="L152">
        <v>31522.12</v>
      </c>
      <c r="M152">
        <v>7.54</v>
      </c>
      <c r="N152">
        <v>165.88</v>
      </c>
      <c r="O152">
        <v>326</v>
      </c>
      <c r="P152" s="5">
        <v>46052</v>
      </c>
      <c r="Q152" s="5">
        <v>46051</v>
      </c>
      <c r="R152" t="s">
        <v>25</v>
      </c>
      <c r="S152" t="s">
        <v>86</v>
      </c>
    </row>
    <row r="153" spans="1:19" x14ac:dyDescent="0.25">
      <c r="A153" t="s">
        <v>241</v>
      </c>
      <c r="B153" s="5">
        <v>46065</v>
      </c>
      <c r="C153" t="s">
        <v>80</v>
      </c>
      <c r="D153" t="s">
        <v>21</v>
      </c>
      <c r="E153" t="s">
        <v>66</v>
      </c>
      <c r="F153" t="s">
        <v>91</v>
      </c>
      <c r="G153" t="s">
        <v>32</v>
      </c>
      <c r="H153">
        <v>245</v>
      </c>
      <c r="I153">
        <v>247</v>
      </c>
      <c r="J153">
        <v>10</v>
      </c>
      <c r="K153">
        <v>6.8</v>
      </c>
      <c r="L153">
        <v>75487.259999999995</v>
      </c>
      <c r="M153">
        <v>4.51</v>
      </c>
      <c r="N153">
        <v>99.22</v>
      </c>
      <c r="O153">
        <v>261</v>
      </c>
      <c r="P153" s="5">
        <v>46075</v>
      </c>
      <c r="Q153" s="5">
        <v>46075</v>
      </c>
      <c r="R153" t="s">
        <v>100</v>
      </c>
      <c r="S153" t="s">
        <v>72</v>
      </c>
    </row>
    <row r="154" spans="1:19" x14ac:dyDescent="0.25">
      <c r="A154" t="s">
        <v>242</v>
      </c>
      <c r="B154" s="5">
        <v>46196</v>
      </c>
      <c r="C154" t="s">
        <v>43</v>
      </c>
      <c r="D154" t="s">
        <v>44</v>
      </c>
      <c r="E154" t="s">
        <v>161</v>
      </c>
      <c r="F154" t="s">
        <v>85</v>
      </c>
      <c r="G154" t="s">
        <v>32</v>
      </c>
      <c r="H154">
        <v>86</v>
      </c>
      <c r="I154">
        <v>79</v>
      </c>
      <c r="J154">
        <v>2</v>
      </c>
      <c r="K154">
        <v>8.3000000000000007</v>
      </c>
      <c r="L154">
        <v>8597.32</v>
      </c>
      <c r="M154">
        <v>2.81</v>
      </c>
      <c r="N154">
        <v>61.82</v>
      </c>
      <c r="O154">
        <v>129</v>
      </c>
      <c r="P154" s="5">
        <v>46203</v>
      </c>
      <c r="Q154" s="5">
        <v>46207</v>
      </c>
      <c r="R154" t="s">
        <v>25</v>
      </c>
    </row>
    <row r="155" spans="1:19" x14ac:dyDescent="0.25">
      <c r="A155" t="s">
        <v>243</v>
      </c>
      <c r="B155" s="5">
        <v>46144</v>
      </c>
      <c r="C155" t="s">
        <v>20</v>
      </c>
      <c r="D155" t="s">
        <v>21</v>
      </c>
      <c r="E155" t="s">
        <v>90</v>
      </c>
      <c r="F155" t="s">
        <v>244</v>
      </c>
      <c r="G155" t="s">
        <v>32</v>
      </c>
      <c r="H155">
        <v>264</v>
      </c>
      <c r="I155">
        <v>269</v>
      </c>
      <c r="J155">
        <v>9</v>
      </c>
      <c r="K155">
        <v>2.7</v>
      </c>
      <c r="L155">
        <v>86864.05</v>
      </c>
      <c r="M155">
        <v>10.32</v>
      </c>
      <c r="N155">
        <v>185.76</v>
      </c>
      <c r="O155">
        <v>266</v>
      </c>
      <c r="P155" s="5">
        <v>46149</v>
      </c>
      <c r="Q155" s="5">
        <v>46149</v>
      </c>
      <c r="R155" t="s">
        <v>39</v>
      </c>
      <c r="S155" t="s">
        <v>26</v>
      </c>
    </row>
    <row r="156" spans="1:19" x14ac:dyDescent="0.25">
      <c r="A156" t="s">
        <v>245</v>
      </c>
      <c r="B156" s="5">
        <v>46132</v>
      </c>
      <c r="C156" t="s">
        <v>53</v>
      </c>
      <c r="D156" t="s">
        <v>54</v>
      </c>
      <c r="E156" t="s">
        <v>55</v>
      </c>
      <c r="F156" t="s">
        <v>135</v>
      </c>
      <c r="G156" t="s">
        <v>24</v>
      </c>
      <c r="H156">
        <v>284</v>
      </c>
      <c r="I156">
        <v>253</v>
      </c>
      <c r="J156">
        <v>5</v>
      </c>
      <c r="K156">
        <v>5.8</v>
      </c>
      <c r="L156">
        <v>30819.43</v>
      </c>
      <c r="M156">
        <v>8.2799999999999994</v>
      </c>
      <c r="N156">
        <v>165.6</v>
      </c>
      <c r="O156">
        <v>359</v>
      </c>
      <c r="P156" s="5">
        <v>46143</v>
      </c>
      <c r="Q156" s="5">
        <v>46145</v>
      </c>
      <c r="R156" t="s">
        <v>100</v>
      </c>
      <c r="S156" t="s">
        <v>51</v>
      </c>
    </row>
    <row r="157" spans="1:19" x14ac:dyDescent="0.25">
      <c r="A157" t="s">
        <v>246</v>
      </c>
      <c r="B157" s="5">
        <v>46075</v>
      </c>
      <c r="C157" t="s">
        <v>59</v>
      </c>
      <c r="D157" t="s">
        <v>49</v>
      </c>
      <c r="E157" t="s">
        <v>60</v>
      </c>
      <c r="F157" t="s">
        <v>110</v>
      </c>
      <c r="G157" t="s">
        <v>32</v>
      </c>
      <c r="H157">
        <v>287</v>
      </c>
      <c r="I157">
        <v>304</v>
      </c>
      <c r="J157">
        <v>17</v>
      </c>
      <c r="K157">
        <v>7.2</v>
      </c>
      <c r="L157">
        <v>51858.31</v>
      </c>
      <c r="M157">
        <v>6.91</v>
      </c>
      <c r="N157">
        <v>124.38</v>
      </c>
      <c r="O157">
        <v>314</v>
      </c>
      <c r="P157" s="5">
        <v>46087</v>
      </c>
      <c r="Q157" s="5">
        <v>46091</v>
      </c>
      <c r="R157" t="s">
        <v>39</v>
      </c>
      <c r="S157" t="s">
        <v>26</v>
      </c>
    </row>
    <row r="158" spans="1:19" x14ac:dyDescent="0.25">
      <c r="A158" t="s">
        <v>247</v>
      </c>
      <c r="B158" s="5">
        <v>46122</v>
      </c>
      <c r="C158" t="s">
        <v>35</v>
      </c>
      <c r="D158" t="s">
        <v>36</v>
      </c>
      <c r="E158" t="s">
        <v>37</v>
      </c>
      <c r="F158" t="s">
        <v>71</v>
      </c>
      <c r="G158" t="s">
        <v>57</v>
      </c>
      <c r="H158">
        <v>169</v>
      </c>
      <c r="I158">
        <v>147</v>
      </c>
      <c r="J158">
        <v>6</v>
      </c>
      <c r="K158">
        <v>1.6</v>
      </c>
      <c r="L158">
        <v>15538.22</v>
      </c>
      <c r="M158">
        <v>5.89</v>
      </c>
      <c r="N158">
        <v>153.13999999999999</v>
      </c>
      <c r="O158">
        <v>150</v>
      </c>
      <c r="P158" s="5">
        <v>46134</v>
      </c>
      <c r="Q158" s="5">
        <v>46134</v>
      </c>
      <c r="R158" t="s">
        <v>25</v>
      </c>
      <c r="S158" t="s">
        <v>86</v>
      </c>
    </row>
    <row r="159" spans="1:19" x14ac:dyDescent="0.25">
      <c r="A159" t="s">
        <v>248</v>
      </c>
      <c r="B159" s="5">
        <v>46052</v>
      </c>
      <c r="C159" t="s">
        <v>43</v>
      </c>
      <c r="D159" t="s">
        <v>44</v>
      </c>
      <c r="E159" t="s">
        <v>161</v>
      </c>
      <c r="F159" t="s">
        <v>125</v>
      </c>
      <c r="G159" t="s">
        <v>57</v>
      </c>
      <c r="H159">
        <v>257</v>
      </c>
      <c r="I159">
        <v>200</v>
      </c>
      <c r="J159">
        <v>7</v>
      </c>
      <c r="K159">
        <v>5.4</v>
      </c>
      <c r="L159">
        <v>23630.6</v>
      </c>
      <c r="M159">
        <v>5.94</v>
      </c>
      <c r="N159">
        <v>154.44</v>
      </c>
      <c r="O159">
        <v>261</v>
      </c>
      <c r="P159" s="5">
        <v>46062</v>
      </c>
      <c r="Q159" s="5">
        <v>46062</v>
      </c>
      <c r="R159" t="s">
        <v>100</v>
      </c>
      <c r="S159" t="s">
        <v>51</v>
      </c>
    </row>
    <row r="160" spans="1:19" x14ac:dyDescent="0.25">
      <c r="A160" t="s">
        <v>249</v>
      </c>
      <c r="B160" s="5">
        <v>46103</v>
      </c>
      <c r="C160" t="s">
        <v>53</v>
      </c>
      <c r="D160" t="s">
        <v>54</v>
      </c>
      <c r="E160" t="s">
        <v>55</v>
      </c>
      <c r="F160" t="s">
        <v>106</v>
      </c>
      <c r="G160" t="s">
        <v>32</v>
      </c>
      <c r="H160">
        <v>301</v>
      </c>
      <c r="I160">
        <v>263</v>
      </c>
      <c r="J160">
        <v>1</v>
      </c>
      <c r="K160">
        <v>1.2</v>
      </c>
      <c r="L160">
        <v>47035.67</v>
      </c>
      <c r="M160">
        <v>7.92</v>
      </c>
      <c r="N160">
        <v>190.08</v>
      </c>
      <c r="O160">
        <v>365</v>
      </c>
      <c r="P160" s="5">
        <v>46115</v>
      </c>
      <c r="Q160" s="5">
        <v>46119</v>
      </c>
      <c r="R160" t="s">
        <v>100</v>
      </c>
      <c r="S160" t="s">
        <v>72</v>
      </c>
    </row>
    <row r="161" spans="1:19" x14ac:dyDescent="0.25">
      <c r="A161" t="s">
        <v>250</v>
      </c>
      <c r="B161" s="5">
        <v>46065</v>
      </c>
      <c r="C161" t="s">
        <v>20</v>
      </c>
      <c r="D161" t="s">
        <v>21</v>
      </c>
      <c r="E161" t="s">
        <v>66</v>
      </c>
      <c r="F161" t="s">
        <v>71</v>
      </c>
      <c r="G161" t="s">
        <v>32</v>
      </c>
      <c r="H161">
        <v>87</v>
      </c>
      <c r="I161">
        <v>92</v>
      </c>
      <c r="J161">
        <v>2</v>
      </c>
      <c r="K161">
        <v>0.3</v>
      </c>
      <c r="L161">
        <v>25324.22</v>
      </c>
      <c r="M161">
        <v>3.38</v>
      </c>
      <c r="N161">
        <v>87.88</v>
      </c>
      <c r="O161">
        <v>176</v>
      </c>
      <c r="P161" s="5">
        <v>46075</v>
      </c>
      <c r="Q161" s="5">
        <v>46074</v>
      </c>
      <c r="R161" t="s">
        <v>39</v>
      </c>
      <c r="S161" t="s">
        <v>26</v>
      </c>
    </row>
    <row r="162" spans="1:19" x14ac:dyDescent="0.25">
      <c r="A162" t="s">
        <v>251</v>
      </c>
      <c r="B162" s="5">
        <v>46116</v>
      </c>
      <c r="C162" t="s">
        <v>80</v>
      </c>
      <c r="D162" t="s">
        <v>21</v>
      </c>
      <c r="E162" t="s">
        <v>66</v>
      </c>
      <c r="F162" t="s">
        <v>74</v>
      </c>
      <c r="G162" t="s">
        <v>57</v>
      </c>
      <c r="H162">
        <v>192</v>
      </c>
      <c r="I162">
        <v>183</v>
      </c>
      <c r="J162">
        <v>17</v>
      </c>
      <c r="K162">
        <v>0.9</v>
      </c>
      <c r="L162">
        <v>58279.88</v>
      </c>
      <c r="M162">
        <v>4.5999999999999996</v>
      </c>
      <c r="N162">
        <v>82.8</v>
      </c>
      <c r="O162">
        <v>267</v>
      </c>
      <c r="P162" s="5">
        <v>46122</v>
      </c>
      <c r="Q162" s="5">
        <v>46123</v>
      </c>
      <c r="R162" t="s">
        <v>25</v>
      </c>
      <c r="S162" t="s">
        <v>51</v>
      </c>
    </row>
    <row r="163" spans="1:19" x14ac:dyDescent="0.25">
      <c r="A163" t="s">
        <v>252</v>
      </c>
      <c r="B163" s="5">
        <v>46076</v>
      </c>
      <c r="C163" t="s">
        <v>48</v>
      </c>
      <c r="D163" t="s">
        <v>49</v>
      </c>
      <c r="E163" t="s">
        <v>60</v>
      </c>
      <c r="F163" t="s">
        <v>106</v>
      </c>
      <c r="G163" t="s">
        <v>32</v>
      </c>
      <c r="H163">
        <v>236</v>
      </c>
      <c r="I163">
        <v>234</v>
      </c>
      <c r="J163">
        <v>4</v>
      </c>
      <c r="K163">
        <v>1.3</v>
      </c>
      <c r="L163">
        <v>38578</v>
      </c>
      <c r="M163">
        <v>4.55</v>
      </c>
      <c r="N163">
        <v>100.1</v>
      </c>
      <c r="O163">
        <v>332</v>
      </c>
      <c r="P163" s="5">
        <v>46082</v>
      </c>
      <c r="Q163" s="5">
        <v>46082</v>
      </c>
      <c r="R163" t="s">
        <v>25</v>
      </c>
      <c r="S163" t="s">
        <v>86</v>
      </c>
    </row>
    <row r="164" spans="1:19" x14ac:dyDescent="0.25">
      <c r="A164" t="s">
        <v>253</v>
      </c>
      <c r="B164" s="5">
        <v>46169</v>
      </c>
      <c r="C164" t="s">
        <v>59</v>
      </c>
      <c r="D164" t="s">
        <v>49</v>
      </c>
      <c r="E164" t="s">
        <v>60</v>
      </c>
      <c r="F164" t="s">
        <v>61</v>
      </c>
      <c r="G164" t="s">
        <v>57</v>
      </c>
      <c r="H164">
        <v>310</v>
      </c>
      <c r="I164">
        <v>313</v>
      </c>
      <c r="J164">
        <v>4</v>
      </c>
      <c r="K164">
        <v>8.6999999999999993</v>
      </c>
      <c r="L164">
        <v>67037.06</v>
      </c>
      <c r="M164">
        <v>13.09</v>
      </c>
      <c r="N164">
        <v>261.8</v>
      </c>
      <c r="O164">
        <v>303</v>
      </c>
      <c r="P164" s="5">
        <v>46174</v>
      </c>
      <c r="Q164" s="5">
        <v>46174</v>
      </c>
      <c r="R164" t="s">
        <v>25</v>
      </c>
      <c r="S164" t="s">
        <v>72</v>
      </c>
    </row>
    <row r="165" spans="1:19" x14ac:dyDescent="0.25">
      <c r="A165" t="s">
        <v>254</v>
      </c>
      <c r="B165" s="5">
        <v>46148</v>
      </c>
      <c r="C165" t="s">
        <v>43</v>
      </c>
      <c r="D165" t="s">
        <v>44</v>
      </c>
      <c r="E165" t="s">
        <v>45</v>
      </c>
      <c r="F165" t="s">
        <v>96</v>
      </c>
      <c r="G165" t="s">
        <v>24</v>
      </c>
      <c r="H165">
        <v>241</v>
      </c>
      <c r="I165">
        <v>201</v>
      </c>
      <c r="J165">
        <v>8</v>
      </c>
      <c r="K165">
        <v>4.0999999999999996</v>
      </c>
      <c r="L165">
        <v>27266.91</v>
      </c>
      <c r="M165">
        <v>4.07</v>
      </c>
      <c r="N165">
        <v>105.82</v>
      </c>
      <c r="O165">
        <v>272</v>
      </c>
      <c r="P165" s="5">
        <v>46155</v>
      </c>
      <c r="Q165" s="5">
        <v>46159</v>
      </c>
      <c r="R165" t="s">
        <v>100</v>
      </c>
      <c r="S165" t="s">
        <v>33</v>
      </c>
    </row>
    <row r="166" spans="1:19" x14ac:dyDescent="0.25">
      <c r="A166" t="s">
        <v>255</v>
      </c>
      <c r="B166" s="5">
        <v>46046</v>
      </c>
      <c r="C166" t="s">
        <v>53</v>
      </c>
      <c r="D166" t="s">
        <v>54</v>
      </c>
      <c r="E166" t="s">
        <v>131</v>
      </c>
      <c r="F166" t="s">
        <v>56</v>
      </c>
      <c r="G166" t="s">
        <v>32</v>
      </c>
      <c r="H166">
        <v>297</v>
      </c>
      <c r="I166">
        <v>221</v>
      </c>
      <c r="J166">
        <v>11</v>
      </c>
      <c r="K166">
        <v>2</v>
      </c>
      <c r="L166">
        <v>28401.52</v>
      </c>
      <c r="M166">
        <v>5.4</v>
      </c>
      <c r="N166">
        <v>118.8</v>
      </c>
      <c r="O166">
        <v>343</v>
      </c>
      <c r="P166" s="5">
        <v>46056</v>
      </c>
      <c r="Q166" s="5">
        <v>46056</v>
      </c>
      <c r="R166" t="s">
        <v>39</v>
      </c>
      <c r="S166" t="s">
        <v>86</v>
      </c>
    </row>
    <row r="167" spans="1:19" x14ac:dyDescent="0.25">
      <c r="A167" t="s">
        <v>256</v>
      </c>
      <c r="B167" s="5">
        <v>46197</v>
      </c>
      <c r="C167" t="s">
        <v>80</v>
      </c>
      <c r="D167" t="s">
        <v>21</v>
      </c>
      <c r="E167" t="s">
        <v>22</v>
      </c>
      <c r="F167" t="s">
        <v>56</v>
      </c>
      <c r="G167" t="s">
        <v>32</v>
      </c>
      <c r="H167">
        <v>105</v>
      </c>
      <c r="I167">
        <v>103</v>
      </c>
      <c r="J167">
        <v>8</v>
      </c>
      <c r="K167">
        <v>0.1</v>
      </c>
      <c r="L167">
        <v>28812.76</v>
      </c>
      <c r="M167">
        <v>2.98</v>
      </c>
      <c r="N167">
        <v>71.52</v>
      </c>
      <c r="O167">
        <v>116</v>
      </c>
      <c r="P167" s="5">
        <v>46201</v>
      </c>
      <c r="Q167" s="5">
        <v>46201</v>
      </c>
      <c r="R167" t="s">
        <v>25</v>
      </c>
      <c r="S167" t="s">
        <v>33</v>
      </c>
    </row>
    <row r="168" spans="1:19" x14ac:dyDescent="0.25">
      <c r="A168" t="s">
        <v>257</v>
      </c>
      <c r="B168" s="5">
        <v>46190</v>
      </c>
      <c r="C168" t="s">
        <v>48</v>
      </c>
      <c r="D168" t="s">
        <v>49</v>
      </c>
      <c r="E168" t="s">
        <v>76</v>
      </c>
      <c r="F168" t="s">
        <v>135</v>
      </c>
      <c r="G168" t="s">
        <v>57</v>
      </c>
      <c r="H168">
        <v>101</v>
      </c>
      <c r="I168">
        <v>88</v>
      </c>
      <c r="J168">
        <v>7</v>
      </c>
      <c r="K168">
        <v>1.5</v>
      </c>
      <c r="L168">
        <v>16063.02</v>
      </c>
      <c r="M168">
        <v>3.06</v>
      </c>
      <c r="N168">
        <v>61.2</v>
      </c>
      <c r="O168">
        <v>170</v>
      </c>
      <c r="P168" s="5">
        <v>46202</v>
      </c>
      <c r="Q168" s="5">
        <v>46201</v>
      </c>
      <c r="R168" t="s">
        <v>25</v>
      </c>
      <c r="S168" t="s">
        <v>72</v>
      </c>
    </row>
    <row r="169" spans="1:19" x14ac:dyDescent="0.25">
      <c r="A169" t="s">
        <v>258</v>
      </c>
      <c r="B169" s="5">
        <v>46042</v>
      </c>
      <c r="C169" t="s">
        <v>43</v>
      </c>
      <c r="D169" t="s">
        <v>44</v>
      </c>
      <c r="E169" t="s">
        <v>45</v>
      </c>
      <c r="F169" t="s">
        <v>88</v>
      </c>
      <c r="G169" t="s">
        <v>24</v>
      </c>
      <c r="H169">
        <v>137</v>
      </c>
      <c r="I169">
        <v>129</v>
      </c>
      <c r="J169">
        <v>5</v>
      </c>
      <c r="K169">
        <v>0.1</v>
      </c>
      <c r="L169">
        <v>12848.3</v>
      </c>
      <c r="M169">
        <v>4.99</v>
      </c>
      <c r="N169">
        <v>99.8</v>
      </c>
      <c r="O169">
        <v>219</v>
      </c>
      <c r="P169" s="5">
        <v>46045</v>
      </c>
      <c r="Q169" s="5">
        <v>46045</v>
      </c>
      <c r="R169" t="s">
        <v>100</v>
      </c>
      <c r="S169" t="s">
        <v>33</v>
      </c>
    </row>
    <row r="170" spans="1:19" x14ac:dyDescent="0.25">
      <c r="A170" t="s">
        <v>259</v>
      </c>
      <c r="B170" s="5">
        <v>46049</v>
      </c>
      <c r="C170" t="s">
        <v>48</v>
      </c>
      <c r="D170" t="s">
        <v>49</v>
      </c>
      <c r="E170" t="s">
        <v>76</v>
      </c>
      <c r="F170" t="s">
        <v>110</v>
      </c>
      <c r="G170" t="s">
        <v>57</v>
      </c>
      <c r="H170">
        <v>305</v>
      </c>
      <c r="I170">
        <v>258</v>
      </c>
      <c r="J170">
        <v>10</v>
      </c>
      <c r="K170">
        <v>7.3</v>
      </c>
      <c r="L170">
        <v>60783.69</v>
      </c>
      <c r="M170">
        <v>8.84</v>
      </c>
      <c r="N170">
        <v>159.12</v>
      </c>
      <c r="O170">
        <v>400</v>
      </c>
      <c r="P170" s="5">
        <v>46060</v>
      </c>
      <c r="Q170" s="5">
        <v>46058</v>
      </c>
      <c r="R170" t="s">
        <v>39</v>
      </c>
      <c r="S170" t="s">
        <v>72</v>
      </c>
    </row>
    <row r="171" spans="1:19" x14ac:dyDescent="0.25">
      <c r="A171" t="s">
        <v>260</v>
      </c>
      <c r="B171" s="5">
        <v>46112</v>
      </c>
      <c r="C171" t="s">
        <v>28</v>
      </c>
      <c r="D171" t="s">
        <v>29</v>
      </c>
      <c r="E171" t="s">
        <v>30</v>
      </c>
      <c r="F171" t="s">
        <v>83</v>
      </c>
      <c r="G171" t="s">
        <v>57</v>
      </c>
      <c r="H171">
        <v>271</v>
      </c>
      <c r="I171">
        <v>212</v>
      </c>
      <c r="J171">
        <v>8</v>
      </c>
      <c r="K171">
        <v>6.2</v>
      </c>
      <c r="L171">
        <v>48686</v>
      </c>
      <c r="M171">
        <v>4.33</v>
      </c>
      <c r="N171">
        <v>77.94</v>
      </c>
      <c r="O171">
        <v>329</v>
      </c>
      <c r="P171" s="5">
        <v>46119</v>
      </c>
      <c r="Q171" s="5">
        <v>46121</v>
      </c>
      <c r="R171" t="s">
        <v>25</v>
      </c>
      <c r="S171" t="s">
        <v>51</v>
      </c>
    </row>
    <row r="172" spans="1:19" x14ac:dyDescent="0.25">
      <c r="A172" t="s">
        <v>261</v>
      </c>
      <c r="B172" s="5">
        <v>46093</v>
      </c>
      <c r="C172" t="s">
        <v>20</v>
      </c>
      <c r="D172" t="s">
        <v>21</v>
      </c>
      <c r="E172" t="s">
        <v>22</v>
      </c>
      <c r="F172" t="s">
        <v>125</v>
      </c>
      <c r="G172" t="s">
        <v>24</v>
      </c>
      <c r="H172">
        <v>221</v>
      </c>
      <c r="I172">
        <v>216</v>
      </c>
      <c r="J172">
        <v>15</v>
      </c>
      <c r="K172">
        <v>2.6</v>
      </c>
      <c r="L172">
        <v>70795.19</v>
      </c>
      <c r="M172">
        <v>8.2799999999999994</v>
      </c>
      <c r="N172">
        <v>182.16</v>
      </c>
      <c r="O172">
        <v>233</v>
      </c>
      <c r="P172" s="5">
        <v>46103</v>
      </c>
      <c r="Q172" s="5">
        <v>46103</v>
      </c>
      <c r="R172" t="s">
        <v>100</v>
      </c>
      <c r="S172" t="s">
        <v>33</v>
      </c>
    </row>
    <row r="173" spans="1:19" x14ac:dyDescent="0.25">
      <c r="A173" t="s">
        <v>262</v>
      </c>
      <c r="B173" s="5">
        <v>46084</v>
      </c>
      <c r="C173" t="s">
        <v>53</v>
      </c>
      <c r="D173" t="s">
        <v>54</v>
      </c>
      <c r="E173" t="s">
        <v>131</v>
      </c>
      <c r="F173" t="s">
        <v>137</v>
      </c>
      <c r="G173" t="s">
        <v>24</v>
      </c>
      <c r="H173">
        <v>108</v>
      </c>
      <c r="I173">
        <v>88</v>
      </c>
      <c r="J173">
        <v>5</v>
      </c>
      <c r="K173">
        <v>0.6</v>
      </c>
      <c r="L173">
        <v>12460.26</v>
      </c>
      <c r="M173">
        <v>2.35</v>
      </c>
      <c r="N173">
        <v>51.7</v>
      </c>
      <c r="O173">
        <v>101</v>
      </c>
      <c r="P173" s="5">
        <v>46092</v>
      </c>
      <c r="Q173" s="5">
        <v>46094</v>
      </c>
      <c r="R173" t="s">
        <v>25</v>
      </c>
      <c r="S173" t="s">
        <v>51</v>
      </c>
    </row>
    <row r="174" spans="1:19" x14ac:dyDescent="0.25">
      <c r="A174" t="s">
        <v>263</v>
      </c>
      <c r="B174" s="5">
        <v>46143</v>
      </c>
      <c r="C174" t="s">
        <v>20</v>
      </c>
      <c r="D174" t="s">
        <v>21</v>
      </c>
      <c r="E174" t="s">
        <v>22</v>
      </c>
      <c r="F174" t="s">
        <v>110</v>
      </c>
      <c r="G174" t="s">
        <v>24</v>
      </c>
      <c r="H174">
        <v>230</v>
      </c>
      <c r="I174">
        <v>172</v>
      </c>
      <c r="J174">
        <v>4</v>
      </c>
      <c r="K174">
        <v>0.4</v>
      </c>
      <c r="L174">
        <v>50519.77</v>
      </c>
      <c r="M174">
        <v>5.19</v>
      </c>
      <c r="N174">
        <v>134.94</v>
      </c>
      <c r="O174">
        <v>296</v>
      </c>
      <c r="P174" s="5">
        <v>46151</v>
      </c>
      <c r="Q174" s="5">
        <v>46153</v>
      </c>
      <c r="R174" t="s">
        <v>25</v>
      </c>
      <c r="S174" t="s">
        <v>26</v>
      </c>
    </row>
    <row r="175" spans="1:19" x14ac:dyDescent="0.25">
      <c r="A175" t="s">
        <v>264</v>
      </c>
      <c r="B175" s="5">
        <v>46180</v>
      </c>
      <c r="C175" t="s">
        <v>43</v>
      </c>
      <c r="D175" t="s">
        <v>44</v>
      </c>
      <c r="E175" t="s">
        <v>161</v>
      </c>
      <c r="F175" t="s">
        <v>23</v>
      </c>
      <c r="G175" t="s">
        <v>57</v>
      </c>
      <c r="H175">
        <v>101</v>
      </c>
      <c r="I175">
        <v>86</v>
      </c>
      <c r="J175">
        <v>4</v>
      </c>
      <c r="K175">
        <v>1.8</v>
      </c>
      <c r="L175">
        <v>11332.61</v>
      </c>
      <c r="M175">
        <v>2.35</v>
      </c>
      <c r="N175">
        <v>42.3</v>
      </c>
      <c r="O175">
        <v>140</v>
      </c>
      <c r="P175" s="5">
        <v>46188</v>
      </c>
      <c r="Q175" s="5">
        <v>46188</v>
      </c>
      <c r="R175" t="s">
        <v>25</v>
      </c>
      <c r="S175" t="s">
        <v>72</v>
      </c>
    </row>
    <row r="176" spans="1:19" x14ac:dyDescent="0.25">
      <c r="A176" t="s">
        <v>265</v>
      </c>
      <c r="B176" s="5">
        <v>46052</v>
      </c>
      <c r="C176" t="s">
        <v>53</v>
      </c>
      <c r="D176" t="s">
        <v>54</v>
      </c>
      <c r="E176" t="s">
        <v>55</v>
      </c>
      <c r="F176" t="s">
        <v>91</v>
      </c>
      <c r="G176" t="s">
        <v>57</v>
      </c>
      <c r="H176">
        <v>159</v>
      </c>
      <c r="I176">
        <v>160</v>
      </c>
      <c r="J176">
        <v>10</v>
      </c>
      <c r="K176">
        <v>1.6</v>
      </c>
      <c r="L176">
        <v>17018.689999999999</v>
      </c>
      <c r="M176">
        <v>2.92</v>
      </c>
      <c r="N176">
        <v>70.08</v>
      </c>
      <c r="O176">
        <v>207</v>
      </c>
      <c r="P176" s="5">
        <v>46062</v>
      </c>
      <c r="Q176" s="5">
        <v>46062</v>
      </c>
      <c r="R176" t="s">
        <v>25</v>
      </c>
      <c r="S176" t="s">
        <v>86</v>
      </c>
    </row>
    <row r="177" spans="1:19" x14ac:dyDescent="0.25">
      <c r="A177" t="s">
        <v>266</v>
      </c>
      <c r="B177" s="5">
        <v>46053</v>
      </c>
      <c r="C177" t="s">
        <v>80</v>
      </c>
      <c r="D177" t="s">
        <v>21</v>
      </c>
      <c r="E177" t="s">
        <v>90</v>
      </c>
      <c r="F177" t="s">
        <v>244</v>
      </c>
      <c r="G177" t="s">
        <v>32</v>
      </c>
      <c r="H177">
        <v>286</v>
      </c>
      <c r="I177">
        <v>258</v>
      </c>
      <c r="J177">
        <v>13</v>
      </c>
      <c r="K177">
        <v>2.4</v>
      </c>
      <c r="L177">
        <v>83327.210000000006</v>
      </c>
      <c r="M177">
        <v>7.72</v>
      </c>
      <c r="N177">
        <v>200.72</v>
      </c>
      <c r="O177">
        <v>338</v>
      </c>
      <c r="P177" s="5">
        <v>46055</v>
      </c>
      <c r="Q177" s="5">
        <v>46059</v>
      </c>
      <c r="R177" t="s">
        <v>39</v>
      </c>
      <c r="S177" t="s">
        <v>51</v>
      </c>
    </row>
    <row r="178" spans="1:19" x14ac:dyDescent="0.25">
      <c r="A178" t="s">
        <v>267</v>
      </c>
      <c r="B178" s="5">
        <v>46088</v>
      </c>
      <c r="C178" t="s">
        <v>20</v>
      </c>
      <c r="D178" t="s">
        <v>21</v>
      </c>
      <c r="E178" t="s">
        <v>66</v>
      </c>
      <c r="F178" t="s">
        <v>67</v>
      </c>
      <c r="G178" t="s">
        <v>57</v>
      </c>
      <c r="H178">
        <v>252</v>
      </c>
      <c r="I178">
        <v>259</v>
      </c>
      <c r="J178">
        <v>6</v>
      </c>
      <c r="K178">
        <v>4.5999999999999996</v>
      </c>
      <c r="L178">
        <v>76920.95</v>
      </c>
      <c r="M178">
        <v>6.18</v>
      </c>
      <c r="N178">
        <v>148.32</v>
      </c>
      <c r="O178">
        <v>305</v>
      </c>
      <c r="P178" s="5">
        <v>46096</v>
      </c>
      <c r="Q178" s="5">
        <v>46096</v>
      </c>
      <c r="R178" t="s">
        <v>25</v>
      </c>
      <c r="S178" t="s">
        <v>26</v>
      </c>
    </row>
    <row r="179" spans="1:19" x14ac:dyDescent="0.25">
      <c r="A179" t="s">
        <v>268</v>
      </c>
      <c r="B179" s="5">
        <v>46190</v>
      </c>
      <c r="C179" t="s">
        <v>35</v>
      </c>
      <c r="D179" t="s">
        <v>36</v>
      </c>
      <c r="E179" t="s">
        <v>37</v>
      </c>
      <c r="F179" t="s">
        <v>88</v>
      </c>
      <c r="G179" t="s">
        <v>32</v>
      </c>
      <c r="H179">
        <v>162</v>
      </c>
      <c r="I179">
        <v>133</v>
      </c>
      <c r="J179">
        <v>11</v>
      </c>
      <c r="K179">
        <v>2.9</v>
      </c>
      <c r="L179">
        <v>13945.2</v>
      </c>
      <c r="M179">
        <v>2.78</v>
      </c>
      <c r="N179">
        <v>50.04</v>
      </c>
      <c r="O179">
        <v>167</v>
      </c>
      <c r="P179" s="5">
        <v>46195</v>
      </c>
      <c r="Q179" s="5">
        <v>46193</v>
      </c>
      <c r="R179" t="s">
        <v>100</v>
      </c>
      <c r="S179" t="s">
        <v>86</v>
      </c>
    </row>
    <row r="180" spans="1:19" x14ac:dyDescent="0.25">
      <c r="A180" t="s">
        <v>269</v>
      </c>
      <c r="B180" s="5">
        <v>46102</v>
      </c>
      <c r="C180" t="s">
        <v>48</v>
      </c>
      <c r="D180" t="s">
        <v>49</v>
      </c>
      <c r="E180" t="s">
        <v>50</v>
      </c>
      <c r="F180" t="s">
        <v>135</v>
      </c>
      <c r="G180" t="s">
        <v>32</v>
      </c>
      <c r="H180">
        <v>221</v>
      </c>
      <c r="I180">
        <v>202</v>
      </c>
      <c r="J180">
        <v>7</v>
      </c>
      <c r="K180">
        <v>2.6</v>
      </c>
      <c r="L180">
        <v>47400.39</v>
      </c>
      <c r="M180">
        <v>4.8099999999999996</v>
      </c>
      <c r="N180">
        <v>105.82</v>
      </c>
      <c r="O180">
        <v>307</v>
      </c>
      <c r="P180" s="5">
        <v>46107</v>
      </c>
      <c r="Q180" s="5">
        <v>46107</v>
      </c>
      <c r="R180" t="s">
        <v>25</v>
      </c>
      <c r="S180" t="s">
        <v>33</v>
      </c>
    </row>
    <row r="181" spans="1:19" x14ac:dyDescent="0.25">
      <c r="A181" t="s">
        <v>270</v>
      </c>
      <c r="B181" s="5">
        <v>46082</v>
      </c>
      <c r="C181" t="s">
        <v>48</v>
      </c>
      <c r="D181" t="s">
        <v>49</v>
      </c>
      <c r="E181" t="s">
        <v>60</v>
      </c>
      <c r="F181" t="s">
        <v>119</v>
      </c>
      <c r="G181" t="s">
        <v>57</v>
      </c>
      <c r="H181">
        <v>294</v>
      </c>
      <c r="I181">
        <v>299</v>
      </c>
      <c r="J181">
        <v>1</v>
      </c>
      <c r="K181">
        <v>3</v>
      </c>
      <c r="L181">
        <v>63216.72</v>
      </c>
      <c r="M181">
        <v>10.68</v>
      </c>
      <c r="N181">
        <v>234.96</v>
      </c>
      <c r="O181">
        <v>280</v>
      </c>
      <c r="P181" s="5">
        <v>46087</v>
      </c>
      <c r="Q181" s="5">
        <v>46087</v>
      </c>
      <c r="R181" t="s">
        <v>100</v>
      </c>
      <c r="S181" t="s">
        <v>51</v>
      </c>
    </row>
    <row r="182" spans="1:19" x14ac:dyDescent="0.25">
      <c r="A182" t="s">
        <v>271</v>
      </c>
      <c r="B182" s="5">
        <v>46094</v>
      </c>
      <c r="C182" t="s">
        <v>20</v>
      </c>
      <c r="D182" t="s">
        <v>21</v>
      </c>
      <c r="E182" t="s">
        <v>22</v>
      </c>
      <c r="F182" t="s">
        <v>88</v>
      </c>
      <c r="G182" t="s">
        <v>24</v>
      </c>
      <c r="H182">
        <v>315</v>
      </c>
      <c r="I182">
        <v>258</v>
      </c>
      <c r="J182">
        <v>20</v>
      </c>
      <c r="K182">
        <v>3.7</v>
      </c>
      <c r="L182">
        <v>94390.399999999994</v>
      </c>
      <c r="M182">
        <v>9.27</v>
      </c>
      <c r="N182">
        <v>241.02</v>
      </c>
      <c r="O182">
        <v>299</v>
      </c>
      <c r="P182" s="5">
        <v>46104</v>
      </c>
      <c r="Q182" s="5">
        <v>46104</v>
      </c>
      <c r="R182" t="s">
        <v>100</v>
      </c>
      <c r="S182" t="s">
        <v>26</v>
      </c>
    </row>
    <row r="183" spans="1:19" x14ac:dyDescent="0.25">
      <c r="A183" t="s">
        <v>272</v>
      </c>
      <c r="B183" s="5">
        <v>46038</v>
      </c>
      <c r="C183" t="s">
        <v>35</v>
      </c>
      <c r="D183" t="s">
        <v>36</v>
      </c>
      <c r="E183" t="s">
        <v>37</v>
      </c>
      <c r="F183" t="s">
        <v>170</v>
      </c>
      <c r="G183" t="s">
        <v>24</v>
      </c>
      <c r="H183">
        <v>140</v>
      </c>
      <c r="I183">
        <v>118</v>
      </c>
      <c r="J183">
        <v>9</v>
      </c>
      <c r="K183">
        <v>8.3000000000000007</v>
      </c>
      <c r="L183">
        <v>11374.34</v>
      </c>
      <c r="M183">
        <v>3.05</v>
      </c>
      <c r="N183">
        <v>73.2</v>
      </c>
      <c r="O183">
        <v>169</v>
      </c>
      <c r="P183" s="5">
        <v>46043</v>
      </c>
      <c r="Q183" s="5">
        <v>46042</v>
      </c>
      <c r="R183" t="s">
        <v>25</v>
      </c>
      <c r="S183" t="s">
        <v>33</v>
      </c>
    </row>
    <row r="184" spans="1:19" x14ac:dyDescent="0.25">
      <c r="A184" t="s">
        <v>273</v>
      </c>
      <c r="B184" s="5">
        <v>46062</v>
      </c>
      <c r="C184" t="s">
        <v>20</v>
      </c>
      <c r="D184" t="s">
        <v>21</v>
      </c>
      <c r="E184" t="s">
        <v>22</v>
      </c>
      <c r="F184" t="s">
        <v>61</v>
      </c>
      <c r="G184" t="s">
        <v>24</v>
      </c>
      <c r="H184">
        <v>195</v>
      </c>
      <c r="I184">
        <v>179</v>
      </c>
      <c r="J184">
        <v>7</v>
      </c>
      <c r="K184">
        <v>4.8</v>
      </c>
      <c r="L184">
        <v>62369.34</v>
      </c>
      <c r="M184">
        <v>4.55</v>
      </c>
      <c r="N184">
        <v>100.1</v>
      </c>
      <c r="O184">
        <v>185</v>
      </c>
      <c r="P184" s="5">
        <v>46065</v>
      </c>
      <c r="Q184" s="5">
        <v>46065</v>
      </c>
      <c r="R184" t="s">
        <v>25</v>
      </c>
      <c r="S184" t="s">
        <v>26</v>
      </c>
    </row>
    <row r="185" spans="1:19" x14ac:dyDescent="0.25">
      <c r="A185" t="s">
        <v>274</v>
      </c>
      <c r="B185" s="5">
        <v>46033</v>
      </c>
      <c r="C185" t="s">
        <v>28</v>
      </c>
      <c r="D185" t="s">
        <v>29</v>
      </c>
      <c r="E185" t="s">
        <v>95</v>
      </c>
      <c r="F185" t="s">
        <v>112</v>
      </c>
      <c r="G185" t="s">
        <v>24</v>
      </c>
      <c r="H185">
        <v>117</v>
      </c>
      <c r="I185">
        <v>88</v>
      </c>
      <c r="J185">
        <v>2</v>
      </c>
      <c r="K185">
        <v>3.2</v>
      </c>
      <c r="L185">
        <v>21173.14</v>
      </c>
      <c r="M185">
        <v>2.13</v>
      </c>
      <c r="N185">
        <v>42.6</v>
      </c>
      <c r="O185">
        <v>84</v>
      </c>
      <c r="P185" s="5">
        <v>46041</v>
      </c>
      <c r="Q185" s="5">
        <v>46045</v>
      </c>
      <c r="R185" t="s">
        <v>39</v>
      </c>
      <c r="S185" t="s">
        <v>51</v>
      </c>
    </row>
    <row r="186" spans="1:19" x14ac:dyDescent="0.25">
      <c r="A186" t="s">
        <v>275</v>
      </c>
      <c r="B186" s="5">
        <v>46047</v>
      </c>
      <c r="C186" t="s">
        <v>53</v>
      </c>
      <c r="D186" t="s">
        <v>54</v>
      </c>
      <c r="E186" t="s">
        <v>55</v>
      </c>
      <c r="F186" t="s">
        <v>114</v>
      </c>
      <c r="G186" t="s">
        <v>32</v>
      </c>
      <c r="H186">
        <v>285</v>
      </c>
      <c r="I186">
        <v>302</v>
      </c>
      <c r="J186">
        <v>4</v>
      </c>
      <c r="K186">
        <v>0.6</v>
      </c>
      <c r="L186">
        <v>43980.04</v>
      </c>
      <c r="M186">
        <v>6.87</v>
      </c>
      <c r="N186">
        <v>164.88</v>
      </c>
      <c r="O186">
        <v>340</v>
      </c>
      <c r="P186" s="5">
        <v>46059</v>
      </c>
      <c r="Q186" s="5">
        <v>46058</v>
      </c>
      <c r="R186" t="s">
        <v>39</v>
      </c>
      <c r="S186" t="s">
        <v>33</v>
      </c>
    </row>
    <row r="187" spans="1:19" x14ac:dyDescent="0.25">
      <c r="A187" t="s">
        <v>276</v>
      </c>
      <c r="B187" s="5">
        <v>46028</v>
      </c>
      <c r="C187" t="s">
        <v>20</v>
      </c>
      <c r="D187" t="s">
        <v>21</v>
      </c>
      <c r="E187" t="s">
        <v>22</v>
      </c>
      <c r="F187" t="s">
        <v>119</v>
      </c>
      <c r="G187" t="s">
        <v>57</v>
      </c>
      <c r="H187">
        <v>311</v>
      </c>
      <c r="I187">
        <v>310</v>
      </c>
      <c r="J187">
        <v>24</v>
      </c>
      <c r="K187">
        <v>0.8</v>
      </c>
      <c r="L187">
        <v>122284.48</v>
      </c>
      <c r="M187">
        <v>6.49</v>
      </c>
      <c r="N187">
        <v>155.76</v>
      </c>
      <c r="O187">
        <v>283</v>
      </c>
      <c r="P187" s="5">
        <v>46032</v>
      </c>
      <c r="Q187" s="5">
        <v>46034</v>
      </c>
      <c r="R187" t="s">
        <v>100</v>
      </c>
      <c r="S187" t="s">
        <v>72</v>
      </c>
    </row>
    <row r="188" spans="1:19" x14ac:dyDescent="0.25">
      <c r="A188" t="s">
        <v>277</v>
      </c>
      <c r="B188" s="5">
        <v>46197</v>
      </c>
      <c r="C188" t="s">
        <v>35</v>
      </c>
      <c r="D188" t="s">
        <v>36</v>
      </c>
      <c r="E188" t="s">
        <v>37</v>
      </c>
      <c r="F188" t="s">
        <v>119</v>
      </c>
      <c r="G188" t="s">
        <v>57</v>
      </c>
      <c r="H188">
        <v>170</v>
      </c>
      <c r="I188">
        <v>138</v>
      </c>
      <c r="J188">
        <v>3</v>
      </c>
      <c r="K188">
        <v>2.5</v>
      </c>
      <c r="L188">
        <v>12658.75</v>
      </c>
      <c r="M188">
        <v>4.53</v>
      </c>
      <c r="N188">
        <v>90.6</v>
      </c>
      <c r="O188">
        <v>205</v>
      </c>
      <c r="P188" s="5">
        <v>46206</v>
      </c>
      <c r="Q188" s="5">
        <v>46208</v>
      </c>
      <c r="R188" t="s">
        <v>39</v>
      </c>
      <c r="S188" t="s">
        <v>33</v>
      </c>
    </row>
    <row r="189" spans="1:19" x14ac:dyDescent="0.25">
      <c r="A189" t="s">
        <v>278</v>
      </c>
      <c r="B189" s="5">
        <v>46094</v>
      </c>
      <c r="C189" t="s">
        <v>35</v>
      </c>
      <c r="D189" t="s">
        <v>36</v>
      </c>
      <c r="E189" t="s">
        <v>37</v>
      </c>
      <c r="F189" t="s">
        <v>67</v>
      </c>
      <c r="G189" t="s">
        <v>24</v>
      </c>
      <c r="H189">
        <v>187</v>
      </c>
      <c r="I189">
        <v>150</v>
      </c>
      <c r="J189">
        <v>12</v>
      </c>
      <c r="K189">
        <v>4.7</v>
      </c>
      <c r="L189">
        <v>15631.23</v>
      </c>
      <c r="M189">
        <v>5.56</v>
      </c>
      <c r="N189">
        <v>133.44</v>
      </c>
      <c r="O189">
        <v>238</v>
      </c>
      <c r="P189" s="5">
        <v>46103</v>
      </c>
      <c r="Q189" s="5">
        <v>46107</v>
      </c>
      <c r="R189" t="s">
        <v>25</v>
      </c>
      <c r="S189" t="s">
        <v>26</v>
      </c>
    </row>
    <row r="190" spans="1:19" x14ac:dyDescent="0.25">
      <c r="A190" t="s">
        <v>279</v>
      </c>
      <c r="B190" s="5">
        <v>46105</v>
      </c>
      <c r="C190" t="s">
        <v>35</v>
      </c>
      <c r="D190" t="s">
        <v>36</v>
      </c>
      <c r="E190" t="s">
        <v>69</v>
      </c>
      <c r="F190" t="s">
        <v>71</v>
      </c>
      <c r="G190" t="s">
        <v>57</v>
      </c>
      <c r="H190">
        <v>126</v>
      </c>
      <c r="I190">
        <v>92</v>
      </c>
      <c r="J190">
        <v>5</v>
      </c>
      <c r="K190">
        <v>0.3</v>
      </c>
      <c r="L190">
        <v>8865.99</v>
      </c>
      <c r="M190">
        <v>3.44</v>
      </c>
      <c r="N190">
        <v>82.56</v>
      </c>
      <c r="O190">
        <v>221</v>
      </c>
      <c r="P190" s="5">
        <v>46112</v>
      </c>
      <c r="Q190" s="5">
        <v>46112</v>
      </c>
      <c r="R190" t="s">
        <v>25</v>
      </c>
      <c r="S190" t="s">
        <v>51</v>
      </c>
    </row>
    <row r="191" spans="1:19" x14ac:dyDescent="0.25">
      <c r="A191" t="s">
        <v>280</v>
      </c>
      <c r="B191" s="5">
        <v>46091</v>
      </c>
      <c r="C191" t="s">
        <v>80</v>
      </c>
      <c r="D191" t="s">
        <v>21</v>
      </c>
      <c r="E191" t="s">
        <v>22</v>
      </c>
      <c r="F191" t="s">
        <v>114</v>
      </c>
      <c r="G191" t="s">
        <v>24</v>
      </c>
      <c r="H191">
        <v>227</v>
      </c>
      <c r="I191">
        <v>246</v>
      </c>
      <c r="J191">
        <v>18</v>
      </c>
      <c r="K191">
        <v>3.2</v>
      </c>
      <c r="L191">
        <v>80424.36</v>
      </c>
      <c r="M191">
        <v>5.47</v>
      </c>
      <c r="N191">
        <v>142.22</v>
      </c>
      <c r="O191">
        <v>268</v>
      </c>
      <c r="P191" s="5">
        <v>46098</v>
      </c>
      <c r="Q191" s="5">
        <v>46096</v>
      </c>
      <c r="R191" t="s">
        <v>25</v>
      </c>
      <c r="S191" t="s">
        <v>51</v>
      </c>
    </row>
    <row r="192" spans="1:19" x14ac:dyDescent="0.25">
      <c r="A192" t="s">
        <v>281</v>
      </c>
      <c r="B192" s="5">
        <v>46167</v>
      </c>
      <c r="C192" t="s">
        <v>28</v>
      </c>
      <c r="D192" t="s">
        <v>29</v>
      </c>
      <c r="E192" t="s">
        <v>95</v>
      </c>
      <c r="F192" t="s">
        <v>96</v>
      </c>
      <c r="G192" t="s">
        <v>24</v>
      </c>
      <c r="H192">
        <v>218</v>
      </c>
      <c r="I192">
        <v>185</v>
      </c>
      <c r="J192">
        <v>9</v>
      </c>
      <c r="K192">
        <v>0.8</v>
      </c>
      <c r="L192">
        <v>35343.050000000003</v>
      </c>
      <c r="M192">
        <v>5.67</v>
      </c>
      <c r="N192">
        <v>102.06</v>
      </c>
      <c r="O192">
        <v>262</v>
      </c>
      <c r="P192" s="5">
        <v>46178</v>
      </c>
      <c r="Q192" s="5">
        <v>46178</v>
      </c>
      <c r="R192" t="s">
        <v>25</v>
      </c>
      <c r="S192" t="s">
        <v>51</v>
      </c>
    </row>
    <row r="193" spans="1:19" x14ac:dyDescent="0.25">
      <c r="A193" t="s">
        <v>282</v>
      </c>
      <c r="B193" s="5">
        <v>46105</v>
      </c>
      <c r="C193" t="s">
        <v>80</v>
      </c>
      <c r="D193" t="s">
        <v>21</v>
      </c>
      <c r="E193" t="s">
        <v>22</v>
      </c>
      <c r="F193" t="s">
        <v>125</v>
      </c>
      <c r="G193" t="s">
        <v>32</v>
      </c>
      <c r="H193">
        <v>117</v>
      </c>
      <c r="I193">
        <v>113</v>
      </c>
      <c r="J193">
        <v>9</v>
      </c>
      <c r="K193">
        <v>7</v>
      </c>
      <c r="L193">
        <v>37169.120000000003</v>
      </c>
      <c r="M193">
        <v>4.6399999999999997</v>
      </c>
      <c r="N193">
        <v>102.08</v>
      </c>
      <c r="O193">
        <v>178</v>
      </c>
      <c r="P193" s="5">
        <v>46116</v>
      </c>
      <c r="Q193" s="5">
        <v>46115</v>
      </c>
      <c r="R193" t="s">
        <v>25</v>
      </c>
      <c r="S193" t="s">
        <v>51</v>
      </c>
    </row>
    <row r="194" spans="1:19" x14ac:dyDescent="0.25">
      <c r="A194" t="s">
        <v>283</v>
      </c>
      <c r="B194" s="5">
        <v>46063</v>
      </c>
      <c r="C194" t="s">
        <v>35</v>
      </c>
      <c r="D194" t="s">
        <v>36</v>
      </c>
      <c r="E194" t="s">
        <v>69</v>
      </c>
      <c r="F194" t="s">
        <v>170</v>
      </c>
      <c r="G194" t="s">
        <v>57</v>
      </c>
      <c r="H194">
        <v>246</v>
      </c>
      <c r="I194">
        <v>210</v>
      </c>
      <c r="J194">
        <v>14</v>
      </c>
      <c r="K194">
        <v>5.0999999999999996</v>
      </c>
      <c r="L194">
        <v>22718.880000000001</v>
      </c>
      <c r="M194">
        <v>5.58</v>
      </c>
      <c r="N194">
        <v>145.08000000000001</v>
      </c>
      <c r="O194">
        <v>250</v>
      </c>
      <c r="P194" s="5">
        <v>46071</v>
      </c>
      <c r="Q194" s="5">
        <v>46071</v>
      </c>
      <c r="R194" t="s">
        <v>25</v>
      </c>
      <c r="S194" t="s">
        <v>33</v>
      </c>
    </row>
    <row r="195" spans="1:19" x14ac:dyDescent="0.25">
      <c r="A195" t="s">
        <v>284</v>
      </c>
      <c r="B195" s="5">
        <v>46202</v>
      </c>
      <c r="C195" t="s">
        <v>35</v>
      </c>
      <c r="D195" t="s">
        <v>36</v>
      </c>
      <c r="E195" t="s">
        <v>37</v>
      </c>
      <c r="F195" t="s">
        <v>96</v>
      </c>
      <c r="G195" t="s">
        <v>57</v>
      </c>
      <c r="H195">
        <v>126</v>
      </c>
      <c r="I195">
        <v>123</v>
      </c>
      <c r="J195">
        <v>10</v>
      </c>
      <c r="K195">
        <v>8.6999999999999993</v>
      </c>
      <c r="L195">
        <v>10366.07</v>
      </c>
      <c r="M195">
        <v>4.9800000000000004</v>
      </c>
      <c r="N195">
        <v>99.6</v>
      </c>
      <c r="O195">
        <v>170</v>
      </c>
      <c r="P195" s="5">
        <v>46205</v>
      </c>
      <c r="Q195" s="5">
        <v>46205</v>
      </c>
      <c r="R195" t="s">
        <v>25</v>
      </c>
      <c r="S195" t="s">
        <v>33</v>
      </c>
    </row>
    <row r="196" spans="1:19" x14ac:dyDescent="0.25">
      <c r="A196" t="s">
        <v>285</v>
      </c>
      <c r="B196" s="5">
        <v>46194</v>
      </c>
      <c r="C196" t="s">
        <v>48</v>
      </c>
      <c r="D196" t="s">
        <v>49</v>
      </c>
      <c r="E196" t="s">
        <v>76</v>
      </c>
      <c r="F196" t="s">
        <v>119</v>
      </c>
      <c r="G196" t="s">
        <v>32</v>
      </c>
      <c r="H196">
        <v>82</v>
      </c>
      <c r="I196">
        <v>68</v>
      </c>
      <c r="J196">
        <v>1</v>
      </c>
      <c r="K196">
        <v>0.6</v>
      </c>
      <c r="L196">
        <v>11107.88</v>
      </c>
      <c r="M196">
        <v>1.23</v>
      </c>
      <c r="N196">
        <v>29.52</v>
      </c>
      <c r="O196">
        <v>162</v>
      </c>
      <c r="P196" s="5">
        <v>46202</v>
      </c>
      <c r="Q196" s="5">
        <v>46202</v>
      </c>
      <c r="R196" t="s">
        <v>100</v>
      </c>
      <c r="S196" t="s">
        <v>86</v>
      </c>
    </row>
    <row r="197" spans="1:19" x14ac:dyDescent="0.25">
      <c r="A197" t="s">
        <v>286</v>
      </c>
      <c r="B197" s="5">
        <v>46162</v>
      </c>
      <c r="C197" t="s">
        <v>35</v>
      </c>
      <c r="D197" t="s">
        <v>36</v>
      </c>
      <c r="E197" t="s">
        <v>37</v>
      </c>
      <c r="F197" t="s">
        <v>71</v>
      </c>
      <c r="G197" t="s">
        <v>57</v>
      </c>
      <c r="H197">
        <v>292</v>
      </c>
      <c r="I197">
        <v>270</v>
      </c>
      <c r="J197">
        <v>22</v>
      </c>
      <c r="K197">
        <v>5.9</v>
      </c>
      <c r="L197">
        <v>24138.81</v>
      </c>
      <c r="M197">
        <v>5.34</v>
      </c>
      <c r="N197">
        <v>96.12</v>
      </c>
      <c r="O197">
        <v>327</v>
      </c>
      <c r="P197" s="5">
        <v>46164</v>
      </c>
      <c r="Q197" s="5">
        <v>46165</v>
      </c>
      <c r="R197" t="s">
        <v>25</v>
      </c>
      <c r="S197" t="s">
        <v>86</v>
      </c>
    </row>
    <row r="198" spans="1:19" x14ac:dyDescent="0.25">
      <c r="A198" t="s">
        <v>287</v>
      </c>
      <c r="B198" s="5">
        <v>46066</v>
      </c>
      <c r="C198" t="s">
        <v>35</v>
      </c>
      <c r="D198" t="s">
        <v>36</v>
      </c>
      <c r="E198" t="s">
        <v>37</v>
      </c>
      <c r="F198" t="s">
        <v>38</v>
      </c>
      <c r="G198" t="s">
        <v>32</v>
      </c>
      <c r="H198">
        <v>267</v>
      </c>
      <c r="I198">
        <v>200</v>
      </c>
      <c r="J198">
        <v>17</v>
      </c>
      <c r="K198">
        <v>8.8000000000000007</v>
      </c>
      <c r="L198">
        <v>19593.55</v>
      </c>
      <c r="M198">
        <v>7.89</v>
      </c>
      <c r="N198">
        <v>142.02000000000001</v>
      </c>
      <c r="O198">
        <v>337</v>
      </c>
      <c r="P198" s="5">
        <v>46078</v>
      </c>
      <c r="Q198" s="5">
        <v>46078</v>
      </c>
      <c r="R198" t="s">
        <v>39</v>
      </c>
      <c r="S198" t="s">
        <v>51</v>
      </c>
    </row>
    <row r="199" spans="1:19" x14ac:dyDescent="0.25">
      <c r="A199" t="s">
        <v>288</v>
      </c>
      <c r="B199" s="5">
        <v>46036</v>
      </c>
      <c r="C199" t="s">
        <v>20</v>
      </c>
      <c r="D199" t="s">
        <v>21</v>
      </c>
      <c r="E199" t="s">
        <v>90</v>
      </c>
      <c r="F199" t="s">
        <v>114</v>
      </c>
      <c r="G199" t="s">
        <v>24</v>
      </c>
      <c r="H199">
        <v>132</v>
      </c>
      <c r="I199">
        <v>150</v>
      </c>
      <c r="J199">
        <v>6</v>
      </c>
      <c r="K199">
        <v>5</v>
      </c>
      <c r="L199">
        <v>56621.67</v>
      </c>
      <c r="M199">
        <v>5.08</v>
      </c>
      <c r="N199">
        <v>111.76</v>
      </c>
      <c r="O199">
        <v>152</v>
      </c>
      <c r="P199" s="5">
        <v>46039</v>
      </c>
      <c r="Q199" s="5">
        <v>46037</v>
      </c>
      <c r="R199" t="s">
        <v>100</v>
      </c>
      <c r="S199" t="s">
        <v>72</v>
      </c>
    </row>
    <row r="200" spans="1:19" x14ac:dyDescent="0.25">
      <c r="A200" t="s">
        <v>289</v>
      </c>
      <c r="B200" s="5">
        <v>46062</v>
      </c>
      <c r="C200" t="s">
        <v>80</v>
      </c>
      <c r="D200" t="s">
        <v>21</v>
      </c>
      <c r="E200" t="s">
        <v>90</v>
      </c>
      <c r="F200" t="s">
        <v>125</v>
      </c>
      <c r="G200" t="s">
        <v>32</v>
      </c>
      <c r="H200">
        <v>80</v>
      </c>
      <c r="I200">
        <v>72</v>
      </c>
      <c r="J200">
        <v>2</v>
      </c>
      <c r="K200">
        <v>6</v>
      </c>
      <c r="L200">
        <v>18295.560000000001</v>
      </c>
      <c r="M200">
        <v>1.34</v>
      </c>
      <c r="N200">
        <v>26.8</v>
      </c>
      <c r="O200">
        <v>124</v>
      </c>
      <c r="P200" s="5">
        <v>46065</v>
      </c>
      <c r="Q200" s="5">
        <v>46069</v>
      </c>
      <c r="R200" t="s">
        <v>25</v>
      </c>
      <c r="S200" t="s">
        <v>72</v>
      </c>
    </row>
    <row r="201" spans="1:19" x14ac:dyDescent="0.25">
      <c r="A201" t="s">
        <v>290</v>
      </c>
      <c r="B201" s="5">
        <v>46148</v>
      </c>
      <c r="C201" t="s">
        <v>59</v>
      </c>
      <c r="D201" t="s">
        <v>49</v>
      </c>
      <c r="E201" t="s">
        <v>50</v>
      </c>
      <c r="F201" t="s">
        <v>64</v>
      </c>
      <c r="G201" t="s">
        <v>57</v>
      </c>
      <c r="H201">
        <v>244</v>
      </c>
      <c r="I201">
        <v>232</v>
      </c>
      <c r="J201">
        <v>5</v>
      </c>
      <c r="K201">
        <v>8</v>
      </c>
      <c r="L201">
        <v>38047.79</v>
      </c>
      <c r="M201">
        <v>5.64</v>
      </c>
      <c r="N201">
        <v>135.36000000000001</v>
      </c>
      <c r="O201">
        <v>271</v>
      </c>
      <c r="P201" s="5">
        <v>46153</v>
      </c>
      <c r="Q201" s="5">
        <v>46153</v>
      </c>
      <c r="R201" t="s">
        <v>39</v>
      </c>
      <c r="S201" t="s">
        <v>33</v>
      </c>
    </row>
    <row r="202" spans="1:19" x14ac:dyDescent="0.25">
      <c r="A202" t="s">
        <v>291</v>
      </c>
      <c r="B202" s="5">
        <v>46044</v>
      </c>
      <c r="C202" t="s">
        <v>48</v>
      </c>
      <c r="D202" t="s">
        <v>49</v>
      </c>
      <c r="E202" t="s">
        <v>60</v>
      </c>
      <c r="F202" t="s">
        <v>125</v>
      </c>
      <c r="G202" t="s">
        <v>57</v>
      </c>
      <c r="H202">
        <v>185</v>
      </c>
      <c r="I202">
        <v>210</v>
      </c>
      <c r="J202">
        <v>12</v>
      </c>
      <c r="K202">
        <v>5</v>
      </c>
      <c r="L202">
        <v>51178.67</v>
      </c>
      <c r="M202">
        <v>5.89</v>
      </c>
      <c r="N202">
        <v>153.13999999999999</v>
      </c>
      <c r="O202">
        <v>266</v>
      </c>
      <c r="P202" s="5">
        <v>46055</v>
      </c>
      <c r="Q202" s="5">
        <v>46055</v>
      </c>
      <c r="R202" t="s">
        <v>100</v>
      </c>
      <c r="S202" t="s">
        <v>72</v>
      </c>
    </row>
    <row r="203" spans="1:19" x14ac:dyDescent="0.25">
      <c r="A203" t="s">
        <v>292</v>
      </c>
      <c r="B203" s="5">
        <v>46031</v>
      </c>
      <c r="C203" t="s">
        <v>43</v>
      </c>
      <c r="D203" t="s">
        <v>44</v>
      </c>
      <c r="E203" t="s">
        <v>93</v>
      </c>
      <c r="F203" t="s">
        <v>122</v>
      </c>
      <c r="G203" t="s">
        <v>32</v>
      </c>
      <c r="H203">
        <v>273</v>
      </c>
      <c r="I203">
        <v>249</v>
      </c>
      <c r="J203">
        <v>22</v>
      </c>
      <c r="K203">
        <v>1.5</v>
      </c>
      <c r="L203">
        <v>24060.65</v>
      </c>
      <c r="M203">
        <v>4.74</v>
      </c>
      <c r="N203">
        <v>85.32</v>
      </c>
      <c r="O203">
        <v>344</v>
      </c>
      <c r="P203" s="5">
        <v>46036</v>
      </c>
      <c r="Q203" s="5">
        <v>46036</v>
      </c>
      <c r="R203" t="s">
        <v>39</v>
      </c>
      <c r="S203" t="s">
        <v>33</v>
      </c>
    </row>
    <row r="204" spans="1:19" x14ac:dyDescent="0.25">
      <c r="A204" t="s">
        <v>293</v>
      </c>
      <c r="B204" s="5">
        <v>46045</v>
      </c>
      <c r="C204" t="s">
        <v>35</v>
      </c>
      <c r="D204" t="s">
        <v>36</v>
      </c>
      <c r="E204" t="s">
        <v>69</v>
      </c>
      <c r="F204" t="s">
        <v>170</v>
      </c>
      <c r="G204" t="s">
        <v>24</v>
      </c>
      <c r="H204">
        <v>221</v>
      </c>
      <c r="I204">
        <v>190</v>
      </c>
      <c r="J204">
        <v>5</v>
      </c>
      <c r="K204">
        <v>4.0999999999999996</v>
      </c>
      <c r="L204">
        <v>21368.81</v>
      </c>
      <c r="M204">
        <v>6.26</v>
      </c>
      <c r="N204">
        <v>162.76</v>
      </c>
      <c r="O204">
        <v>288</v>
      </c>
      <c r="P204" s="5">
        <v>46048</v>
      </c>
      <c r="Q204" s="5">
        <v>46050</v>
      </c>
      <c r="R204" t="s">
        <v>25</v>
      </c>
      <c r="S204" t="s">
        <v>26</v>
      </c>
    </row>
    <row r="205" spans="1:19" x14ac:dyDescent="0.25">
      <c r="A205" t="s">
        <v>294</v>
      </c>
      <c r="B205" s="5">
        <v>46172</v>
      </c>
      <c r="C205" t="s">
        <v>20</v>
      </c>
      <c r="D205" t="s">
        <v>21</v>
      </c>
      <c r="E205" t="s">
        <v>22</v>
      </c>
      <c r="F205" t="s">
        <v>46</v>
      </c>
      <c r="G205" t="s">
        <v>57</v>
      </c>
      <c r="H205">
        <v>224</v>
      </c>
      <c r="I205">
        <v>236</v>
      </c>
      <c r="J205">
        <v>17</v>
      </c>
      <c r="K205">
        <v>7.8</v>
      </c>
      <c r="L205">
        <v>95678.06</v>
      </c>
      <c r="M205">
        <v>5.74</v>
      </c>
      <c r="N205">
        <v>137.76</v>
      </c>
      <c r="O205">
        <v>305</v>
      </c>
      <c r="P205" s="5">
        <v>46174</v>
      </c>
      <c r="Q205" s="5">
        <v>46174</v>
      </c>
      <c r="R205" t="s">
        <v>25</v>
      </c>
      <c r="S205" t="s">
        <v>26</v>
      </c>
    </row>
    <row r="206" spans="1:19" x14ac:dyDescent="0.25">
      <c r="A206" t="s">
        <v>295</v>
      </c>
      <c r="B206" s="5">
        <v>46178</v>
      </c>
      <c r="C206" t="s">
        <v>35</v>
      </c>
      <c r="D206" t="s">
        <v>36</v>
      </c>
      <c r="E206" t="s">
        <v>37</v>
      </c>
      <c r="F206" t="s">
        <v>61</v>
      </c>
      <c r="G206" t="s">
        <v>32</v>
      </c>
      <c r="H206">
        <v>181</v>
      </c>
      <c r="I206">
        <v>199</v>
      </c>
      <c r="J206">
        <v>6</v>
      </c>
      <c r="K206">
        <v>2.1</v>
      </c>
      <c r="L206">
        <v>22190.93</v>
      </c>
      <c r="M206">
        <v>7.87</v>
      </c>
      <c r="N206">
        <v>141.66</v>
      </c>
      <c r="O206">
        <v>227</v>
      </c>
      <c r="P206" s="5">
        <v>46184</v>
      </c>
      <c r="Q206" s="5">
        <v>46184</v>
      </c>
      <c r="R206" t="s">
        <v>25</v>
      </c>
      <c r="S206" t="s">
        <v>33</v>
      </c>
    </row>
    <row r="207" spans="1:19" x14ac:dyDescent="0.25">
      <c r="A207" t="s">
        <v>296</v>
      </c>
      <c r="B207" s="5">
        <v>46081</v>
      </c>
      <c r="C207" t="s">
        <v>43</v>
      </c>
      <c r="D207" t="s">
        <v>44</v>
      </c>
      <c r="E207" t="s">
        <v>161</v>
      </c>
      <c r="F207" t="s">
        <v>85</v>
      </c>
      <c r="G207" t="s">
        <v>57</v>
      </c>
      <c r="H207">
        <v>270</v>
      </c>
      <c r="I207">
        <v>245</v>
      </c>
      <c r="J207">
        <v>19</v>
      </c>
      <c r="K207">
        <v>2.4</v>
      </c>
      <c r="L207">
        <v>29006.97</v>
      </c>
      <c r="M207">
        <v>5.52</v>
      </c>
      <c r="N207">
        <v>110.4</v>
      </c>
      <c r="O207">
        <v>334</v>
      </c>
      <c r="P207" s="5">
        <v>46090</v>
      </c>
      <c r="Q207" s="5">
        <v>46091</v>
      </c>
      <c r="R207" t="s">
        <v>25</v>
      </c>
      <c r="S207" t="s">
        <v>33</v>
      </c>
    </row>
    <row r="208" spans="1:19" x14ac:dyDescent="0.25">
      <c r="A208" t="s">
        <v>297</v>
      </c>
      <c r="B208" s="5">
        <v>46102</v>
      </c>
      <c r="C208" t="s">
        <v>35</v>
      </c>
      <c r="D208" t="s">
        <v>36</v>
      </c>
      <c r="E208" t="s">
        <v>37</v>
      </c>
      <c r="F208" t="s">
        <v>106</v>
      </c>
      <c r="G208" t="s">
        <v>57</v>
      </c>
      <c r="H208">
        <v>279</v>
      </c>
      <c r="I208">
        <v>303</v>
      </c>
      <c r="J208">
        <v>25</v>
      </c>
      <c r="K208">
        <v>0.3</v>
      </c>
      <c r="L208">
        <v>27024.58</v>
      </c>
      <c r="M208">
        <v>11.54</v>
      </c>
      <c r="N208">
        <v>230.8</v>
      </c>
      <c r="O208">
        <v>247</v>
      </c>
      <c r="P208" s="5">
        <v>46111</v>
      </c>
      <c r="Q208" s="5">
        <v>46109</v>
      </c>
      <c r="R208" t="s">
        <v>25</v>
      </c>
      <c r="S208" t="s">
        <v>86</v>
      </c>
    </row>
    <row r="209" spans="1:19" x14ac:dyDescent="0.25">
      <c r="A209" t="s">
        <v>298</v>
      </c>
      <c r="B209" s="5">
        <v>46117</v>
      </c>
      <c r="C209" t="s">
        <v>53</v>
      </c>
      <c r="D209" t="s">
        <v>54</v>
      </c>
      <c r="E209" t="s">
        <v>131</v>
      </c>
      <c r="F209" t="s">
        <v>112</v>
      </c>
      <c r="G209" t="s">
        <v>24</v>
      </c>
      <c r="H209">
        <v>242</v>
      </c>
      <c r="I209">
        <v>270</v>
      </c>
      <c r="J209">
        <v>17</v>
      </c>
      <c r="K209">
        <v>2.2000000000000002</v>
      </c>
      <c r="L209">
        <v>37866.160000000003</v>
      </c>
      <c r="M209">
        <v>11.08</v>
      </c>
      <c r="N209">
        <v>265.92</v>
      </c>
      <c r="O209">
        <v>291</v>
      </c>
      <c r="P209" s="5">
        <v>46124</v>
      </c>
      <c r="Q209" s="5">
        <v>46124</v>
      </c>
      <c r="R209" t="s">
        <v>25</v>
      </c>
      <c r="S209" t="s">
        <v>33</v>
      </c>
    </row>
    <row r="210" spans="1:19" x14ac:dyDescent="0.25">
      <c r="A210" t="s">
        <v>299</v>
      </c>
      <c r="B210" s="5">
        <v>46095</v>
      </c>
      <c r="C210" t="s">
        <v>80</v>
      </c>
      <c r="D210" t="s">
        <v>21</v>
      </c>
      <c r="E210" t="s">
        <v>90</v>
      </c>
      <c r="F210" t="s">
        <v>119</v>
      </c>
      <c r="G210" t="s">
        <v>57</v>
      </c>
      <c r="H210">
        <v>92</v>
      </c>
      <c r="I210">
        <v>72</v>
      </c>
      <c r="J210">
        <v>4</v>
      </c>
      <c r="K210">
        <v>8.6999999999999993</v>
      </c>
      <c r="L210">
        <v>22526.12</v>
      </c>
      <c r="M210">
        <v>2.4700000000000002</v>
      </c>
      <c r="N210">
        <v>54.34</v>
      </c>
      <c r="O210">
        <v>156</v>
      </c>
      <c r="P210" s="5">
        <v>46105</v>
      </c>
      <c r="Q210" s="5">
        <v>46103</v>
      </c>
      <c r="R210" t="s">
        <v>25</v>
      </c>
      <c r="S210" t="s">
        <v>51</v>
      </c>
    </row>
    <row r="211" spans="1:19" x14ac:dyDescent="0.25">
      <c r="A211" t="s">
        <v>300</v>
      </c>
      <c r="B211" s="5">
        <v>46176</v>
      </c>
      <c r="C211" t="s">
        <v>80</v>
      </c>
      <c r="D211" t="s">
        <v>21</v>
      </c>
      <c r="E211" t="s">
        <v>22</v>
      </c>
      <c r="F211" t="s">
        <v>125</v>
      </c>
      <c r="G211" t="s">
        <v>24</v>
      </c>
      <c r="H211">
        <v>144</v>
      </c>
      <c r="I211">
        <v>141</v>
      </c>
      <c r="J211">
        <v>12</v>
      </c>
      <c r="K211">
        <v>6.4</v>
      </c>
      <c r="L211">
        <v>38007.26</v>
      </c>
      <c r="M211">
        <v>5.57</v>
      </c>
      <c r="N211">
        <v>122.54</v>
      </c>
      <c r="O211">
        <v>221</v>
      </c>
      <c r="P211" s="5">
        <v>46182</v>
      </c>
      <c r="Q211" s="5">
        <v>46182</v>
      </c>
      <c r="R211" t="s">
        <v>100</v>
      </c>
      <c r="S211" t="s">
        <v>26</v>
      </c>
    </row>
    <row r="212" spans="1:19" x14ac:dyDescent="0.25">
      <c r="A212" t="s">
        <v>301</v>
      </c>
      <c r="B212" s="5">
        <v>46182</v>
      </c>
      <c r="C212" t="s">
        <v>35</v>
      </c>
      <c r="D212" t="s">
        <v>36</v>
      </c>
      <c r="E212" t="s">
        <v>37</v>
      </c>
      <c r="F212" t="s">
        <v>122</v>
      </c>
      <c r="G212" t="s">
        <v>24</v>
      </c>
      <c r="H212">
        <v>81</v>
      </c>
      <c r="I212">
        <v>76</v>
      </c>
      <c r="J212">
        <v>4</v>
      </c>
      <c r="K212">
        <v>7.6</v>
      </c>
      <c r="L212">
        <v>6944.4</v>
      </c>
      <c r="M212">
        <v>2.48</v>
      </c>
      <c r="N212">
        <v>54.56</v>
      </c>
      <c r="O212">
        <v>77</v>
      </c>
      <c r="P212" s="5">
        <v>46191</v>
      </c>
      <c r="Q212" s="5">
        <v>46190</v>
      </c>
      <c r="R212" t="s">
        <v>25</v>
      </c>
      <c r="S212" t="s">
        <v>86</v>
      </c>
    </row>
    <row r="213" spans="1:19" x14ac:dyDescent="0.25">
      <c r="A213" t="s">
        <v>302</v>
      </c>
      <c r="B213" s="5">
        <v>46093</v>
      </c>
      <c r="C213" t="s">
        <v>59</v>
      </c>
      <c r="D213" t="s">
        <v>49</v>
      </c>
      <c r="E213" t="s">
        <v>60</v>
      </c>
      <c r="F213" t="s">
        <v>112</v>
      </c>
      <c r="G213" t="s">
        <v>57</v>
      </c>
      <c r="H213">
        <v>262</v>
      </c>
      <c r="I213">
        <v>295</v>
      </c>
      <c r="J213">
        <v>18</v>
      </c>
      <c r="K213">
        <v>1.7</v>
      </c>
      <c r="L213">
        <v>48231.23</v>
      </c>
      <c r="M213">
        <v>5.71</v>
      </c>
      <c r="N213">
        <v>148.46</v>
      </c>
      <c r="O213">
        <v>325</v>
      </c>
      <c r="P213" s="5">
        <v>46105</v>
      </c>
      <c r="Q213" s="5">
        <v>46106</v>
      </c>
      <c r="R213" t="s">
        <v>25</v>
      </c>
      <c r="S213" t="s">
        <v>72</v>
      </c>
    </row>
    <row r="214" spans="1:19" x14ac:dyDescent="0.25">
      <c r="A214" t="s">
        <v>303</v>
      </c>
      <c r="B214" s="5">
        <v>46098</v>
      </c>
      <c r="C214" t="s">
        <v>59</v>
      </c>
      <c r="D214" t="s">
        <v>49</v>
      </c>
      <c r="E214" t="s">
        <v>76</v>
      </c>
      <c r="F214" t="s">
        <v>85</v>
      </c>
      <c r="G214" t="s">
        <v>32</v>
      </c>
      <c r="H214">
        <v>183</v>
      </c>
      <c r="I214">
        <v>162</v>
      </c>
      <c r="J214">
        <v>1</v>
      </c>
      <c r="K214">
        <v>6.4</v>
      </c>
      <c r="L214">
        <v>26613.599999999999</v>
      </c>
      <c r="M214">
        <v>5.74</v>
      </c>
      <c r="N214">
        <v>114.8</v>
      </c>
      <c r="O214">
        <v>279</v>
      </c>
      <c r="P214" s="5">
        <v>46110</v>
      </c>
      <c r="Q214" s="5">
        <v>46114</v>
      </c>
      <c r="R214" t="s">
        <v>25</v>
      </c>
      <c r="S214" t="s">
        <v>51</v>
      </c>
    </row>
    <row r="215" spans="1:19" x14ac:dyDescent="0.25">
      <c r="A215" t="s">
        <v>304</v>
      </c>
      <c r="B215" s="5">
        <v>46191</v>
      </c>
      <c r="C215" t="s">
        <v>43</v>
      </c>
      <c r="D215" t="s">
        <v>44</v>
      </c>
      <c r="E215" t="s">
        <v>161</v>
      </c>
      <c r="F215" t="s">
        <v>112</v>
      </c>
      <c r="G215" t="s">
        <v>32</v>
      </c>
      <c r="H215">
        <v>104</v>
      </c>
      <c r="I215">
        <v>95</v>
      </c>
      <c r="J215">
        <v>6</v>
      </c>
      <c r="K215">
        <v>6.5</v>
      </c>
      <c r="L215">
        <v>12656.31</v>
      </c>
      <c r="M215">
        <v>3.87</v>
      </c>
      <c r="N215">
        <v>85.14</v>
      </c>
      <c r="O215">
        <v>86</v>
      </c>
      <c r="P215" s="5">
        <v>46196</v>
      </c>
      <c r="Q215" s="5">
        <v>46197</v>
      </c>
      <c r="R215" t="s">
        <v>25</v>
      </c>
      <c r="S215" t="s">
        <v>72</v>
      </c>
    </row>
    <row r="216" spans="1:19" x14ac:dyDescent="0.25">
      <c r="A216" t="s">
        <v>305</v>
      </c>
      <c r="B216" s="5">
        <v>46107</v>
      </c>
      <c r="C216" t="s">
        <v>48</v>
      </c>
      <c r="D216" t="s">
        <v>49</v>
      </c>
      <c r="E216" t="s">
        <v>76</v>
      </c>
      <c r="F216" t="s">
        <v>85</v>
      </c>
      <c r="G216" t="s">
        <v>32</v>
      </c>
      <c r="H216">
        <v>229</v>
      </c>
      <c r="I216">
        <v>193</v>
      </c>
      <c r="J216">
        <v>15</v>
      </c>
      <c r="K216">
        <v>4.2</v>
      </c>
      <c r="L216">
        <v>44674.55</v>
      </c>
      <c r="M216">
        <v>7.85</v>
      </c>
      <c r="N216">
        <v>141.30000000000001</v>
      </c>
      <c r="O216">
        <v>309</v>
      </c>
      <c r="P216" s="5">
        <v>46112</v>
      </c>
      <c r="Q216" s="5">
        <v>46111</v>
      </c>
      <c r="R216" t="s">
        <v>100</v>
      </c>
      <c r="S216" t="s">
        <v>72</v>
      </c>
    </row>
    <row r="217" spans="1:19" x14ac:dyDescent="0.25">
      <c r="A217" t="s">
        <v>306</v>
      </c>
      <c r="B217" s="5">
        <v>46036</v>
      </c>
      <c r="C217" t="s">
        <v>43</v>
      </c>
      <c r="D217" t="s">
        <v>44</v>
      </c>
      <c r="E217" t="s">
        <v>93</v>
      </c>
      <c r="F217" t="s">
        <v>96</v>
      </c>
      <c r="G217" t="s">
        <v>24</v>
      </c>
      <c r="H217">
        <v>131</v>
      </c>
      <c r="I217">
        <v>113</v>
      </c>
      <c r="J217">
        <v>10</v>
      </c>
      <c r="K217">
        <v>8</v>
      </c>
      <c r="L217">
        <v>14110.25</v>
      </c>
      <c r="M217">
        <v>4.37</v>
      </c>
      <c r="N217">
        <v>87.4</v>
      </c>
      <c r="O217">
        <v>111</v>
      </c>
      <c r="P217" s="5">
        <v>46045</v>
      </c>
      <c r="Q217" s="5">
        <v>46046</v>
      </c>
      <c r="R217" t="s">
        <v>25</v>
      </c>
      <c r="S217" t="s">
        <v>33</v>
      </c>
    </row>
    <row r="218" spans="1:19" x14ac:dyDescent="0.25">
      <c r="A218" t="s">
        <v>307</v>
      </c>
      <c r="B218" s="5">
        <v>46024</v>
      </c>
      <c r="C218" t="s">
        <v>53</v>
      </c>
      <c r="D218" t="s">
        <v>54</v>
      </c>
      <c r="E218" t="s">
        <v>131</v>
      </c>
      <c r="F218" t="s">
        <v>77</v>
      </c>
      <c r="G218" t="s">
        <v>32</v>
      </c>
      <c r="H218">
        <v>133</v>
      </c>
      <c r="I218">
        <v>139</v>
      </c>
      <c r="J218">
        <v>2</v>
      </c>
      <c r="K218">
        <v>6.9</v>
      </c>
      <c r="L218">
        <v>21181.18</v>
      </c>
      <c r="M218">
        <v>2.8</v>
      </c>
      <c r="N218">
        <v>72.8</v>
      </c>
      <c r="O218">
        <v>204</v>
      </c>
      <c r="P218" s="5">
        <v>46036</v>
      </c>
      <c r="Q218" s="5">
        <v>46038</v>
      </c>
      <c r="R218" t="s">
        <v>100</v>
      </c>
      <c r="S218" t="s">
        <v>72</v>
      </c>
    </row>
    <row r="219" spans="1:19" x14ac:dyDescent="0.25">
      <c r="A219" t="s">
        <v>308</v>
      </c>
      <c r="B219" s="5">
        <v>46024</v>
      </c>
      <c r="C219" t="s">
        <v>80</v>
      </c>
      <c r="D219" t="s">
        <v>21</v>
      </c>
      <c r="E219" t="s">
        <v>66</v>
      </c>
      <c r="F219" t="s">
        <v>170</v>
      </c>
      <c r="G219" t="s">
        <v>57</v>
      </c>
      <c r="H219">
        <v>131</v>
      </c>
      <c r="I219">
        <v>135</v>
      </c>
      <c r="J219">
        <v>12</v>
      </c>
      <c r="K219">
        <v>8</v>
      </c>
      <c r="L219">
        <v>39660.46</v>
      </c>
      <c r="M219">
        <v>2.4900000000000002</v>
      </c>
      <c r="N219">
        <v>44.82</v>
      </c>
      <c r="O219">
        <v>154</v>
      </c>
      <c r="P219" s="5">
        <v>46029</v>
      </c>
      <c r="Q219" s="5">
        <v>46030</v>
      </c>
      <c r="R219" t="s">
        <v>25</v>
      </c>
      <c r="S219" t="s">
        <v>72</v>
      </c>
    </row>
    <row r="220" spans="1:19" x14ac:dyDescent="0.25">
      <c r="A220" t="s">
        <v>309</v>
      </c>
      <c r="B220" s="5">
        <v>46151</v>
      </c>
      <c r="C220" t="s">
        <v>59</v>
      </c>
      <c r="D220" t="s">
        <v>49</v>
      </c>
      <c r="E220" t="s">
        <v>50</v>
      </c>
      <c r="F220" t="s">
        <v>244</v>
      </c>
      <c r="G220" t="s">
        <v>32</v>
      </c>
      <c r="H220">
        <v>96</v>
      </c>
      <c r="I220">
        <v>103</v>
      </c>
      <c r="J220">
        <v>3</v>
      </c>
      <c r="K220">
        <v>2.6</v>
      </c>
      <c r="L220">
        <v>19963.71</v>
      </c>
      <c r="M220">
        <v>2.69</v>
      </c>
      <c r="N220">
        <v>53.8</v>
      </c>
      <c r="O220">
        <v>143</v>
      </c>
      <c r="P220" s="5">
        <v>46160</v>
      </c>
      <c r="Q220" s="5">
        <v>46161</v>
      </c>
      <c r="R220" t="s">
        <v>25</v>
      </c>
      <c r="S220" t="s">
        <v>33</v>
      </c>
    </row>
    <row r="221" spans="1:19" x14ac:dyDescent="0.25">
      <c r="A221" t="s">
        <v>310</v>
      </c>
      <c r="B221" s="5">
        <v>46081</v>
      </c>
      <c r="C221" t="s">
        <v>28</v>
      </c>
      <c r="D221" t="s">
        <v>29</v>
      </c>
      <c r="E221" t="s">
        <v>30</v>
      </c>
      <c r="F221" t="s">
        <v>64</v>
      </c>
      <c r="G221" t="s">
        <v>24</v>
      </c>
      <c r="H221">
        <v>113</v>
      </c>
      <c r="I221">
        <v>91</v>
      </c>
      <c r="J221">
        <v>0</v>
      </c>
      <c r="K221">
        <v>4.5</v>
      </c>
      <c r="L221">
        <v>18996.7</v>
      </c>
      <c r="M221">
        <v>3.37</v>
      </c>
      <c r="N221">
        <v>80.88</v>
      </c>
      <c r="O221">
        <v>138</v>
      </c>
      <c r="P221" s="5">
        <v>46091</v>
      </c>
      <c r="Q221" s="5">
        <v>46089</v>
      </c>
      <c r="R221" t="s">
        <v>39</v>
      </c>
      <c r="S221" t="s">
        <v>33</v>
      </c>
    </row>
    <row r="222" spans="1:19" x14ac:dyDescent="0.25">
      <c r="A222" t="s">
        <v>311</v>
      </c>
      <c r="B222" s="5">
        <v>46190</v>
      </c>
      <c r="C222" t="s">
        <v>80</v>
      </c>
      <c r="D222" t="s">
        <v>21</v>
      </c>
      <c r="E222" t="s">
        <v>22</v>
      </c>
      <c r="F222" t="s">
        <v>122</v>
      </c>
      <c r="G222" t="s">
        <v>24</v>
      </c>
      <c r="H222">
        <v>256</v>
      </c>
      <c r="I222">
        <v>197</v>
      </c>
      <c r="J222">
        <v>8</v>
      </c>
      <c r="K222">
        <v>1.1000000000000001</v>
      </c>
      <c r="L222">
        <v>50449.79</v>
      </c>
      <c r="M222">
        <v>4.5199999999999996</v>
      </c>
      <c r="N222">
        <v>81.36</v>
      </c>
      <c r="O222">
        <v>293</v>
      </c>
      <c r="P222" s="5">
        <v>46198</v>
      </c>
      <c r="Q222" s="5">
        <v>46197</v>
      </c>
      <c r="R222" t="s">
        <v>39</v>
      </c>
      <c r="S222" t="s">
        <v>26</v>
      </c>
    </row>
    <row r="223" spans="1:19" x14ac:dyDescent="0.25">
      <c r="A223" t="s">
        <v>312</v>
      </c>
      <c r="B223" s="5">
        <v>46202</v>
      </c>
      <c r="C223" t="s">
        <v>43</v>
      </c>
      <c r="D223" t="s">
        <v>44</v>
      </c>
      <c r="E223" t="s">
        <v>161</v>
      </c>
      <c r="F223" t="s">
        <v>106</v>
      </c>
      <c r="G223" t="s">
        <v>32</v>
      </c>
      <c r="H223">
        <v>292</v>
      </c>
      <c r="I223">
        <v>323</v>
      </c>
      <c r="J223">
        <v>16</v>
      </c>
      <c r="K223">
        <v>5.6</v>
      </c>
      <c r="L223">
        <v>37642.61</v>
      </c>
      <c r="M223">
        <v>9.67</v>
      </c>
      <c r="N223">
        <v>251.42</v>
      </c>
      <c r="O223">
        <v>303</v>
      </c>
      <c r="P223" s="5">
        <v>46208</v>
      </c>
      <c r="Q223" s="5">
        <v>46208</v>
      </c>
      <c r="R223" t="s">
        <v>25</v>
      </c>
      <c r="S223" t="s">
        <v>86</v>
      </c>
    </row>
    <row r="224" spans="1:19" x14ac:dyDescent="0.25">
      <c r="A224" t="s">
        <v>313</v>
      </c>
      <c r="B224" s="5">
        <v>46064</v>
      </c>
      <c r="C224" t="s">
        <v>80</v>
      </c>
      <c r="D224" t="s">
        <v>21</v>
      </c>
      <c r="E224" t="s">
        <v>66</v>
      </c>
      <c r="F224" t="s">
        <v>88</v>
      </c>
      <c r="G224" t="s">
        <v>24</v>
      </c>
      <c r="H224">
        <v>207</v>
      </c>
      <c r="I224">
        <v>230</v>
      </c>
      <c r="J224">
        <v>15</v>
      </c>
      <c r="K224">
        <v>4.3</v>
      </c>
      <c r="L224">
        <v>48241.29</v>
      </c>
      <c r="M224">
        <v>4.63</v>
      </c>
      <c r="N224">
        <v>83.34</v>
      </c>
      <c r="O224">
        <v>293</v>
      </c>
      <c r="P224" s="5">
        <v>46068</v>
      </c>
      <c r="Q224" s="5">
        <v>46067</v>
      </c>
      <c r="R224" t="s">
        <v>39</v>
      </c>
      <c r="S224" t="s">
        <v>33</v>
      </c>
    </row>
    <row r="225" spans="1:19" x14ac:dyDescent="0.25">
      <c r="A225" t="s">
        <v>314</v>
      </c>
      <c r="B225" s="5">
        <v>46088</v>
      </c>
      <c r="C225" t="s">
        <v>28</v>
      </c>
      <c r="D225" t="s">
        <v>29</v>
      </c>
      <c r="E225" t="s">
        <v>95</v>
      </c>
      <c r="F225" t="s">
        <v>135</v>
      </c>
      <c r="G225" t="s">
        <v>57</v>
      </c>
      <c r="H225">
        <v>155</v>
      </c>
      <c r="I225">
        <v>129</v>
      </c>
      <c r="J225">
        <v>1</v>
      </c>
      <c r="K225">
        <v>7.3</v>
      </c>
      <c r="L225">
        <v>36616.839999999997</v>
      </c>
      <c r="M225">
        <v>3.44</v>
      </c>
      <c r="N225">
        <v>75.680000000000007</v>
      </c>
      <c r="O225">
        <v>224</v>
      </c>
      <c r="P225" s="5">
        <v>46091</v>
      </c>
      <c r="Q225" s="5">
        <v>46090</v>
      </c>
      <c r="R225" t="s">
        <v>25</v>
      </c>
      <c r="S225" t="s">
        <v>51</v>
      </c>
    </row>
    <row r="226" spans="1:19" x14ac:dyDescent="0.25">
      <c r="A226" t="s">
        <v>315</v>
      </c>
      <c r="B226" s="5">
        <v>46107</v>
      </c>
      <c r="C226" t="s">
        <v>48</v>
      </c>
      <c r="D226" t="s">
        <v>49</v>
      </c>
      <c r="E226" t="s">
        <v>76</v>
      </c>
      <c r="F226" t="s">
        <v>110</v>
      </c>
      <c r="G226" t="s">
        <v>57</v>
      </c>
      <c r="H226">
        <v>239</v>
      </c>
      <c r="I226">
        <v>199</v>
      </c>
      <c r="J226">
        <v>14</v>
      </c>
      <c r="K226">
        <v>3.4</v>
      </c>
      <c r="L226">
        <v>33669.050000000003</v>
      </c>
      <c r="M226">
        <v>5.49</v>
      </c>
      <c r="N226">
        <v>131.76</v>
      </c>
      <c r="O226">
        <v>268</v>
      </c>
      <c r="P226" s="5">
        <v>46115</v>
      </c>
      <c r="Q226" s="5">
        <v>46119</v>
      </c>
      <c r="R226" t="s">
        <v>100</v>
      </c>
      <c r="S226" t="s">
        <v>33</v>
      </c>
    </row>
    <row r="227" spans="1:19" x14ac:dyDescent="0.25">
      <c r="A227" t="s">
        <v>316</v>
      </c>
      <c r="B227" s="5">
        <v>46056</v>
      </c>
      <c r="C227" t="s">
        <v>80</v>
      </c>
      <c r="D227" t="s">
        <v>21</v>
      </c>
      <c r="E227" t="s">
        <v>22</v>
      </c>
      <c r="F227" t="s">
        <v>67</v>
      </c>
      <c r="G227" t="s">
        <v>32</v>
      </c>
      <c r="H227">
        <v>106</v>
      </c>
      <c r="I227">
        <v>95</v>
      </c>
      <c r="J227">
        <v>5</v>
      </c>
      <c r="K227">
        <v>7.2</v>
      </c>
      <c r="L227">
        <v>24662.79</v>
      </c>
      <c r="M227">
        <v>2.58</v>
      </c>
      <c r="N227">
        <v>56.76</v>
      </c>
      <c r="O227">
        <v>73</v>
      </c>
      <c r="P227" s="5">
        <v>46068</v>
      </c>
      <c r="Q227" s="5">
        <v>46068</v>
      </c>
      <c r="R227" t="s">
        <v>100</v>
      </c>
      <c r="S227" t="s">
        <v>33</v>
      </c>
    </row>
    <row r="228" spans="1:19" x14ac:dyDescent="0.25">
      <c r="A228" t="s">
        <v>317</v>
      </c>
      <c r="B228" s="5">
        <v>46128</v>
      </c>
      <c r="C228" t="s">
        <v>53</v>
      </c>
      <c r="D228" t="s">
        <v>54</v>
      </c>
      <c r="E228" t="s">
        <v>55</v>
      </c>
      <c r="F228" t="s">
        <v>85</v>
      </c>
      <c r="G228" t="s">
        <v>24</v>
      </c>
      <c r="H228">
        <v>96</v>
      </c>
      <c r="I228">
        <v>79</v>
      </c>
      <c r="J228">
        <v>2</v>
      </c>
      <c r="K228">
        <v>6.3</v>
      </c>
      <c r="L228">
        <v>12870.3</v>
      </c>
      <c r="M228">
        <v>2.52</v>
      </c>
      <c r="N228">
        <v>65.52</v>
      </c>
      <c r="O228">
        <v>113</v>
      </c>
      <c r="P228" s="5">
        <v>46140</v>
      </c>
      <c r="Q228" s="5">
        <v>46141</v>
      </c>
      <c r="R228" t="s">
        <v>39</v>
      </c>
      <c r="S228" t="s">
        <v>26</v>
      </c>
    </row>
    <row r="229" spans="1:19" x14ac:dyDescent="0.25">
      <c r="A229" t="s">
        <v>318</v>
      </c>
      <c r="B229" s="5">
        <v>46047</v>
      </c>
      <c r="C229" t="s">
        <v>35</v>
      </c>
      <c r="D229" t="s">
        <v>36</v>
      </c>
      <c r="E229" t="s">
        <v>37</v>
      </c>
      <c r="G229" t="s">
        <v>32</v>
      </c>
      <c r="H229">
        <v>203</v>
      </c>
      <c r="I229">
        <v>176</v>
      </c>
      <c r="J229">
        <v>11</v>
      </c>
      <c r="K229">
        <v>3.5</v>
      </c>
      <c r="L229">
        <v>18467.09</v>
      </c>
      <c r="M229">
        <v>7.34</v>
      </c>
      <c r="N229">
        <v>132.12</v>
      </c>
      <c r="O229">
        <v>165</v>
      </c>
      <c r="P229" s="5">
        <v>46059</v>
      </c>
      <c r="Q229" s="5">
        <v>46059</v>
      </c>
      <c r="R229" t="s">
        <v>39</v>
      </c>
      <c r="S229" t="s">
        <v>72</v>
      </c>
    </row>
    <row r="230" spans="1:19" x14ac:dyDescent="0.25">
      <c r="A230" t="s">
        <v>319</v>
      </c>
      <c r="B230" s="5">
        <v>46065</v>
      </c>
      <c r="C230" t="s">
        <v>20</v>
      </c>
      <c r="D230" t="s">
        <v>320</v>
      </c>
      <c r="E230" t="s">
        <v>90</v>
      </c>
      <c r="F230" t="s">
        <v>74</v>
      </c>
      <c r="G230" t="s">
        <v>57</v>
      </c>
      <c r="H230">
        <v>162</v>
      </c>
      <c r="I230">
        <v>133</v>
      </c>
      <c r="J230">
        <v>12</v>
      </c>
      <c r="K230">
        <v>0.5</v>
      </c>
      <c r="L230">
        <v>40259.99</v>
      </c>
      <c r="M230">
        <v>3.68</v>
      </c>
      <c r="N230">
        <v>73.599999999999994</v>
      </c>
      <c r="O230">
        <v>142</v>
      </c>
      <c r="P230" s="5">
        <v>46074</v>
      </c>
      <c r="Q230" s="5">
        <v>46078</v>
      </c>
      <c r="R230" t="s">
        <v>39</v>
      </c>
      <c r="S230" t="s">
        <v>72</v>
      </c>
    </row>
    <row r="231" spans="1:19" x14ac:dyDescent="0.25">
      <c r="A231" t="s">
        <v>321</v>
      </c>
      <c r="B231" s="5">
        <v>46137</v>
      </c>
      <c r="C231" t="s">
        <v>48</v>
      </c>
      <c r="D231" t="s">
        <v>49</v>
      </c>
      <c r="E231" t="s">
        <v>50</v>
      </c>
      <c r="F231" t="s">
        <v>96</v>
      </c>
      <c r="G231" t="s">
        <v>32</v>
      </c>
      <c r="H231">
        <v>207</v>
      </c>
      <c r="I231">
        <v>215</v>
      </c>
      <c r="J231">
        <v>1</v>
      </c>
      <c r="K231">
        <v>3.6</v>
      </c>
      <c r="L231">
        <v>36289.980000000003</v>
      </c>
      <c r="M231">
        <v>8.1300000000000008</v>
      </c>
      <c r="N231">
        <v>211.38</v>
      </c>
      <c r="O231">
        <v>244</v>
      </c>
      <c r="P231" s="5">
        <v>46147</v>
      </c>
      <c r="Q231" s="5">
        <v>46147</v>
      </c>
      <c r="R231" t="s">
        <v>1302</v>
      </c>
      <c r="S231" t="s">
        <v>33</v>
      </c>
    </row>
    <row r="232" spans="1:19" x14ac:dyDescent="0.25">
      <c r="A232" t="s">
        <v>322</v>
      </c>
      <c r="B232" s="5">
        <v>46080</v>
      </c>
      <c r="C232" t="s">
        <v>53</v>
      </c>
      <c r="D232" t="s">
        <v>54</v>
      </c>
      <c r="E232" t="s">
        <v>131</v>
      </c>
      <c r="F232" t="s">
        <v>137</v>
      </c>
      <c r="G232" t="s">
        <v>24</v>
      </c>
      <c r="H232">
        <v>223</v>
      </c>
      <c r="I232">
        <v>234</v>
      </c>
      <c r="J232">
        <v>13</v>
      </c>
      <c r="K232">
        <v>6.4</v>
      </c>
      <c r="L232">
        <v>31383.439999999999</v>
      </c>
      <c r="M232">
        <v>4.76</v>
      </c>
      <c r="N232">
        <v>95.2</v>
      </c>
      <c r="O232">
        <v>183</v>
      </c>
      <c r="P232" s="5">
        <v>46087</v>
      </c>
      <c r="Q232" s="5">
        <v>46088</v>
      </c>
      <c r="R232" t="s">
        <v>25</v>
      </c>
      <c r="S232" t="s">
        <v>86</v>
      </c>
    </row>
    <row r="233" spans="1:19" x14ac:dyDescent="0.25">
      <c r="A233" t="s">
        <v>323</v>
      </c>
      <c r="B233" s="5">
        <v>46202</v>
      </c>
      <c r="C233" t="s">
        <v>20</v>
      </c>
      <c r="D233" t="s">
        <v>21</v>
      </c>
      <c r="E233" t="s">
        <v>22</v>
      </c>
      <c r="F233" t="s">
        <v>61</v>
      </c>
      <c r="G233" t="s">
        <v>57</v>
      </c>
      <c r="H233">
        <v>309</v>
      </c>
      <c r="I233">
        <v>244</v>
      </c>
      <c r="J233">
        <v>4</v>
      </c>
      <c r="K233">
        <v>6.5</v>
      </c>
      <c r="L233">
        <v>76344.25</v>
      </c>
      <c r="M233">
        <v>7.97</v>
      </c>
      <c r="N233">
        <v>159.4</v>
      </c>
      <c r="O233">
        <v>299</v>
      </c>
      <c r="P233" s="5">
        <v>46210</v>
      </c>
      <c r="Q233" s="5">
        <v>46210</v>
      </c>
      <c r="R233" t="s">
        <v>100</v>
      </c>
      <c r="S233" t="s">
        <v>86</v>
      </c>
    </row>
    <row r="234" spans="1:19" x14ac:dyDescent="0.25">
      <c r="A234" t="s">
        <v>324</v>
      </c>
      <c r="B234" s="5">
        <v>46050</v>
      </c>
      <c r="C234" t="s">
        <v>35</v>
      </c>
      <c r="D234" t="s">
        <v>36</v>
      </c>
      <c r="E234" t="s">
        <v>37</v>
      </c>
      <c r="F234" t="s">
        <v>112</v>
      </c>
      <c r="G234" t="s">
        <v>57</v>
      </c>
      <c r="H234">
        <v>317</v>
      </c>
      <c r="I234">
        <v>314</v>
      </c>
      <c r="J234">
        <v>20</v>
      </c>
      <c r="K234">
        <v>1.1000000000000001</v>
      </c>
      <c r="L234">
        <v>32612.65</v>
      </c>
      <c r="M234">
        <v>10.09</v>
      </c>
      <c r="N234">
        <v>262.33999999999997</v>
      </c>
      <c r="O234">
        <v>311</v>
      </c>
      <c r="P234" s="5">
        <v>46059</v>
      </c>
      <c r="Q234" s="5">
        <v>46057</v>
      </c>
      <c r="R234" t="s">
        <v>39</v>
      </c>
      <c r="S234" t="s">
        <v>26</v>
      </c>
    </row>
    <row r="235" spans="1:19" x14ac:dyDescent="0.25">
      <c r="A235" t="s">
        <v>325</v>
      </c>
      <c r="B235" s="5">
        <v>46133</v>
      </c>
      <c r="C235" t="s">
        <v>53</v>
      </c>
      <c r="D235" t="s">
        <v>54</v>
      </c>
      <c r="E235" t="s">
        <v>55</v>
      </c>
      <c r="F235" t="s">
        <v>46</v>
      </c>
      <c r="G235" t="s">
        <v>32</v>
      </c>
      <c r="H235">
        <v>257</v>
      </c>
      <c r="I235">
        <v>248</v>
      </c>
      <c r="J235">
        <v>17</v>
      </c>
      <c r="K235">
        <v>1.2</v>
      </c>
      <c r="L235">
        <v>34911.879999999997</v>
      </c>
      <c r="M235">
        <v>9.7200000000000006</v>
      </c>
      <c r="N235">
        <v>252.72</v>
      </c>
      <c r="O235">
        <v>315</v>
      </c>
      <c r="P235" s="5">
        <v>46141</v>
      </c>
      <c r="Q235" s="5">
        <v>46141</v>
      </c>
      <c r="R235" t="s">
        <v>25</v>
      </c>
      <c r="S235" t="s">
        <v>86</v>
      </c>
    </row>
    <row r="236" spans="1:19" x14ac:dyDescent="0.25">
      <c r="A236" t="s">
        <v>326</v>
      </c>
      <c r="B236" s="5">
        <v>46138</v>
      </c>
      <c r="C236" t="s">
        <v>43</v>
      </c>
      <c r="D236" t="s">
        <v>44</v>
      </c>
      <c r="E236" t="s">
        <v>93</v>
      </c>
      <c r="F236" t="s">
        <v>106</v>
      </c>
      <c r="G236" t="s">
        <v>32</v>
      </c>
      <c r="H236">
        <v>185</v>
      </c>
      <c r="I236">
        <v>181</v>
      </c>
      <c r="J236">
        <v>15</v>
      </c>
      <c r="K236">
        <v>4.5999999999999996</v>
      </c>
      <c r="L236">
        <v>24194.84</v>
      </c>
      <c r="M236">
        <v>4.62</v>
      </c>
      <c r="N236">
        <v>120.12</v>
      </c>
      <c r="O236">
        <v>200</v>
      </c>
      <c r="P236" s="5">
        <v>46143</v>
      </c>
      <c r="Q236" s="5">
        <v>46143</v>
      </c>
      <c r="R236" t="s">
        <v>39</v>
      </c>
      <c r="S236" t="s">
        <v>86</v>
      </c>
    </row>
    <row r="237" spans="1:19" x14ac:dyDescent="0.25">
      <c r="A237" t="s">
        <v>327</v>
      </c>
      <c r="B237" s="5">
        <v>46195</v>
      </c>
      <c r="C237" t="s">
        <v>43</v>
      </c>
      <c r="D237" t="s">
        <v>44</v>
      </c>
      <c r="E237" t="s">
        <v>45</v>
      </c>
      <c r="F237" t="s">
        <v>125</v>
      </c>
      <c r="G237" t="s">
        <v>32</v>
      </c>
      <c r="H237">
        <v>246</v>
      </c>
      <c r="I237">
        <v>280</v>
      </c>
      <c r="J237">
        <v>5</v>
      </c>
      <c r="K237">
        <v>4.9000000000000004</v>
      </c>
      <c r="L237">
        <v>36457.47</v>
      </c>
      <c r="M237">
        <v>10.15</v>
      </c>
      <c r="N237">
        <v>263.89999999999998</v>
      </c>
      <c r="O237">
        <v>328</v>
      </c>
      <c r="P237" s="5">
        <v>46206</v>
      </c>
      <c r="Q237" s="5">
        <v>46208</v>
      </c>
      <c r="R237" t="s">
        <v>39</v>
      </c>
      <c r="S237" t="s">
        <v>33</v>
      </c>
    </row>
    <row r="238" spans="1:19" x14ac:dyDescent="0.25">
      <c r="A238" t="s">
        <v>328</v>
      </c>
      <c r="B238" s="5">
        <v>46156</v>
      </c>
      <c r="C238" t="s">
        <v>20</v>
      </c>
      <c r="D238" t="s">
        <v>21</v>
      </c>
      <c r="E238" t="s">
        <v>22</v>
      </c>
      <c r="F238" t="s">
        <v>197</v>
      </c>
      <c r="G238" t="s">
        <v>24</v>
      </c>
      <c r="H238">
        <v>177</v>
      </c>
      <c r="I238">
        <v>138</v>
      </c>
      <c r="J238">
        <v>9</v>
      </c>
      <c r="K238">
        <v>1.8</v>
      </c>
      <c r="L238">
        <v>44294.34</v>
      </c>
      <c r="M238">
        <v>3.43</v>
      </c>
      <c r="N238">
        <v>75.459999999999994</v>
      </c>
      <c r="O238">
        <v>174</v>
      </c>
      <c r="P238" s="5">
        <v>46158</v>
      </c>
      <c r="Q238" s="5">
        <v>46158</v>
      </c>
      <c r="R238" t="s">
        <v>25</v>
      </c>
      <c r="S238" t="s">
        <v>33</v>
      </c>
    </row>
    <row r="239" spans="1:19" x14ac:dyDescent="0.25">
      <c r="A239" t="s">
        <v>329</v>
      </c>
      <c r="B239" s="5">
        <v>46114</v>
      </c>
      <c r="C239" t="s">
        <v>53</v>
      </c>
      <c r="D239" t="s">
        <v>54</v>
      </c>
      <c r="E239" t="s">
        <v>55</v>
      </c>
      <c r="F239" t="s">
        <v>83</v>
      </c>
      <c r="G239" t="s">
        <v>24</v>
      </c>
      <c r="H239">
        <v>237</v>
      </c>
      <c r="I239">
        <v>259</v>
      </c>
      <c r="J239">
        <v>18</v>
      </c>
      <c r="K239">
        <v>7.8</v>
      </c>
      <c r="L239">
        <v>40893.93</v>
      </c>
      <c r="M239">
        <v>6.14</v>
      </c>
      <c r="N239">
        <v>135.08000000000001</v>
      </c>
      <c r="O239">
        <v>209</v>
      </c>
      <c r="P239" s="5">
        <v>46122</v>
      </c>
      <c r="Q239" s="5">
        <v>46124</v>
      </c>
      <c r="R239" t="s">
        <v>100</v>
      </c>
      <c r="S239" t="s">
        <v>86</v>
      </c>
    </row>
    <row r="240" spans="1:19" x14ac:dyDescent="0.25">
      <c r="A240" t="s">
        <v>330</v>
      </c>
      <c r="B240" s="5">
        <v>46164</v>
      </c>
      <c r="C240" t="s">
        <v>80</v>
      </c>
      <c r="D240" t="s">
        <v>21</v>
      </c>
      <c r="E240" t="s">
        <v>22</v>
      </c>
      <c r="F240" t="s">
        <v>125</v>
      </c>
      <c r="G240" t="s">
        <v>32</v>
      </c>
      <c r="H240">
        <v>270</v>
      </c>
      <c r="I240">
        <v>223</v>
      </c>
      <c r="J240">
        <v>13</v>
      </c>
      <c r="K240">
        <v>7</v>
      </c>
      <c r="L240">
        <v>73352.710000000006</v>
      </c>
      <c r="M240">
        <v>8.89</v>
      </c>
      <c r="N240">
        <v>195.58</v>
      </c>
      <c r="O240">
        <v>369</v>
      </c>
      <c r="P240" s="5">
        <v>46175</v>
      </c>
      <c r="Q240" s="5">
        <v>46175</v>
      </c>
      <c r="R240" t="s">
        <v>25</v>
      </c>
      <c r="S240" t="s">
        <v>51</v>
      </c>
    </row>
    <row r="241" spans="1:19" x14ac:dyDescent="0.25">
      <c r="A241" t="s">
        <v>331</v>
      </c>
      <c r="B241" s="5">
        <v>46197</v>
      </c>
      <c r="C241" t="s">
        <v>20</v>
      </c>
      <c r="D241" t="s">
        <v>21</v>
      </c>
      <c r="E241" t="s">
        <v>22</v>
      </c>
      <c r="F241" t="s">
        <v>64</v>
      </c>
      <c r="G241" t="s">
        <v>57</v>
      </c>
      <c r="H241">
        <v>124</v>
      </c>
      <c r="I241">
        <v>128</v>
      </c>
      <c r="J241">
        <v>2</v>
      </c>
      <c r="K241">
        <v>0.4</v>
      </c>
      <c r="L241">
        <v>35748.17</v>
      </c>
      <c r="M241">
        <v>2.8</v>
      </c>
      <c r="N241">
        <v>61.6</v>
      </c>
      <c r="O241">
        <v>85</v>
      </c>
      <c r="P241" s="5">
        <v>46204</v>
      </c>
      <c r="Q241" s="5">
        <v>46208</v>
      </c>
      <c r="R241" t="s">
        <v>25</v>
      </c>
      <c r="S241" t="s">
        <v>86</v>
      </c>
    </row>
    <row r="242" spans="1:19" x14ac:dyDescent="0.25">
      <c r="A242" t="s">
        <v>332</v>
      </c>
      <c r="B242" s="5">
        <v>46175</v>
      </c>
      <c r="C242" t="s">
        <v>80</v>
      </c>
      <c r="D242" t="s">
        <v>21</v>
      </c>
      <c r="E242" t="s">
        <v>66</v>
      </c>
      <c r="F242" t="s">
        <v>244</v>
      </c>
      <c r="G242" t="s">
        <v>32</v>
      </c>
      <c r="H242">
        <v>237</v>
      </c>
      <c r="I242">
        <v>256</v>
      </c>
      <c r="J242">
        <v>8</v>
      </c>
      <c r="K242">
        <v>7.1</v>
      </c>
      <c r="L242">
        <v>61560.06</v>
      </c>
      <c r="M242">
        <v>8.9600000000000009</v>
      </c>
      <c r="N242">
        <v>232.96</v>
      </c>
      <c r="O242">
        <v>253</v>
      </c>
      <c r="P242" s="5">
        <v>46179</v>
      </c>
      <c r="Q242" s="5">
        <v>46178</v>
      </c>
      <c r="R242" t="s">
        <v>39</v>
      </c>
      <c r="S242" t="s">
        <v>26</v>
      </c>
    </row>
    <row r="243" spans="1:19" x14ac:dyDescent="0.25">
      <c r="A243" t="s">
        <v>333</v>
      </c>
      <c r="B243" s="5">
        <v>46160</v>
      </c>
      <c r="C243" t="s">
        <v>35</v>
      </c>
      <c r="D243" t="s">
        <v>36</v>
      </c>
      <c r="E243" t="s">
        <v>37</v>
      </c>
      <c r="F243" t="s">
        <v>41</v>
      </c>
      <c r="G243" t="s">
        <v>32</v>
      </c>
      <c r="H243">
        <v>169</v>
      </c>
      <c r="I243">
        <v>137</v>
      </c>
      <c r="J243">
        <v>3</v>
      </c>
      <c r="K243">
        <v>3</v>
      </c>
      <c r="L243">
        <v>11078.96</v>
      </c>
      <c r="M243">
        <v>4.9400000000000004</v>
      </c>
      <c r="N243">
        <v>128.44</v>
      </c>
      <c r="O243">
        <v>250</v>
      </c>
      <c r="P243" s="5">
        <v>46170</v>
      </c>
      <c r="Q243" s="5">
        <v>46168</v>
      </c>
      <c r="R243" t="s">
        <v>25</v>
      </c>
      <c r="S243" t="s">
        <v>72</v>
      </c>
    </row>
    <row r="244" spans="1:19" x14ac:dyDescent="0.25">
      <c r="A244" t="s">
        <v>334</v>
      </c>
      <c r="B244" s="5">
        <v>46084</v>
      </c>
      <c r="C244" t="s">
        <v>28</v>
      </c>
      <c r="D244" t="s">
        <v>29</v>
      </c>
      <c r="E244" t="s">
        <v>63</v>
      </c>
      <c r="F244" t="s">
        <v>64</v>
      </c>
      <c r="G244" t="s">
        <v>32</v>
      </c>
      <c r="H244">
        <v>254</v>
      </c>
      <c r="I244">
        <v>279</v>
      </c>
      <c r="J244">
        <v>10</v>
      </c>
      <c r="K244">
        <v>7.2</v>
      </c>
      <c r="L244">
        <v>51324.55</v>
      </c>
      <c r="M244">
        <v>9.8699999999999992</v>
      </c>
      <c r="N244">
        <v>177.66</v>
      </c>
      <c r="O244">
        <v>346</v>
      </c>
      <c r="P244" s="5">
        <v>46091</v>
      </c>
      <c r="Q244" s="5">
        <v>46095</v>
      </c>
      <c r="R244" t="s">
        <v>100</v>
      </c>
      <c r="S244" t="s">
        <v>51</v>
      </c>
    </row>
    <row r="245" spans="1:19" x14ac:dyDescent="0.25">
      <c r="A245" t="s">
        <v>335</v>
      </c>
      <c r="B245" s="5">
        <v>46105</v>
      </c>
      <c r="C245" t="s">
        <v>20</v>
      </c>
      <c r="D245" t="s">
        <v>21</v>
      </c>
      <c r="E245" t="s">
        <v>22</v>
      </c>
      <c r="F245" t="s">
        <v>61</v>
      </c>
      <c r="G245" t="s">
        <v>24</v>
      </c>
      <c r="H245">
        <v>122</v>
      </c>
      <c r="I245">
        <v>138</v>
      </c>
      <c r="J245">
        <v>10</v>
      </c>
      <c r="K245">
        <v>4.8</v>
      </c>
      <c r="L245">
        <v>43115</v>
      </c>
      <c r="M245">
        <v>4.57</v>
      </c>
      <c r="N245">
        <v>91.4</v>
      </c>
      <c r="O245">
        <v>190</v>
      </c>
      <c r="P245" s="5">
        <v>46108</v>
      </c>
      <c r="Q245" s="5">
        <v>46108</v>
      </c>
      <c r="R245" t="s">
        <v>39</v>
      </c>
      <c r="S245" t="s">
        <v>72</v>
      </c>
    </row>
    <row r="246" spans="1:19" x14ac:dyDescent="0.25">
      <c r="A246" t="s">
        <v>336</v>
      </c>
      <c r="B246" s="5">
        <v>46188</v>
      </c>
      <c r="C246" t="s">
        <v>20</v>
      </c>
      <c r="D246" t="s">
        <v>21</v>
      </c>
      <c r="E246" t="s">
        <v>66</v>
      </c>
      <c r="F246" t="s">
        <v>77</v>
      </c>
      <c r="G246" t="s">
        <v>32</v>
      </c>
      <c r="H246">
        <v>255</v>
      </c>
      <c r="I246">
        <v>200</v>
      </c>
      <c r="J246">
        <v>9</v>
      </c>
      <c r="K246">
        <v>3</v>
      </c>
      <c r="L246">
        <v>48570.85</v>
      </c>
      <c r="M246">
        <v>7.41</v>
      </c>
      <c r="N246">
        <v>192.66</v>
      </c>
      <c r="O246">
        <v>233</v>
      </c>
      <c r="P246" s="5">
        <v>46199</v>
      </c>
      <c r="Q246" s="5">
        <v>46199</v>
      </c>
      <c r="R246" t="s">
        <v>25</v>
      </c>
      <c r="S246" t="s">
        <v>72</v>
      </c>
    </row>
    <row r="247" spans="1:19" x14ac:dyDescent="0.25">
      <c r="A247" t="s">
        <v>337</v>
      </c>
      <c r="B247" s="5">
        <v>46184</v>
      </c>
      <c r="C247" t="s">
        <v>35</v>
      </c>
      <c r="D247" t="s">
        <v>36</v>
      </c>
      <c r="E247" t="s">
        <v>69</v>
      </c>
      <c r="F247" t="s">
        <v>71</v>
      </c>
      <c r="G247" t="s">
        <v>32</v>
      </c>
      <c r="H247">
        <v>160</v>
      </c>
      <c r="I247">
        <v>116</v>
      </c>
      <c r="J247">
        <v>7</v>
      </c>
      <c r="K247">
        <v>4.8</v>
      </c>
      <c r="L247">
        <v>11580.12</v>
      </c>
      <c r="M247">
        <v>4.1900000000000004</v>
      </c>
      <c r="N247">
        <v>108.94</v>
      </c>
      <c r="O247">
        <v>131</v>
      </c>
      <c r="P247" s="5">
        <v>46187</v>
      </c>
      <c r="Q247" s="5">
        <v>46188</v>
      </c>
      <c r="R247" t="s">
        <v>39</v>
      </c>
      <c r="S247" t="s">
        <v>86</v>
      </c>
    </row>
    <row r="248" spans="1:19" x14ac:dyDescent="0.25">
      <c r="A248" t="s">
        <v>338</v>
      </c>
      <c r="B248" s="5">
        <v>46178</v>
      </c>
      <c r="C248" t="s">
        <v>20</v>
      </c>
      <c r="D248" t="s">
        <v>21</v>
      </c>
      <c r="E248" t="s">
        <v>90</v>
      </c>
      <c r="F248" t="s">
        <v>41</v>
      </c>
      <c r="G248" t="s">
        <v>24</v>
      </c>
      <c r="H248">
        <v>275</v>
      </c>
      <c r="I248">
        <v>307</v>
      </c>
      <c r="J248">
        <v>12</v>
      </c>
      <c r="K248">
        <v>7.4</v>
      </c>
      <c r="L248">
        <v>75026.55</v>
      </c>
      <c r="M248">
        <v>7.15</v>
      </c>
      <c r="N248">
        <v>171.6</v>
      </c>
      <c r="O248">
        <v>374</v>
      </c>
      <c r="P248" s="5">
        <v>46184</v>
      </c>
      <c r="Q248" s="5">
        <v>46184</v>
      </c>
      <c r="R248" t="s">
        <v>25</v>
      </c>
      <c r="S248" t="s">
        <v>86</v>
      </c>
    </row>
    <row r="249" spans="1:19" x14ac:dyDescent="0.25">
      <c r="A249" t="s">
        <v>339</v>
      </c>
      <c r="B249" s="5">
        <v>46025</v>
      </c>
      <c r="C249" t="s">
        <v>43</v>
      </c>
      <c r="D249" t="s">
        <v>44</v>
      </c>
      <c r="E249" t="s">
        <v>93</v>
      </c>
      <c r="F249" t="s">
        <v>244</v>
      </c>
      <c r="G249" t="s">
        <v>57</v>
      </c>
      <c r="H249">
        <v>90</v>
      </c>
      <c r="I249">
        <v>64</v>
      </c>
      <c r="J249">
        <v>3</v>
      </c>
      <c r="K249">
        <v>4.8</v>
      </c>
      <c r="L249">
        <v>8271.83</v>
      </c>
      <c r="M249">
        <v>2.2999999999999998</v>
      </c>
      <c r="N249">
        <v>50.6</v>
      </c>
      <c r="O249">
        <v>104</v>
      </c>
      <c r="P249" s="5">
        <v>46033</v>
      </c>
      <c r="Q249" s="5">
        <v>46033</v>
      </c>
      <c r="R249" t="s">
        <v>25</v>
      </c>
      <c r="S249" t="s">
        <v>26</v>
      </c>
    </row>
    <row r="250" spans="1:19" x14ac:dyDescent="0.25">
      <c r="A250" t="s">
        <v>340</v>
      </c>
      <c r="B250" s="5">
        <v>46087</v>
      </c>
      <c r="C250" t="s">
        <v>28</v>
      </c>
      <c r="D250" t="s">
        <v>29</v>
      </c>
      <c r="E250" t="s">
        <v>63</v>
      </c>
      <c r="F250" t="s">
        <v>71</v>
      </c>
      <c r="G250" t="s">
        <v>57</v>
      </c>
      <c r="H250">
        <v>126</v>
      </c>
      <c r="I250">
        <v>127</v>
      </c>
      <c r="J250">
        <v>7</v>
      </c>
      <c r="K250">
        <v>0.5</v>
      </c>
      <c r="L250">
        <v>35809.300000000003</v>
      </c>
      <c r="M250">
        <v>3.96</v>
      </c>
      <c r="N250">
        <v>102.96</v>
      </c>
      <c r="O250">
        <v>104</v>
      </c>
      <c r="P250" s="5">
        <v>46093</v>
      </c>
      <c r="Q250" s="5">
        <v>46092</v>
      </c>
      <c r="R250" t="s">
        <v>25</v>
      </c>
      <c r="S250" t="s">
        <v>26</v>
      </c>
    </row>
    <row r="251" spans="1:19" x14ac:dyDescent="0.25">
      <c r="A251" t="s">
        <v>341</v>
      </c>
      <c r="B251" s="5">
        <v>46147</v>
      </c>
      <c r="C251" t="s">
        <v>48</v>
      </c>
      <c r="D251" t="s">
        <v>49</v>
      </c>
      <c r="E251" t="s">
        <v>76</v>
      </c>
      <c r="F251" t="s">
        <v>114</v>
      </c>
      <c r="G251" t="s">
        <v>32</v>
      </c>
      <c r="H251">
        <v>112</v>
      </c>
      <c r="I251">
        <v>112</v>
      </c>
      <c r="J251">
        <v>2</v>
      </c>
      <c r="K251">
        <v>2.6</v>
      </c>
      <c r="L251">
        <v>17379.72</v>
      </c>
      <c r="M251">
        <v>3.32</v>
      </c>
      <c r="N251">
        <v>73.040000000000006</v>
      </c>
      <c r="O251">
        <v>150</v>
      </c>
      <c r="P251" s="5">
        <v>46158</v>
      </c>
      <c r="Q251" s="5">
        <v>46158</v>
      </c>
      <c r="R251" t="s">
        <v>39</v>
      </c>
      <c r="S251" t="s">
        <v>86</v>
      </c>
    </row>
    <row r="252" spans="1:19" x14ac:dyDescent="0.25">
      <c r="A252" t="s">
        <v>342</v>
      </c>
      <c r="B252" s="5">
        <v>46132</v>
      </c>
      <c r="C252" t="s">
        <v>43</v>
      </c>
      <c r="D252" t="s">
        <v>44</v>
      </c>
      <c r="E252" t="s">
        <v>93</v>
      </c>
      <c r="F252" t="s">
        <v>197</v>
      </c>
      <c r="G252" t="s">
        <v>32</v>
      </c>
      <c r="H252">
        <v>160</v>
      </c>
      <c r="I252">
        <v>132</v>
      </c>
      <c r="J252">
        <v>3</v>
      </c>
      <c r="K252">
        <v>6.7</v>
      </c>
      <c r="L252">
        <v>16529.580000000002</v>
      </c>
      <c r="M252">
        <v>2.8</v>
      </c>
      <c r="N252">
        <v>61.6</v>
      </c>
      <c r="O252">
        <v>242</v>
      </c>
      <c r="P252" s="5">
        <v>46141</v>
      </c>
      <c r="Q252" s="5">
        <v>46145</v>
      </c>
      <c r="R252" t="s">
        <v>25</v>
      </c>
      <c r="S252" t="s">
        <v>72</v>
      </c>
    </row>
    <row r="253" spans="1:19" x14ac:dyDescent="0.25">
      <c r="A253" t="s">
        <v>343</v>
      </c>
      <c r="B253" s="5">
        <v>46164</v>
      </c>
      <c r="C253" t="s">
        <v>20</v>
      </c>
      <c r="D253" t="s">
        <v>21</v>
      </c>
      <c r="E253" t="s">
        <v>22</v>
      </c>
      <c r="F253" t="s">
        <v>114</v>
      </c>
      <c r="G253" t="s">
        <v>32</v>
      </c>
      <c r="H253">
        <v>245</v>
      </c>
      <c r="I253">
        <v>240</v>
      </c>
      <c r="J253">
        <v>19</v>
      </c>
      <c r="K253">
        <v>7.7</v>
      </c>
      <c r="L253">
        <v>68350.44</v>
      </c>
      <c r="M253">
        <v>5.84</v>
      </c>
      <c r="N253">
        <v>105.12</v>
      </c>
      <c r="O253">
        <v>224</v>
      </c>
      <c r="P253" s="5">
        <v>46166</v>
      </c>
      <c r="Q253" s="5">
        <v>46164</v>
      </c>
      <c r="R253" t="s">
        <v>39</v>
      </c>
      <c r="S253" t="s">
        <v>26</v>
      </c>
    </row>
    <row r="254" spans="1:19" x14ac:dyDescent="0.25">
      <c r="A254" t="s">
        <v>344</v>
      </c>
      <c r="B254" s="5">
        <v>46077</v>
      </c>
      <c r="C254" t="s">
        <v>80</v>
      </c>
      <c r="D254" t="s">
        <v>21</v>
      </c>
      <c r="E254" t="s">
        <v>66</v>
      </c>
      <c r="F254" t="s">
        <v>85</v>
      </c>
      <c r="G254" t="s">
        <v>57</v>
      </c>
      <c r="H254">
        <v>146</v>
      </c>
      <c r="I254">
        <v>139</v>
      </c>
      <c r="J254">
        <v>13</v>
      </c>
      <c r="K254">
        <v>4.2</v>
      </c>
      <c r="L254">
        <v>39280.36</v>
      </c>
      <c r="M254">
        <v>3.25</v>
      </c>
      <c r="N254">
        <v>84.5</v>
      </c>
      <c r="O254">
        <v>180</v>
      </c>
      <c r="P254" s="5">
        <v>46081</v>
      </c>
      <c r="Q254" s="5">
        <v>46085</v>
      </c>
      <c r="R254" t="s">
        <v>39</v>
      </c>
      <c r="S254" t="s">
        <v>72</v>
      </c>
    </row>
    <row r="255" spans="1:19" x14ac:dyDescent="0.25">
      <c r="A255" t="s">
        <v>345</v>
      </c>
      <c r="B255" s="5">
        <v>46116</v>
      </c>
      <c r="C255" t="s">
        <v>80</v>
      </c>
      <c r="D255" t="s">
        <v>21</v>
      </c>
      <c r="E255" t="s">
        <v>66</v>
      </c>
      <c r="F255" t="s">
        <v>23</v>
      </c>
      <c r="G255" t="s">
        <v>32</v>
      </c>
      <c r="H255">
        <v>141</v>
      </c>
      <c r="I255">
        <v>152</v>
      </c>
      <c r="J255">
        <v>11</v>
      </c>
      <c r="K255">
        <v>5.5</v>
      </c>
      <c r="L255">
        <v>35796.75</v>
      </c>
      <c r="M255">
        <v>4.3600000000000003</v>
      </c>
      <c r="N255">
        <v>87.2</v>
      </c>
      <c r="O255">
        <v>138</v>
      </c>
      <c r="P255" s="5">
        <v>46125</v>
      </c>
      <c r="Q255" s="5">
        <v>46126</v>
      </c>
      <c r="R255" t="s">
        <v>25</v>
      </c>
      <c r="S255" t="s">
        <v>51</v>
      </c>
    </row>
    <row r="256" spans="1:19" x14ac:dyDescent="0.25">
      <c r="A256" t="s">
        <v>346</v>
      </c>
      <c r="B256" s="5">
        <v>46039</v>
      </c>
      <c r="C256" t="s">
        <v>59</v>
      </c>
      <c r="D256" t="s">
        <v>49</v>
      </c>
      <c r="E256" t="s">
        <v>76</v>
      </c>
      <c r="F256" t="s">
        <v>106</v>
      </c>
      <c r="G256" t="s">
        <v>24</v>
      </c>
      <c r="H256">
        <v>139</v>
      </c>
      <c r="I256">
        <v>102</v>
      </c>
      <c r="J256">
        <v>2</v>
      </c>
      <c r="K256">
        <v>8.1999999999999993</v>
      </c>
      <c r="L256">
        <v>16784.68</v>
      </c>
      <c r="M256">
        <v>2.95</v>
      </c>
      <c r="N256">
        <v>53.1</v>
      </c>
      <c r="O256">
        <v>109</v>
      </c>
      <c r="P256" s="5">
        <v>46051</v>
      </c>
      <c r="Q256" s="5">
        <v>46052</v>
      </c>
      <c r="R256" t="s">
        <v>25</v>
      </c>
      <c r="S256" t="s">
        <v>86</v>
      </c>
    </row>
    <row r="257" spans="1:19" x14ac:dyDescent="0.25">
      <c r="A257" t="s">
        <v>347</v>
      </c>
      <c r="B257" s="5">
        <v>46090</v>
      </c>
      <c r="C257" t="s">
        <v>43</v>
      </c>
      <c r="D257" t="s">
        <v>44</v>
      </c>
      <c r="E257" t="s">
        <v>161</v>
      </c>
      <c r="F257" t="s">
        <v>119</v>
      </c>
      <c r="G257" t="s">
        <v>32</v>
      </c>
      <c r="H257">
        <v>247</v>
      </c>
      <c r="I257">
        <v>218</v>
      </c>
      <c r="J257">
        <v>12</v>
      </c>
      <c r="K257">
        <v>8.1</v>
      </c>
      <c r="L257">
        <v>20273.14</v>
      </c>
      <c r="M257">
        <v>9.01</v>
      </c>
      <c r="N257">
        <v>180.2</v>
      </c>
      <c r="O257">
        <v>339</v>
      </c>
      <c r="P257" s="5">
        <v>46098</v>
      </c>
      <c r="Q257" s="5">
        <v>46099</v>
      </c>
      <c r="R257" t="s">
        <v>25</v>
      </c>
      <c r="S257" t="s">
        <v>26</v>
      </c>
    </row>
    <row r="258" spans="1:19" x14ac:dyDescent="0.25">
      <c r="A258" t="s">
        <v>348</v>
      </c>
      <c r="B258" s="5">
        <v>46024</v>
      </c>
      <c r="C258" t="s">
        <v>43</v>
      </c>
      <c r="D258" t="s">
        <v>44</v>
      </c>
      <c r="E258" t="s">
        <v>161</v>
      </c>
      <c r="F258" t="s">
        <v>119</v>
      </c>
      <c r="G258" t="s">
        <v>24</v>
      </c>
      <c r="H258">
        <v>122</v>
      </c>
      <c r="I258">
        <v>99</v>
      </c>
      <c r="J258">
        <v>5</v>
      </c>
      <c r="K258">
        <v>2.5</v>
      </c>
      <c r="L258">
        <v>9233.14</v>
      </c>
      <c r="M258">
        <v>3.21</v>
      </c>
      <c r="N258">
        <v>57.78</v>
      </c>
      <c r="O258">
        <v>140</v>
      </c>
      <c r="P258" s="5">
        <v>46032</v>
      </c>
      <c r="Q258" s="5">
        <v>46033</v>
      </c>
      <c r="R258" t="s">
        <v>25</v>
      </c>
      <c r="S258" t="s">
        <v>72</v>
      </c>
    </row>
    <row r="259" spans="1:19" x14ac:dyDescent="0.25">
      <c r="A259" t="s">
        <v>349</v>
      </c>
      <c r="B259" s="5">
        <v>46145</v>
      </c>
      <c r="C259" t="s">
        <v>28</v>
      </c>
      <c r="D259" t="s">
        <v>29</v>
      </c>
      <c r="E259" t="s">
        <v>30</v>
      </c>
      <c r="F259" t="s">
        <v>244</v>
      </c>
      <c r="G259" t="s">
        <v>32</v>
      </c>
      <c r="H259">
        <v>121</v>
      </c>
      <c r="I259">
        <v>120</v>
      </c>
      <c r="J259">
        <v>5</v>
      </c>
      <c r="K259">
        <v>2.2000000000000002</v>
      </c>
      <c r="L259">
        <v>24344.52</v>
      </c>
      <c r="M259">
        <v>2.5499999999999998</v>
      </c>
      <c r="N259">
        <v>66.3</v>
      </c>
      <c r="O259">
        <v>91</v>
      </c>
      <c r="P259" s="5">
        <v>46156</v>
      </c>
      <c r="Q259" s="5">
        <v>46156</v>
      </c>
      <c r="R259" t="s">
        <v>25</v>
      </c>
      <c r="S259" t="s">
        <v>51</v>
      </c>
    </row>
    <row r="260" spans="1:19" x14ac:dyDescent="0.25">
      <c r="A260" t="s">
        <v>350</v>
      </c>
      <c r="B260" s="5">
        <v>46155</v>
      </c>
      <c r="C260" t="s">
        <v>35</v>
      </c>
      <c r="D260" t="s">
        <v>36</v>
      </c>
      <c r="E260" t="s">
        <v>37</v>
      </c>
      <c r="F260" t="s">
        <v>170</v>
      </c>
      <c r="G260" t="s">
        <v>24</v>
      </c>
      <c r="H260">
        <v>304</v>
      </c>
      <c r="I260">
        <v>312</v>
      </c>
      <c r="J260">
        <v>20</v>
      </c>
      <c r="K260">
        <v>2.6</v>
      </c>
      <c r="L260">
        <v>24110.86</v>
      </c>
      <c r="M260">
        <v>13.05</v>
      </c>
      <c r="N260">
        <v>313.2</v>
      </c>
      <c r="O260">
        <v>307</v>
      </c>
      <c r="P260" s="5">
        <v>46160</v>
      </c>
      <c r="Q260" s="5">
        <v>46162</v>
      </c>
      <c r="R260" t="s">
        <v>39</v>
      </c>
      <c r="S260" t="s">
        <v>51</v>
      </c>
    </row>
    <row r="261" spans="1:19" x14ac:dyDescent="0.25">
      <c r="A261" t="s">
        <v>351</v>
      </c>
      <c r="B261" s="5">
        <v>46182</v>
      </c>
      <c r="C261" t="s">
        <v>59</v>
      </c>
      <c r="D261" t="s">
        <v>49</v>
      </c>
      <c r="E261" t="s">
        <v>50</v>
      </c>
      <c r="F261" t="s">
        <v>104</v>
      </c>
      <c r="G261" t="s">
        <v>57</v>
      </c>
      <c r="H261">
        <v>265</v>
      </c>
      <c r="I261">
        <v>268</v>
      </c>
      <c r="J261">
        <v>23</v>
      </c>
      <c r="K261">
        <v>5.4</v>
      </c>
      <c r="L261">
        <v>38246.400000000001</v>
      </c>
      <c r="M261">
        <v>5.67</v>
      </c>
      <c r="N261">
        <v>102.06</v>
      </c>
      <c r="O261">
        <v>276</v>
      </c>
      <c r="P261" s="5">
        <v>46192</v>
      </c>
      <c r="Q261" s="5">
        <v>46194</v>
      </c>
      <c r="R261" t="s">
        <v>25</v>
      </c>
      <c r="S261" t="s">
        <v>51</v>
      </c>
    </row>
    <row r="262" spans="1:19" x14ac:dyDescent="0.25">
      <c r="A262" t="s">
        <v>352</v>
      </c>
      <c r="B262" s="5">
        <v>46144</v>
      </c>
      <c r="C262" t="s">
        <v>80</v>
      </c>
      <c r="D262" t="s">
        <v>21</v>
      </c>
      <c r="E262" t="s">
        <v>66</v>
      </c>
      <c r="F262" t="s">
        <v>106</v>
      </c>
      <c r="G262" t="s">
        <v>24</v>
      </c>
      <c r="H262">
        <v>208</v>
      </c>
      <c r="I262">
        <v>217</v>
      </c>
      <c r="J262">
        <v>2</v>
      </c>
      <c r="K262">
        <v>5.9</v>
      </c>
      <c r="L262">
        <v>66945.87</v>
      </c>
      <c r="M262">
        <v>3.91</v>
      </c>
      <c r="N262">
        <v>93.84</v>
      </c>
      <c r="O262">
        <v>301</v>
      </c>
      <c r="P262" s="5">
        <v>46152</v>
      </c>
      <c r="Q262" s="5">
        <v>46153</v>
      </c>
      <c r="R262" t="s">
        <v>25</v>
      </c>
      <c r="S262" t="s">
        <v>72</v>
      </c>
    </row>
    <row r="263" spans="1:19" x14ac:dyDescent="0.25">
      <c r="A263" t="s">
        <v>353</v>
      </c>
      <c r="B263" s="5">
        <v>46081</v>
      </c>
      <c r="C263" t="s">
        <v>53</v>
      </c>
      <c r="D263" t="s">
        <v>54</v>
      </c>
      <c r="E263" t="s">
        <v>131</v>
      </c>
      <c r="F263" t="s">
        <v>38</v>
      </c>
      <c r="G263" t="s">
        <v>24</v>
      </c>
      <c r="H263">
        <v>169</v>
      </c>
      <c r="I263">
        <v>164</v>
      </c>
      <c r="J263">
        <v>11</v>
      </c>
      <c r="K263">
        <v>6.9</v>
      </c>
      <c r="L263">
        <v>22388.57</v>
      </c>
      <c r="M263">
        <v>3.48</v>
      </c>
      <c r="N263">
        <v>83.52</v>
      </c>
      <c r="O263">
        <v>188</v>
      </c>
      <c r="P263" s="5">
        <v>46084</v>
      </c>
      <c r="Q263" s="5">
        <v>46084</v>
      </c>
      <c r="R263" t="s">
        <v>39</v>
      </c>
      <c r="S263" t="s">
        <v>72</v>
      </c>
    </row>
    <row r="264" spans="1:19" x14ac:dyDescent="0.25">
      <c r="A264" t="s">
        <v>354</v>
      </c>
      <c r="B264" s="5">
        <v>46088</v>
      </c>
      <c r="C264" t="s">
        <v>28</v>
      </c>
      <c r="D264" t="s">
        <v>29</v>
      </c>
      <c r="E264" t="s">
        <v>63</v>
      </c>
      <c r="F264" t="s">
        <v>77</v>
      </c>
      <c r="G264" t="s">
        <v>24</v>
      </c>
      <c r="H264">
        <v>261</v>
      </c>
      <c r="I264">
        <v>271</v>
      </c>
      <c r="J264">
        <v>1</v>
      </c>
      <c r="K264">
        <v>4.7</v>
      </c>
      <c r="L264">
        <v>60303.93</v>
      </c>
      <c r="M264">
        <v>6.21</v>
      </c>
      <c r="N264">
        <v>136.62</v>
      </c>
      <c r="O264">
        <v>325</v>
      </c>
      <c r="P264" s="5">
        <v>46095</v>
      </c>
      <c r="Q264" s="5">
        <v>46094</v>
      </c>
      <c r="R264" t="s">
        <v>25</v>
      </c>
      <c r="S264" t="s">
        <v>26</v>
      </c>
    </row>
    <row r="265" spans="1:19" x14ac:dyDescent="0.25">
      <c r="A265" t="s">
        <v>355</v>
      </c>
      <c r="B265" s="5">
        <v>46087</v>
      </c>
      <c r="C265" t="s">
        <v>59</v>
      </c>
      <c r="D265" t="s">
        <v>49</v>
      </c>
      <c r="E265" t="s">
        <v>60</v>
      </c>
      <c r="F265" t="s">
        <v>137</v>
      </c>
      <c r="G265" t="s">
        <v>32</v>
      </c>
      <c r="H265">
        <v>188</v>
      </c>
      <c r="I265">
        <v>181</v>
      </c>
      <c r="J265">
        <v>10</v>
      </c>
      <c r="K265">
        <v>8.9</v>
      </c>
      <c r="L265">
        <v>28025.59</v>
      </c>
      <c r="M265">
        <v>5.66</v>
      </c>
      <c r="N265">
        <v>147.16</v>
      </c>
      <c r="O265">
        <v>271</v>
      </c>
      <c r="P265" s="5">
        <v>46091</v>
      </c>
      <c r="Q265" s="5">
        <v>46092</v>
      </c>
      <c r="R265" t="s">
        <v>39</v>
      </c>
      <c r="S265" t="s">
        <v>86</v>
      </c>
    </row>
    <row r="266" spans="1:19" x14ac:dyDescent="0.25">
      <c r="A266" t="s">
        <v>356</v>
      </c>
      <c r="B266" s="5">
        <v>46101</v>
      </c>
      <c r="C266" t="s">
        <v>48</v>
      </c>
      <c r="D266" t="s">
        <v>49</v>
      </c>
      <c r="E266" t="s">
        <v>60</v>
      </c>
      <c r="F266" t="s">
        <v>83</v>
      </c>
      <c r="G266" t="s">
        <v>24</v>
      </c>
      <c r="H266">
        <v>181</v>
      </c>
      <c r="I266">
        <v>187</v>
      </c>
      <c r="J266">
        <v>15</v>
      </c>
      <c r="K266">
        <v>5.9</v>
      </c>
      <c r="L266">
        <v>40159.160000000003</v>
      </c>
      <c r="M266">
        <v>6.5</v>
      </c>
      <c r="N266">
        <v>130</v>
      </c>
      <c r="O266">
        <v>166</v>
      </c>
      <c r="P266" s="5">
        <v>46106</v>
      </c>
      <c r="Q266" s="5">
        <v>46108</v>
      </c>
      <c r="R266" t="s">
        <v>25</v>
      </c>
      <c r="S266" t="s">
        <v>26</v>
      </c>
    </row>
    <row r="267" spans="1:19" x14ac:dyDescent="0.25">
      <c r="A267" t="s">
        <v>357</v>
      </c>
      <c r="B267" s="5">
        <v>46201</v>
      </c>
      <c r="C267" t="s">
        <v>80</v>
      </c>
      <c r="D267" t="s">
        <v>21</v>
      </c>
      <c r="E267" t="s">
        <v>22</v>
      </c>
      <c r="F267" t="s">
        <v>104</v>
      </c>
      <c r="G267" t="s">
        <v>57</v>
      </c>
      <c r="H267">
        <v>179</v>
      </c>
      <c r="I267">
        <v>203</v>
      </c>
      <c r="J267">
        <v>1</v>
      </c>
      <c r="K267">
        <v>0.8</v>
      </c>
      <c r="L267">
        <v>52611.8</v>
      </c>
      <c r="M267">
        <v>5.78</v>
      </c>
      <c r="N267">
        <v>104.04</v>
      </c>
      <c r="O267">
        <v>206</v>
      </c>
      <c r="P267" s="5">
        <v>46206</v>
      </c>
      <c r="Q267" s="5">
        <v>46207</v>
      </c>
      <c r="R267" t="s">
        <v>25</v>
      </c>
      <c r="S267" t="s">
        <v>72</v>
      </c>
    </row>
    <row r="268" spans="1:19" x14ac:dyDescent="0.25">
      <c r="A268" t="s">
        <v>358</v>
      </c>
      <c r="B268" s="5">
        <v>46125</v>
      </c>
      <c r="C268" t="s">
        <v>59</v>
      </c>
      <c r="D268" t="s">
        <v>49</v>
      </c>
      <c r="E268" t="s">
        <v>60</v>
      </c>
      <c r="F268" t="s">
        <v>85</v>
      </c>
      <c r="G268" t="s">
        <v>24</v>
      </c>
      <c r="H268">
        <v>232</v>
      </c>
      <c r="I268">
        <v>172</v>
      </c>
      <c r="J268">
        <v>12</v>
      </c>
      <c r="K268">
        <v>1.6</v>
      </c>
      <c r="L268">
        <v>26048.21</v>
      </c>
      <c r="M268">
        <v>6.61</v>
      </c>
      <c r="N268">
        <v>171.86</v>
      </c>
      <c r="O268">
        <v>265</v>
      </c>
      <c r="P268" s="5">
        <v>46130</v>
      </c>
      <c r="Q268" s="5">
        <v>46128</v>
      </c>
      <c r="R268" t="s">
        <v>39</v>
      </c>
      <c r="S268" t="s">
        <v>51</v>
      </c>
    </row>
    <row r="269" spans="1:19" x14ac:dyDescent="0.25">
      <c r="A269" t="s">
        <v>359</v>
      </c>
      <c r="B269" s="5">
        <v>46180</v>
      </c>
      <c r="C269" t="s">
        <v>43</v>
      </c>
      <c r="D269" t="s">
        <v>44</v>
      </c>
      <c r="E269" t="s">
        <v>45</v>
      </c>
      <c r="F269" t="s">
        <v>135</v>
      </c>
      <c r="G269" t="s">
        <v>24</v>
      </c>
      <c r="H269">
        <v>89</v>
      </c>
      <c r="I269">
        <v>77</v>
      </c>
      <c r="J269">
        <v>4</v>
      </c>
      <c r="K269">
        <v>8.8000000000000007</v>
      </c>
      <c r="L269">
        <v>7238.27</v>
      </c>
      <c r="M269">
        <v>2.12</v>
      </c>
      <c r="N269">
        <v>50.88</v>
      </c>
      <c r="O269">
        <v>153</v>
      </c>
      <c r="P269" s="5">
        <v>46191</v>
      </c>
      <c r="Q269" s="5">
        <v>46191</v>
      </c>
      <c r="R269" t="s">
        <v>39</v>
      </c>
      <c r="S269" t="s">
        <v>33</v>
      </c>
    </row>
    <row r="270" spans="1:19" x14ac:dyDescent="0.25">
      <c r="A270" t="s">
        <v>360</v>
      </c>
      <c r="B270" s="5">
        <v>46046</v>
      </c>
      <c r="C270" t="s">
        <v>59</v>
      </c>
      <c r="D270" t="s">
        <v>49</v>
      </c>
      <c r="E270" t="s">
        <v>60</v>
      </c>
      <c r="F270" t="s">
        <v>244</v>
      </c>
      <c r="G270" t="s">
        <v>32</v>
      </c>
      <c r="H270">
        <v>292</v>
      </c>
      <c r="I270">
        <v>280</v>
      </c>
      <c r="J270">
        <v>16</v>
      </c>
      <c r="K270">
        <v>3.1</v>
      </c>
      <c r="L270">
        <v>50459.01</v>
      </c>
      <c r="M270">
        <v>11.51</v>
      </c>
      <c r="N270">
        <v>276.24</v>
      </c>
      <c r="O270">
        <v>355</v>
      </c>
      <c r="P270" s="5">
        <v>46057</v>
      </c>
      <c r="Q270" s="5">
        <v>46055</v>
      </c>
      <c r="R270" t="s">
        <v>25</v>
      </c>
      <c r="S270" t="s">
        <v>26</v>
      </c>
    </row>
    <row r="271" spans="1:19" x14ac:dyDescent="0.25">
      <c r="A271" t="s">
        <v>361</v>
      </c>
      <c r="B271" s="5">
        <v>46050</v>
      </c>
      <c r="C271" t="s">
        <v>20</v>
      </c>
      <c r="D271" t="s">
        <v>21</v>
      </c>
      <c r="E271" t="s">
        <v>66</v>
      </c>
      <c r="F271" t="s">
        <v>197</v>
      </c>
      <c r="G271" t="s">
        <v>32</v>
      </c>
      <c r="H271">
        <v>155</v>
      </c>
      <c r="I271">
        <v>134</v>
      </c>
      <c r="J271">
        <v>2</v>
      </c>
      <c r="K271">
        <v>4.5999999999999996</v>
      </c>
      <c r="L271">
        <v>40012.400000000001</v>
      </c>
      <c r="M271">
        <v>4.96</v>
      </c>
      <c r="N271">
        <v>109.12</v>
      </c>
      <c r="O271">
        <v>228</v>
      </c>
      <c r="P271" s="5">
        <v>46058</v>
      </c>
      <c r="Q271" s="5">
        <v>46062</v>
      </c>
      <c r="R271" t="s">
        <v>25</v>
      </c>
      <c r="S271" t="s">
        <v>72</v>
      </c>
    </row>
    <row r="272" spans="1:19" x14ac:dyDescent="0.25">
      <c r="A272" t="s">
        <v>362</v>
      </c>
      <c r="B272" s="5">
        <v>46197</v>
      </c>
      <c r="C272" t="s">
        <v>53</v>
      </c>
      <c r="D272" t="s">
        <v>54</v>
      </c>
      <c r="E272" t="s">
        <v>55</v>
      </c>
      <c r="F272" t="s">
        <v>23</v>
      </c>
      <c r="G272" t="s">
        <v>32</v>
      </c>
      <c r="H272">
        <v>203</v>
      </c>
      <c r="I272">
        <v>156</v>
      </c>
      <c r="J272">
        <v>1</v>
      </c>
      <c r="K272">
        <v>5.7</v>
      </c>
      <c r="L272">
        <v>27497.33</v>
      </c>
      <c r="M272">
        <v>3.67</v>
      </c>
      <c r="N272">
        <v>80.739999999999995</v>
      </c>
      <c r="O272">
        <v>268</v>
      </c>
      <c r="P272" s="5">
        <v>46204</v>
      </c>
      <c r="Q272" s="5">
        <v>46202</v>
      </c>
      <c r="R272" t="s">
        <v>25</v>
      </c>
      <c r="S272" t="s">
        <v>33</v>
      </c>
    </row>
    <row r="273" spans="1:19" x14ac:dyDescent="0.25">
      <c r="A273" t="s">
        <v>363</v>
      </c>
      <c r="B273" s="5">
        <v>46125</v>
      </c>
      <c r="C273" t="s">
        <v>48</v>
      </c>
      <c r="D273" t="s">
        <v>49</v>
      </c>
      <c r="E273" t="s">
        <v>50</v>
      </c>
      <c r="F273" t="s">
        <v>56</v>
      </c>
      <c r="G273" t="s">
        <v>32</v>
      </c>
      <c r="H273">
        <v>221</v>
      </c>
      <c r="I273">
        <v>247</v>
      </c>
      <c r="J273">
        <v>11</v>
      </c>
      <c r="K273">
        <v>3.2</v>
      </c>
      <c r="L273">
        <v>52931.59</v>
      </c>
      <c r="M273">
        <v>10.06</v>
      </c>
      <c r="N273">
        <v>201.2</v>
      </c>
      <c r="O273">
        <v>308</v>
      </c>
      <c r="P273" s="5">
        <v>46130</v>
      </c>
      <c r="Q273" s="5">
        <v>46130</v>
      </c>
      <c r="R273" t="s">
        <v>25</v>
      </c>
      <c r="S273" t="s">
        <v>51</v>
      </c>
    </row>
    <row r="274" spans="1:19" x14ac:dyDescent="0.25">
      <c r="A274" t="s">
        <v>364</v>
      </c>
      <c r="B274" s="5">
        <v>46081</v>
      </c>
      <c r="C274" t="s">
        <v>28</v>
      </c>
      <c r="D274" t="s">
        <v>29</v>
      </c>
      <c r="E274" t="s">
        <v>63</v>
      </c>
      <c r="F274" t="s">
        <v>91</v>
      </c>
      <c r="G274" t="s">
        <v>24</v>
      </c>
      <c r="H274">
        <v>294</v>
      </c>
      <c r="I274">
        <v>289</v>
      </c>
      <c r="J274">
        <v>5</v>
      </c>
      <c r="K274">
        <v>1</v>
      </c>
      <c r="L274">
        <v>79638.89</v>
      </c>
      <c r="M274">
        <v>9.8000000000000007</v>
      </c>
      <c r="N274">
        <v>254.8</v>
      </c>
      <c r="O274">
        <v>255</v>
      </c>
      <c r="P274" s="5">
        <v>46091</v>
      </c>
      <c r="Q274" s="5">
        <v>46089</v>
      </c>
      <c r="R274" t="s">
        <v>100</v>
      </c>
      <c r="S274" t="s">
        <v>86</v>
      </c>
    </row>
    <row r="275" spans="1:19" x14ac:dyDescent="0.25">
      <c r="A275" t="s">
        <v>365</v>
      </c>
      <c r="B275" s="5">
        <v>46149</v>
      </c>
      <c r="C275" t="s">
        <v>59</v>
      </c>
      <c r="D275" t="s">
        <v>49</v>
      </c>
      <c r="E275" t="s">
        <v>76</v>
      </c>
      <c r="F275" t="s">
        <v>91</v>
      </c>
      <c r="G275" t="s">
        <v>32</v>
      </c>
      <c r="H275">
        <v>126</v>
      </c>
      <c r="I275">
        <v>144</v>
      </c>
      <c r="J275">
        <v>12</v>
      </c>
      <c r="K275">
        <v>2.5</v>
      </c>
      <c r="L275">
        <v>23094.7</v>
      </c>
      <c r="M275">
        <v>2.78</v>
      </c>
      <c r="N275">
        <v>66.72</v>
      </c>
      <c r="O275">
        <v>208</v>
      </c>
      <c r="P275" s="5">
        <v>46159</v>
      </c>
      <c r="Q275" s="5">
        <v>46157</v>
      </c>
      <c r="R275" t="s">
        <v>39</v>
      </c>
      <c r="S275" t="s">
        <v>51</v>
      </c>
    </row>
    <row r="276" spans="1:19" x14ac:dyDescent="0.25">
      <c r="A276" t="s">
        <v>366</v>
      </c>
      <c r="B276" s="5">
        <v>46140</v>
      </c>
      <c r="C276" t="s">
        <v>20</v>
      </c>
      <c r="D276" t="s">
        <v>21</v>
      </c>
      <c r="E276" t="s">
        <v>66</v>
      </c>
      <c r="F276" t="s">
        <v>122</v>
      </c>
      <c r="G276" t="s">
        <v>32</v>
      </c>
      <c r="H276">
        <v>212</v>
      </c>
      <c r="I276">
        <v>194</v>
      </c>
      <c r="J276">
        <v>13</v>
      </c>
      <c r="K276">
        <v>0.1</v>
      </c>
      <c r="L276">
        <v>57505.45</v>
      </c>
      <c r="M276">
        <v>5.01</v>
      </c>
      <c r="N276">
        <v>130.26</v>
      </c>
      <c r="O276">
        <v>238</v>
      </c>
      <c r="P276" s="5">
        <v>46144</v>
      </c>
      <c r="Q276" s="5">
        <v>46144</v>
      </c>
      <c r="R276" t="s">
        <v>25</v>
      </c>
      <c r="S276" t="s">
        <v>26</v>
      </c>
    </row>
    <row r="277" spans="1:19" x14ac:dyDescent="0.25">
      <c r="A277" t="s">
        <v>367</v>
      </c>
      <c r="B277" s="5">
        <v>46110</v>
      </c>
      <c r="C277" t="s">
        <v>48</v>
      </c>
      <c r="D277" t="s">
        <v>49</v>
      </c>
      <c r="E277" t="s">
        <v>50</v>
      </c>
      <c r="F277" t="s">
        <v>112</v>
      </c>
      <c r="G277" t="s">
        <v>32</v>
      </c>
      <c r="H277">
        <v>207</v>
      </c>
      <c r="I277">
        <v>186</v>
      </c>
      <c r="J277">
        <v>7</v>
      </c>
      <c r="K277">
        <v>6.8</v>
      </c>
      <c r="L277">
        <v>34455.51</v>
      </c>
      <c r="M277">
        <v>5.36</v>
      </c>
      <c r="N277">
        <v>139.36000000000001</v>
      </c>
      <c r="O277">
        <v>200</v>
      </c>
      <c r="P277" s="5">
        <v>46121</v>
      </c>
      <c r="Q277" s="5">
        <v>46121</v>
      </c>
      <c r="R277" t="s">
        <v>25</v>
      </c>
      <c r="S277" t="s">
        <v>51</v>
      </c>
    </row>
    <row r="278" spans="1:19" x14ac:dyDescent="0.25">
      <c r="A278" t="s">
        <v>368</v>
      </c>
      <c r="B278" s="5">
        <v>46165</v>
      </c>
      <c r="C278" t="s">
        <v>35</v>
      </c>
      <c r="D278" t="s">
        <v>36</v>
      </c>
      <c r="E278" t="s">
        <v>69</v>
      </c>
      <c r="F278" t="s">
        <v>122</v>
      </c>
      <c r="G278" t="s">
        <v>24</v>
      </c>
      <c r="H278">
        <v>130</v>
      </c>
      <c r="I278">
        <v>101</v>
      </c>
      <c r="J278">
        <v>9</v>
      </c>
      <c r="K278">
        <v>1.3</v>
      </c>
      <c r="L278">
        <v>9429.17</v>
      </c>
      <c r="M278">
        <v>3.03</v>
      </c>
      <c r="N278">
        <v>78.78</v>
      </c>
      <c r="O278">
        <v>226</v>
      </c>
      <c r="P278" s="5">
        <v>46172</v>
      </c>
      <c r="Q278" s="5">
        <v>46176</v>
      </c>
      <c r="R278" t="s">
        <v>25</v>
      </c>
      <c r="S278" t="s">
        <v>26</v>
      </c>
    </row>
    <row r="279" spans="1:19" x14ac:dyDescent="0.25">
      <c r="A279" t="s">
        <v>369</v>
      </c>
      <c r="B279" s="5">
        <v>46035</v>
      </c>
      <c r="C279" t="s">
        <v>35</v>
      </c>
      <c r="D279" t="s">
        <v>36</v>
      </c>
      <c r="E279" t="s">
        <v>37</v>
      </c>
      <c r="F279" t="s">
        <v>135</v>
      </c>
      <c r="G279" t="s">
        <v>32</v>
      </c>
      <c r="H279">
        <v>256</v>
      </c>
      <c r="I279">
        <v>202</v>
      </c>
      <c r="J279">
        <v>4</v>
      </c>
      <c r="K279">
        <v>2.2999999999999998</v>
      </c>
      <c r="L279">
        <v>18613.37</v>
      </c>
      <c r="M279">
        <v>7.25</v>
      </c>
      <c r="N279">
        <v>159.5</v>
      </c>
      <c r="O279">
        <v>308</v>
      </c>
      <c r="P279" s="5">
        <v>46042</v>
      </c>
      <c r="Q279" s="5">
        <v>46042</v>
      </c>
      <c r="R279" t="s">
        <v>25</v>
      </c>
      <c r="S279" t="s">
        <v>33</v>
      </c>
    </row>
    <row r="280" spans="1:19" x14ac:dyDescent="0.25">
      <c r="A280" t="s">
        <v>370</v>
      </c>
      <c r="B280" s="5">
        <v>46112</v>
      </c>
      <c r="C280" t="s">
        <v>28</v>
      </c>
      <c r="D280" t="s">
        <v>29</v>
      </c>
      <c r="E280" t="s">
        <v>30</v>
      </c>
      <c r="F280" t="s">
        <v>110</v>
      </c>
      <c r="G280" t="s">
        <v>57</v>
      </c>
      <c r="H280">
        <v>227</v>
      </c>
      <c r="I280">
        <v>226</v>
      </c>
      <c r="J280">
        <v>12</v>
      </c>
      <c r="K280">
        <v>8.8000000000000007</v>
      </c>
      <c r="L280">
        <v>45425.94</v>
      </c>
      <c r="M280">
        <v>6.84</v>
      </c>
      <c r="N280">
        <v>164.16</v>
      </c>
      <c r="O280">
        <v>207</v>
      </c>
      <c r="P280" s="5">
        <v>46120</v>
      </c>
      <c r="Q280" s="5">
        <v>46120</v>
      </c>
      <c r="R280" t="s">
        <v>100</v>
      </c>
      <c r="S280" t="s">
        <v>51</v>
      </c>
    </row>
    <row r="281" spans="1:19" x14ac:dyDescent="0.25">
      <c r="A281" t="s">
        <v>371</v>
      </c>
      <c r="B281" s="5">
        <v>46186</v>
      </c>
      <c r="C281" t="s">
        <v>48</v>
      </c>
      <c r="D281" t="s">
        <v>49</v>
      </c>
      <c r="E281" t="s">
        <v>76</v>
      </c>
      <c r="F281" t="s">
        <v>38</v>
      </c>
      <c r="G281" t="s">
        <v>32</v>
      </c>
      <c r="H281">
        <v>241</v>
      </c>
      <c r="I281">
        <v>236</v>
      </c>
      <c r="J281">
        <v>9</v>
      </c>
      <c r="K281">
        <v>8.1999999999999993</v>
      </c>
      <c r="L281">
        <v>38376.480000000003</v>
      </c>
      <c r="M281">
        <v>6.02</v>
      </c>
      <c r="N281">
        <v>132.44</v>
      </c>
      <c r="O281">
        <v>269</v>
      </c>
      <c r="P281" s="5">
        <v>46197</v>
      </c>
      <c r="Q281" s="5">
        <v>46199</v>
      </c>
      <c r="R281" t="s">
        <v>25</v>
      </c>
      <c r="S281" t="s">
        <v>86</v>
      </c>
    </row>
    <row r="282" spans="1:19" x14ac:dyDescent="0.25">
      <c r="A282" t="s">
        <v>372</v>
      </c>
      <c r="B282" s="5">
        <v>46173</v>
      </c>
      <c r="C282" t="s">
        <v>53</v>
      </c>
      <c r="D282" t="s">
        <v>54</v>
      </c>
      <c r="E282" t="s">
        <v>131</v>
      </c>
      <c r="F282" t="s">
        <v>71</v>
      </c>
      <c r="G282" t="s">
        <v>57</v>
      </c>
      <c r="H282">
        <v>122</v>
      </c>
      <c r="I282">
        <v>97</v>
      </c>
      <c r="J282">
        <v>0</v>
      </c>
      <c r="K282">
        <v>6.5</v>
      </c>
      <c r="L282">
        <v>16396.689999999999</v>
      </c>
      <c r="M282">
        <v>3.38</v>
      </c>
      <c r="N282">
        <v>60.84</v>
      </c>
      <c r="O282">
        <v>135</v>
      </c>
      <c r="P282" s="5">
        <v>46177</v>
      </c>
      <c r="Q282" s="5">
        <v>46179</v>
      </c>
      <c r="R282" t="s">
        <v>25</v>
      </c>
      <c r="S282" t="s">
        <v>72</v>
      </c>
    </row>
    <row r="283" spans="1:19" x14ac:dyDescent="0.25">
      <c r="A283" t="s">
        <v>373</v>
      </c>
      <c r="B283" s="5">
        <v>46163</v>
      </c>
      <c r="C283" t="s">
        <v>80</v>
      </c>
      <c r="D283" t="s">
        <v>21</v>
      </c>
      <c r="E283" t="s">
        <v>22</v>
      </c>
      <c r="F283" t="s">
        <v>74</v>
      </c>
      <c r="G283" t="s">
        <v>24</v>
      </c>
      <c r="H283">
        <v>277</v>
      </c>
      <c r="I283">
        <v>246</v>
      </c>
      <c r="J283">
        <v>18</v>
      </c>
      <c r="K283">
        <v>0.7</v>
      </c>
      <c r="L283">
        <v>54460.47</v>
      </c>
      <c r="M283">
        <v>8.2899999999999991</v>
      </c>
      <c r="N283">
        <v>198.96</v>
      </c>
      <c r="O283">
        <v>316</v>
      </c>
      <c r="P283" s="5">
        <v>46168</v>
      </c>
      <c r="Q283" s="5">
        <v>46168</v>
      </c>
      <c r="R283" t="s">
        <v>25</v>
      </c>
      <c r="S283" t="s">
        <v>51</v>
      </c>
    </row>
    <row r="284" spans="1:19" x14ac:dyDescent="0.25">
      <c r="A284" t="s">
        <v>374</v>
      </c>
      <c r="B284" s="5">
        <v>46056</v>
      </c>
      <c r="C284" t="s">
        <v>43</v>
      </c>
      <c r="D284" t="s">
        <v>44</v>
      </c>
      <c r="E284" t="s">
        <v>93</v>
      </c>
      <c r="F284" t="s">
        <v>104</v>
      </c>
      <c r="G284" t="s">
        <v>32</v>
      </c>
      <c r="H284">
        <v>88</v>
      </c>
      <c r="I284">
        <v>88</v>
      </c>
      <c r="J284">
        <v>7</v>
      </c>
      <c r="K284">
        <v>2.9</v>
      </c>
      <c r="L284">
        <v>11552.33</v>
      </c>
      <c r="M284">
        <v>2.73</v>
      </c>
      <c r="N284">
        <v>60.06</v>
      </c>
      <c r="O284">
        <v>163</v>
      </c>
      <c r="P284" s="5">
        <v>46060</v>
      </c>
      <c r="Q284" s="5">
        <v>46060</v>
      </c>
      <c r="R284" t="s">
        <v>39</v>
      </c>
      <c r="S284" t="s">
        <v>26</v>
      </c>
    </row>
    <row r="285" spans="1:19" x14ac:dyDescent="0.25">
      <c r="A285" t="s">
        <v>375</v>
      </c>
      <c r="B285" s="5">
        <v>46134</v>
      </c>
      <c r="C285" t="s">
        <v>59</v>
      </c>
      <c r="D285" t="s">
        <v>49</v>
      </c>
      <c r="E285" t="s">
        <v>76</v>
      </c>
      <c r="F285" t="s">
        <v>119</v>
      </c>
      <c r="G285" t="s">
        <v>24</v>
      </c>
      <c r="H285">
        <v>203</v>
      </c>
      <c r="I285">
        <v>193</v>
      </c>
      <c r="J285">
        <v>14</v>
      </c>
      <c r="K285">
        <v>4</v>
      </c>
      <c r="L285">
        <v>30011.7</v>
      </c>
      <c r="M285">
        <v>4.88</v>
      </c>
      <c r="N285">
        <v>87.84</v>
      </c>
      <c r="O285">
        <v>296</v>
      </c>
      <c r="P285" s="5">
        <v>46138</v>
      </c>
      <c r="Q285" s="5">
        <v>46139</v>
      </c>
      <c r="R285" t="s">
        <v>25</v>
      </c>
      <c r="S285" t="s">
        <v>33</v>
      </c>
    </row>
    <row r="286" spans="1:19" x14ac:dyDescent="0.25">
      <c r="A286" t="s">
        <v>376</v>
      </c>
      <c r="B286" s="5">
        <v>46199</v>
      </c>
      <c r="C286" t="s">
        <v>53</v>
      </c>
      <c r="D286" t="s">
        <v>54</v>
      </c>
      <c r="E286" t="s">
        <v>131</v>
      </c>
      <c r="F286" t="s">
        <v>106</v>
      </c>
      <c r="G286" t="s">
        <v>24</v>
      </c>
      <c r="H286">
        <v>156</v>
      </c>
      <c r="I286">
        <v>112</v>
      </c>
      <c r="J286">
        <v>4</v>
      </c>
      <c r="K286">
        <v>2.6</v>
      </c>
      <c r="L286">
        <v>12546.8</v>
      </c>
      <c r="M286">
        <v>3.02</v>
      </c>
      <c r="N286">
        <v>72.48</v>
      </c>
      <c r="O286">
        <v>227</v>
      </c>
      <c r="P286" s="5">
        <v>46207</v>
      </c>
      <c r="Q286" s="5">
        <v>46207</v>
      </c>
      <c r="R286" t="s">
        <v>25</v>
      </c>
      <c r="S286" t="s">
        <v>72</v>
      </c>
    </row>
    <row r="287" spans="1:19" x14ac:dyDescent="0.25">
      <c r="A287" t="s">
        <v>377</v>
      </c>
      <c r="B287" s="5">
        <v>46119</v>
      </c>
      <c r="C287" t="s">
        <v>28</v>
      </c>
      <c r="D287" t="s">
        <v>29</v>
      </c>
      <c r="E287" t="s">
        <v>95</v>
      </c>
      <c r="F287" t="s">
        <v>56</v>
      </c>
      <c r="G287" t="s">
        <v>57</v>
      </c>
      <c r="H287">
        <v>100</v>
      </c>
      <c r="I287">
        <v>90</v>
      </c>
      <c r="J287">
        <v>2</v>
      </c>
      <c r="K287">
        <v>6.9</v>
      </c>
      <c r="L287">
        <v>25554.53</v>
      </c>
      <c r="M287">
        <v>3.1</v>
      </c>
      <c r="N287">
        <v>68.2</v>
      </c>
      <c r="O287">
        <v>196</v>
      </c>
      <c r="P287" s="5">
        <v>46125</v>
      </c>
      <c r="Q287" s="5">
        <v>46127</v>
      </c>
      <c r="R287" t="s">
        <v>25</v>
      </c>
      <c r="S287" t="s">
        <v>51</v>
      </c>
    </row>
    <row r="288" spans="1:19" x14ac:dyDescent="0.25">
      <c r="A288" t="s">
        <v>378</v>
      </c>
      <c r="B288" s="5">
        <v>46057</v>
      </c>
      <c r="C288" t="s">
        <v>59</v>
      </c>
      <c r="D288" t="s">
        <v>49</v>
      </c>
      <c r="E288" t="s">
        <v>50</v>
      </c>
      <c r="F288" t="s">
        <v>122</v>
      </c>
      <c r="G288" t="s">
        <v>57</v>
      </c>
      <c r="H288">
        <v>243</v>
      </c>
      <c r="I288">
        <v>222</v>
      </c>
      <c r="J288">
        <v>10</v>
      </c>
      <c r="K288">
        <v>6.3</v>
      </c>
      <c r="L288">
        <v>36798.959999999999</v>
      </c>
      <c r="M288">
        <v>4.8099999999999996</v>
      </c>
      <c r="N288">
        <v>125.06</v>
      </c>
      <c r="O288">
        <v>208</v>
      </c>
      <c r="P288" s="5">
        <v>46061</v>
      </c>
      <c r="Q288" s="5">
        <v>46060</v>
      </c>
      <c r="R288" t="s">
        <v>25</v>
      </c>
      <c r="S288" t="s">
        <v>72</v>
      </c>
    </row>
    <row r="289" spans="1:19" x14ac:dyDescent="0.25">
      <c r="A289" t="s">
        <v>379</v>
      </c>
      <c r="B289" s="5">
        <v>46025</v>
      </c>
      <c r="C289" t="s">
        <v>28</v>
      </c>
      <c r="D289" t="s">
        <v>29</v>
      </c>
      <c r="E289" t="s">
        <v>63</v>
      </c>
      <c r="G289" t="s">
        <v>32</v>
      </c>
      <c r="H289">
        <v>118</v>
      </c>
      <c r="I289">
        <v>85</v>
      </c>
      <c r="J289">
        <v>2</v>
      </c>
      <c r="K289">
        <v>3.8</v>
      </c>
      <c r="L289">
        <v>21420.49</v>
      </c>
      <c r="M289">
        <v>2.29</v>
      </c>
      <c r="N289">
        <v>41.22</v>
      </c>
      <c r="O289">
        <v>162</v>
      </c>
      <c r="P289" s="5">
        <v>46028</v>
      </c>
      <c r="Q289" s="5">
        <v>46028</v>
      </c>
      <c r="R289" t="s">
        <v>25</v>
      </c>
      <c r="S289" t="s">
        <v>33</v>
      </c>
    </row>
    <row r="290" spans="1:19" x14ac:dyDescent="0.25">
      <c r="A290" t="s">
        <v>380</v>
      </c>
      <c r="B290" s="5">
        <v>46162</v>
      </c>
      <c r="C290" t="s">
        <v>53</v>
      </c>
      <c r="D290" t="s">
        <v>54</v>
      </c>
      <c r="E290" t="s">
        <v>55</v>
      </c>
      <c r="F290" t="s">
        <v>74</v>
      </c>
      <c r="G290" t="s">
        <v>24</v>
      </c>
      <c r="H290">
        <v>129</v>
      </c>
      <c r="I290">
        <v>142</v>
      </c>
      <c r="J290">
        <v>3</v>
      </c>
      <c r="K290">
        <v>3.4</v>
      </c>
      <c r="L290">
        <v>18853.990000000002</v>
      </c>
      <c r="M290">
        <v>4.99</v>
      </c>
      <c r="N290">
        <v>119.76</v>
      </c>
      <c r="O290">
        <v>202</v>
      </c>
      <c r="P290" s="5">
        <v>46167</v>
      </c>
      <c r="Q290" s="5">
        <v>46165</v>
      </c>
      <c r="R290" t="s">
        <v>25</v>
      </c>
      <c r="S290" t="s">
        <v>33</v>
      </c>
    </row>
    <row r="291" spans="1:19" x14ac:dyDescent="0.25">
      <c r="A291" t="s">
        <v>381</v>
      </c>
      <c r="B291" s="5">
        <v>46156</v>
      </c>
      <c r="C291" t="s">
        <v>28</v>
      </c>
      <c r="D291" t="s">
        <v>29</v>
      </c>
      <c r="E291" t="s">
        <v>95</v>
      </c>
      <c r="F291" t="s">
        <v>31</v>
      </c>
      <c r="G291" t="s">
        <v>32</v>
      </c>
      <c r="H291">
        <v>179</v>
      </c>
      <c r="I291">
        <v>181</v>
      </c>
      <c r="J291">
        <v>5</v>
      </c>
      <c r="K291">
        <v>2.9</v>
      </c>
      <c r="L291">
        <v>37993.47</v>
      </c>
      <c r="M291">
        <v>7.33</v>
      </c>
      <c r="N291">
        <v>190.58</v>
      </c>
      <c r="O291">
        <v>170</v>
      </c>
      <c r="P291" s="5">
        <v>46162</v>
      </c>
      <c r="Q291" s="5">
        <v>46166</v>
      </c>
      <c r="R291" t="s">
        <v>25</v>
      </c>
      <c r="S291" t="s">
        <v>33</v>
      </c>
    </row>
    <row r="292" spans="1:19" x14ac:dyDescent="0.25">
      <c r="A292" t="s">
        <v>382</v>
      </c>
      <c r="B292" s="5">
        <v>46193</v>
      </c>
      <c r="C292" t="s">
        <v>28</v>
      </c>
      <c r="D292" t="s">
        <v>29</v>
      </c>
      <c r="E292" t="s">
        <v>63</v>
      </c>
      <c r="F292" t="s">
        <v>170</v>
      </c>
      <c r="G292" t="s">
        <v>32</v>
      </c>
      <c r="H292">
        <v>140</v>
      </c>
      <c r="I292">
        <v>138</v>
      </c>
      <c r="J292">
        <v>4</v>
      </c>
      <c r="K292">
        <v>1.5</v>
      </c>
      <c r="L292">
        <v>26050.639999999999</v>
      </c>
      <c r="M292">
        <v>5.0999999999999996</v>
      </c>
      <c r="N292">
        <v>91.8</v>
      </c>
      <c r="O292">
        <v>110</v>
      </c>
      <c r="P292" s="5">
        <v>46204</v>
      </c>
      <c r="Q292" s="5">
        <v>46208</v>
      </c>
      <c r="R292" t="s">
        <v>39</v>
      </c>
      <c r="S292" t="s">
        <v>33</v>
      </c>
    </row>
    <row r="293" spans="1:19" x14ac:dyDescent="0.25">
      <c r="A293" t="s">
        <v>383</v>
      </c>
      <c r="B293" s="5">
        <v>46086</v>
      </c>
      <c r="C293" t="s">
        <v>43</v>
      </c>
      <c r="D293" t="s">
        <v>44</v>
      </c>
      <c r="E293" t="s">
        <v>161</v>
      </c>
      <c r="F293" t="s">
        <v>23</v>
      </c>
      <c r="G293" t="s">
        <v>32</v>
      </c>
      <c r="H293">
        <v>103</v>
      </c>
      <c r="I293">
        <v>104</v>
      </c>
      <c r="J293">
        <v>3</v>
      </c>
      <c r="K293">
        <v>8.6999999999999993</v>
      </c>
      <c r="L293">
        <v>11785.57</v>
      </c>
      <c r="M293">
        <v>2.76</v>
      </c>
      <c r="N293">
        <v>55.2</v>
      </c>
      <c r="O293">
        <v>200</v>
      </c>
      <c r="P293" s="5">
        <v>46089</v>
      </c>
      <c r="Q293" s="5">
        <v>46089</v>
      </c>
      <c r="R293" t="s">
        <v>100</v>
      </c>
      <c r="S293" t="s">
        <v>26</v>
      </c>
    </row>
    <row r="294" spans="1:19" x14ac:dyDescent="0.25">
      <c r="A294" t="s">
        <v>384</v>
      </c>
      <c r="B294" s="5">
        <v>46188</v>
      </c>
      <c r="C294" t="s">
        <v>48</v>
      </c>
      <c r="D294" t="s">
        <v>49</v>
      </c>
      <c r="E294" t="s">
        <v>76</v>
      </c>
      <c r="F294" t="s">
        <v>114</v>
      </c>
      <c r="G294" t="s">
        <v>57</v>
      </c>
      <c r="H294">
        <v>267</v>
      </c>
      <c r="I294">
        <v>214</v>
      </c>
      <c r="J294">
        <v>14</v>
      </c>
      <c r="K294">
        <v>3.2</v>
      </c>
      <c r="L294">
        <v>41144.410000000003</v>
      </c>
      <c r="M294">
        <v>6.34</v>
      </c>
      <c r="N294">
        <v>152.16</v>
      </c>
      <c r="O294">
        <v>302</v>
      </c>
      <c r="P294" s="5">
        <v>46198</v>
      </c>
      <c r="Q294" s="5">
        <v>46202</v>
      </c>
      <c r="R294" t="s">
        <v>25</v>
      </c>
      <c r="S294" t="s">
        <v>26</v>
      </c>
    </row>
    <row r="295" spans="1:19" x14ac:dyDescent="0.25">
      <c r="A295" t="s">
        <v>385</v>
      </c>
      <c r="B295" s="5">
        <v>46112</v>
      </c>
      <c r="C295" t="s">
        <v>48</v>
      </c>
      <c r="D295" t="s">
        <v>49</v>
      </c>
      <c r="E295" t="s">
        <v>60</v>
      </c>
      <c r="F295" t="s">
        <v>135</v>
      </c>
      <c r="G295" t="s">
        <v>24</v>
      </c>
      <c r="H295">
        <v>199</v>
      </c>
      <c r="I295">
        <v>166</v>
      </c>
      <c r="J295">
        <v>13</v>
      </c>
      <c r="K295">
        <v>8.1999999999999993</v>
      </c>
      <c r="L295">
        <v>29948.25</v>
      </c>
      <c r="M295">
        <v>3.61</v>
      </c>
      <c r="N295">
        <v>79.42</v>
      </c>
      <c r="O295">
        <v>226</v>
      </c>
      <c r="P295" s="5">
        <v>46122</v>
      </c>
      <c r="Q295" s="5">
        <v>46123</v>
      </c>
      <c r="R295" t="s">
        <v>100</v>
      </c>
      <c r="S295" t="s">
        <v>26</v>
      </c>
    </row>
    <row r="296" spans="1:19" x14ac:dyDescent="0.25">
      <c r="A296" t="s">
        <v>386</v>
      </c>
      <c r="B296" s="5">
        <v>46120</v>
      </c>
      <c r="C296" t="s">
        <v>43</v>
      </c>
      <c r="D296" t="s">
        <v>44</v>
      </c>
      <c r="E296" t="s">
        <v>93</v>
      </c>
      <c r="F296" t="s">
        <v>170</v>
      </c>
      <c r="G296" t="s">
        <v>24</v>
      </c>
      <c r="H296">
        <v>238</v>
      </c>
      <c r="I296">
        <v>259</v>
      </c>
      <c r="J296">
        <v>19</v>
      </c>
      <c r="K296">
        <v>2.1</v>
      </c>
      <c r="L296">
        <v>34238.699999999997</v>
      </c>
      <c r="M296">
        <v>8.01</v>
      </c>
      <c r="N296">
        <v>192.24</v>
      </c>
      <c r="O296">
        <v>246</v>
      </c>
      <c r="P296" s="5">
        <v>46130</v>
      </c>
      <c r="Q296" s="5">
        <v>46134</v>
      </c>
      <c r="R296" t="s">
        <v>39</v>
      </c>
      <c r="S296" t="s">
        <v>86</v>
      </c>
    </row>
    <row r="297" spans="1:19" x14ac:dyDescent="0.25">
      <c r="A297" t="s">
        <v>387</v>
      </c>
      <c r="B297" s="5">
        <v>46105</v>
      </c>
      <c r="C297" t="s">
        <v>35</v>
      </c>
      <c r="D297" t="s">
        <v>36</v>
      </c>
      <c r="E297" t="s">
        <v>69</v>
      </c>
      <c r="G297" t="s">
        <v>24</v>
      </c>
      <c r="H297">
        <v>108</v>
      </c>
      <c r="I297">
        <v>82</v>
      </c>
      <c r="J297">
        <v>5</v>
      </c>
      <c r="K297">
        <v>0.4</v>
      </c>
      <c r="L297">
        <v>7988.17</v>
      </c>
      <c r="M297">
        <v>1.54</v>
      </c>
      <c r="N297">
        <v>27.72</v>
      </c>
      <c r="O297">
        <v>192</v>
      </c>
      <c r="P297" s="5">
        <v>46110</v>
      </c>
      <c r="Q297" s="5">
        <v>46109</v>
      </c>
      <c r="R297" t="s">
        <v>25</v>
      </c>
      <c r="S297" t="s">
        <v>72</v>
      </c>
    </row>
    <row r="298" spans="1:19" x14ac:dyDescent="0.25">
      <c r="A298" t="s">
        <v>388</v>
      </c>
      <c r="B298" s="5">
        <v>46191</v>
      </c>
      <c r="C298" t="s">
        <v>53</v>
      </c>
      <c r="D298" t="s">
        <v>54</v>
      </c>
      <c r="E298" t="s">
        <v>131</v>
      </c>
      <c r="F298" t="s">
        <v>137</v>
      </c>
      <c r="G298" t="s">
        <v>24</v>
      </c>
      <c r="H298">
        <v>92</v>
      </c>
      <c r="I298">
        <v>80</v>
      </c>
      <c r="J298">
        <v>4</v>
      </c>
      <c r="K298">
        <v>0.6</v>
      </c>
      <c r="L298">
        <v>12170.94</v>
      </c>
      <c r="M298">
        <v>2.38</v>
      </c>
      <c r="N298">
        <v>42.84</v>
      </c>
      <c r="O298">
        <v>171</v>
      </c>
      <c r="P298" s="5">
        <v>46203</v>
      </c>
      <c r="Q298" s="5">
        <v>46201</v>
      </c>
      <c r="R298" t="s">
        <v>25</v>
      </c>
      <c r="S298" t="s">
        <v>72</v>
      </c>
    </row>
    <row r="299" spans="1:19" x14ac:dyDescent="0.25">
      <c r="A299" t="s">
        <v>389</v>
      </c>
      <c r="B299" s="5">
        <v>46117</v>
      </c>
      <c r="C299" t="s">
        <v>80</v>
      </c>
      <c r="D299" t="s">
        <v>21</v>
      </c>
      <c r="E299" t="s">
        <v>66</v>
      </c>
      <c r="F299" t="s">
        <v>31</v>
      </c>
      <c r="G299" t="s">
        <v>24</v>
      </c>
      <c r="H299">
        <v>148</v>
      </c>
      <c r="I299">
        <v>140</v>
      </c>
      <c r="J299">
        <v>9</v>
      </c>
      <c r="K299">
        <v>7.5</v>
      </c>
      <c r="L299">
        <v>29256.38</v>
      </c>
      <c r="M299">
        <v>4.2699999999999996</v>
      </c>
      <c r="N299">
        <v>76.86</v>
      </c>
      <c r="O299">
        <v>167</v>
      </c>
      <c r="P299" s="5">
        <v>46127</v>
      </c>
      <c r="Q299" s="5">
        <v>46129</v>
      </c>
      <c r="R299" t="s">
        <v>25</v>
      </c>
      <c r="S299" t="s">
        <v>51</v>
      </c>
    </row>
    <row r="300" spans="1:19" x14ac:dyDescent="0.25">
      <c r="A300" t="s">
        <v>390</v>
      </c>
      <c r="B300" s="5">
        <v>46168</v>
      </c>
      <c r="C300" t="s">
        <v>43</v>
      </c>
      <c r="D300" t="s">
        <v>44</v>
      </c>
      <c r="E300" t="s">
        <v>45</v>
      </c>
      <c r="F300" t="s">
        <v>46</v>
      </c>
      <c r="G300" t="s">
        <v>24</v>
      </c>
      <c r="H300">
        <v>271</v>
      </c>
      <c r="I300">
        <v>260</v>
      </c>
      <c r="J300">
        <v>18</v>
      </c>
      <c r="K300">
        <v>6.9</v>
      </c>
      <c r="L300">
        <v>32851.519999999997</v>
      </c>
      <c r="M300">
        <v>9.06</v>
      </c>
      <c r="N300">
        <v>217.44</v>
      </c>
      <c r="O300">
        <v>257</v>
      </c>
      <c r="P300" s="5">
        <v>46172</v>
      </c>
      <c r="Q300" s="5">
        <v>46172</v>
      </c>
      <c r="R300" t="s">
        <v>39</v>
      </c>
      <c r="S300" t="s">
        <v>86</v>
      </c>
    </row>
    <row r="301" spans="1:19" x14ac:dyDescent="0.25">
      <c r="A301" t="s">
        <v>391</v>
      </c>
      <c r="B301" s="5">
        <v>46191</v>
      </c>
      <c r="C301" t="s">
        <v>43</v>
      </c>
      <c r="D301" t="s">
        <v>44</v>
      </c>
      <c r="E301" t="s">
        <v>45</v>
      </c>
      <c r="F301" t="s">
        <v>137</v>
      </c>
      <c r="G301" t="s">
        <v>57</v>
      </c>
      <c r="H301">
        <v>233</v>
      </c>
      <c r="I301">
        <v>212</v>
      </c>
      <c r="J301">
        <v>7</v>
      </c>
      <c r="K301">
        <v>2.8</v>
      </c>
      <c r="L301">
        <v>27935.06</v>
      </c>
      <c r="M301">
        <v>5.71</v>
      </c>
      <c r="N301">
        <v>137.04</v>
      </c>
      <c r="O301">
        <v>275</v>
      </c>
      <c r="P301" s="5">
        <v>46202</v>
      </c>
      <c r="Q301" s="5">
        <v>46202</v>
      </c>
      <c r="R301" t="s">
        <v>39</v>
      </c>
      <c r="S301" t="s">
        <v>72</v>
      </c>
    </row>
    <row r="302" spans="1:19" x14ac:dyDescent="0.25">
      <c r="A302" t="s">
        <v>392</v>
      </c>
      <c r="B302" s="5">
        <v>46163</v>
      </c>
      <c r="C302" t="s">
        <v>59</v>
      </c>
      <c r="D302" t="s">
        <v>49</v>
      </c>
      <c r="E302" t="s">
        <v>76</v>
      </c>
      <c r="F302" t="s">
        <v>56</v>
      </c>
      <c r="G302" t="s">
        <v>32</v>
      </c>
      <c r="H302">
        <v>195</v>
      </c>
      <c r="I302">
        <v>177</v>
      </c>
      <c r="J302">
        <v>7</v>
      </c>
      <c r="K302">
        <v>6.5</v>
      </c>
      <c r="L302">
        <v>37212.720000000001</v>
      </c>
      <c r="M302">
        <v>5.38</v>
      </c>
      <c r="N302">
        <v>118.36</v>
      </c>
      <c r="O302">
        <v>156</v>
      </c>
      <c r="P302" s="5">
        <v>46169</v>
      </c>
      <c r="Q302" s="5">
        <v>46169</v>
      </c>
      <c r="R302" t="s">
        <v>25</v>
      </c>
      <c r="S302" t="s">
        <v>33</v>
      </c>
    </row>
    <row r="303" spans="1:19" x14ac:dyDescent="0.25">
      <c r="A303" t="s">
        <v>393</v>
      </c>
      <c r="B303" s="5">
        <v>46199</v>
      </c>
      <c r="C303" t="s">
        <v>59</v>
      </c>
      <c r="D303" t="s">
        <v>49</v>
      </c>
      <c r="E303" t="s">
        <v>60</v>
      </c>
      <c r="F303" t="s">
        <v>88</v>
      </c>
      <c r="G303" t="s">
        <v>24</v>
      </c>
      <c r="H303">
        <v>210</v>
      </c>
      <c r="I303">
        <v>201</v>
      </c>
      <c r="J303">
        <v>17</v>
      </c>
      <c r="K303">
        <v>1.4</v>
      </c>
      <c r="L303">
        <v>28127.88</v>
      </c>
      <c r="M303">
        <v>4.29</v>
      </c>
      <c r="N303">
        <v>94.38</v>
      </c>
      <c r="O303">
        <v>233</v>
      </c>
      <c r="P303" s="5">
        <v>46204</v>
      </c>
      <c r="Q303" s="5">
        <v>46204</v>
      </c>
      <c r="R303" t="s">
        <v>25</v>
      </c>
      <c r="S303" t="s">
        <v>72</v>
      </c>
    </row>
    <row r="304" spans="1:19" x14ac:dyDescent="0.25">
      <c r="A304" t="s">
        <v>394</v>
      </c>
      <c r="B304" s="5">
        <v>46168</v>
      </c>
      <c r="C304" t="s">
        <v>28</v>
      </c>
      <c r="D304" t="s">
        <v>29</v>
      </c>
      <c r="E304" t="s">
        <v>30</v>
      </c>
      <c r="F304" t="s">
        <v>197</v>
      </c>
      <c r="G304" t="s">
        <v>57</v>
      </c>
      <c r="H304">
        <v>99</v>
      </c>
      <c r="I304">
        <v>102</v>
      </c>
      <c r="J304">
        <v>7</v>
      </c>
      <c r="K304">
        <v>1.6</v>
      </c>
      <c r="L304">
        <v>27373.53</v>
      </c>
      <c r="M304">
        <v>3.25</v>
      </c>
      <c r="N304">
        <v>58.5</v>
      </c>
      <c r="O304">
        <v>135</v>
      </c>
      <c r="P304" s="5">
        <v>46170</v>
      </c>
      <c r="Q304" s="5">
        <v>46172</v>
      </c>
      <c r="R304" t="s">
        <v>25</v>
      </c>
      <c r="S304" t="s">
        <v>86</v>
      </c>
    </row>
    <row r="305" spans="1:19" x14ac:dyDescent="0.25">
      <c r="A305" t="s">
        <v>395</v>
      </c>
      <c r="B305" s="5">
        <v>46112</v>
      </c>
      <c r="C305" t="s">
        <v>35</v>
      </c>
      <c r="D305" t="s">
        <v>36</v>
      </c>
      <c r="E305" t="s">
        <v>69</v>
      </c>
      <c r="F305" t="s">
        <v>137</v>
      </c>
      <c r="G305" t="s">
        <v>24</v>
      </c>
      <c r="H305">
        <v>318</v>
      </c>
      <c r="I305">
        <v>347</v>
      </c>
      <c r="J305">
        <v>28</v>
      </c>
      <c r="K305">
        <v>2</v>
      </c>
      <c r="L305">
        <v>34630.46</v>
      </c>
      <c r="M305">
        <v>6.34</v>
      </c>
      <c r="N305">
        <v>152.16</v>
      </c>
      <c r="O305">
        <v>291</v>
      </c>
      <c r="P305" s="5">
        <v>46118</v>
      </c>
      <c r="Q305" s="5">
        <v>46116</v>
      </c>
      <c r="R305" t="s">
        <v>25</v>
      </c>
      <c r="S305" t="s">
        <v>51</v>
      </c>
    </row>
    <row r="306" spans="1:19" x14ac:dyDescent="0.25">
      <c r="A306" t="s">
        <v>396</v>
      </c>
      <c r="B306" s="5">
        <v>46106</v>
      </c>
      <c r="C306" t="s">
        <v>28</v>
      </c>
      <c r="D306" t="s">
        <v>29</v>
      </c>
      <c r="E306" t="s">
        <v>63</v>
      </c>
      <c r="F306" t="s">
        <v>96</v>
      </c>
      <c r="G306" t="s">
        <v>57</v>
      </c>
      <c r="H306">
        <v>92</v>
      </c>
      <c r="I306">
        <v>92</v>
      </c>
      <c r="J306">
        <v>8</v>
      </c>
      <c r="K306">
        <v>8.6999999999999993</v>
      </c>
      <c r="L306">
        <v>23407.79</v>
      </c>
      <c r="M306">
        <v>1.85</v>
      </c>
      <c r="N306">
        <v>44.4</v>
      </c>
      <c r="O306">
        <v>126</v>
      </c>
      <c r="P306" s="5">
        <v>46114</v>
      </c>
      <c r="Q306" s="5">
        <v>46114</v>
      </c>
      <c r="R306" t="s">
        <v>25</v>
      </c>
      <c r="S306" t="s">
        <v>72</v>
      </c>
    </row>
    <row r="307" spans="1:19" x14ac:dyDescent="0.25">
      <c r="A307" t="s">
        <v>397</v>
      </c>
      <c r="B307" s="5">
        <v>46169</v>
      </c>
      <c r="C307" t="s">
        <v>80</v>
      </c>
      <c r="D307" t="s">
        <v>21</v>
      </c>
      <c r="E307" t="s">
        <v>66</v>
      </c>
      <c r="F307" t="s">
        <v>104</v>
      </c>
      <c r="G307" t="s">
        <v>24</v>
      </c>
      <c r="H307">
        <v>182</v>
      </c>
      <c r="I307">
        <v>151</v>
      </c>
      <c r="J307">
        <v>6</v>
      </c>
      <c r="K307">
        <v>3.9</v>
      </c>
      <c r="L307">
        <v>46166.71</v>
      </c>
      <c r="M307">
        <v>4.46</v>
      </c>
      <c r="N307">
        <v>89.2</v>
      </c>
      <c r="O307">
        <v>266</v>
      </c>
      <c r="P307" s="5">
        <v>46177</v>
      </c>
      <c r="Q307" s="5">
        <v>46177</v>
      </c>
      <c r="R307" t="s">
        <v>39</v>
      </c>
      <c r="S307" t="s">
        <v>26</v>
      </c>
    </row>
    <row r="308" spans="1:19" x14ac:dyDescent="0.25">
      <c r="A308" t="s">
        <v>398</v>
      </c>
      <c r="B308" s="5">
        <v>46086</v>
      </c>
      <c r="C308" t="s">
        <v>28</v>
      </c>
      <c r="D308" t="s">
        <v>29</v>
      </c>
      <c r="E308" t="s">
        <v>63</v>
      </c>
      <c r="F308" t="s">
        <v>110</v>
      </c>
      <c r="G308" t="s">
        <v>57</v>
      </c>
      <c r="H308">
        <v>148</v>
      </c>
      <c r="I308">
        <v>155</v>
      </c>
      <c r="J308">
        <v>5</v>
      </c>
      <c r="K308">
        <v>8.3000000000000007</v>
      </c>
      <c r="L308">
        <v>31586.41</v>
      </c>
      <c r="M308">
        <v>4.37</v>
      </c>
      <c r="N308">
        <v>96.14</v>
      </c>
      <c r="O308">
        <v>156</v>
      </c>
      <c r="P308" s="5">
        <v>46093</v>
      </c>
      <c r="Q308" s="5">
        <v>46094</v>
      </c>
      <c r="R308" t="s">
        <v>39</v>
      </c>
      <c r="S308" t="s">
        <v>86</v>
      </c>
    </row>
    <row r="309" spans="1:19" x14ac:dyDescent="0.25">
      <c r="A309" t="s">
        <v>399</v>
      </c>
      <c r="B309" s="5">
        <v>46066</v>
      </c>
      <c r="C309" t="s">
        <v>48</v>
      </c>
      <c r="D309" t="s">
        <v>49</v>
      </c>
      <c r="E309" t="s">
        <v>60</v>
      </c>
      <c r="F309" t="s">
        <v>23</v>
      </c>
      <c r="G309" t="s">
        <v>24</v>
      </c>
      <c r="H309">
        <v>290</v>
      </c>
      <c r="I309">
        <v>332</v>
      </c>
      <c r="J309">
        <v>14</v>
      </c>
      <c r="K309">
        <v>1.3</v>
      </c>
      <c r="L309">
        <v>60257.54</v>
      </c>
      <c r="M309">
        <v>7.57</v>
      </c>
      <c r="N309">
        <v>166.54</v>
      </c>
      <c r="O309">
        <v>289</v>
      </c>
      <c r="P309" s="5">
        <v>46069</v>
      </c>
      <c r="Q309" s="5">
        <v>46068</v>
      </c>
      <c r="R309" t="s">
        <v>25</v>
      </c>
      <c r="S309" t="s">
        <v>51</v>
      </c>
    </row>
    <row r="310" spans="1:19" x14ac:dyDescent="0.25">
      <c r="A310" t="s">
        <v>400</v>
      </c>
      <c r="B310" s="5">
        <v>46096</v>
      </c>
      <c r="C310" t="s">
        <v>80</v>
      </c>
      <c r="D310" t="s">
        <v>21</v>
      </c>
      <c r="E310" t="s">
        <v>90</v>
      </c>
      <c r="F310" t="s">
        <v>112</v>
      </c>
      <c r="G310" t="s">
        <v>57</v>
      </c>
      <c r="H310">
        <v>257</v>
      </c>
      <c r="I310">
        <v>273</v>
      </c>
      <c r="J310">
        <v>8</v>
      </c>
      <c r="K310">
        <v>4.2</v>
      </c>
      <c r="L310">
        <v>72797.600000000006</v>
      </c>
      <c r="M310">
        <v>6.3</v>
      </c>
      <c r="N310">
        <v>163.80000000000001</v>
      </c>
      <c r="O310">
        <v>350</v>
      </c>
      <c r="P310" s="5">
        <v>46102</v>
      </c>
      <c r="Q310" s="5">
        <v>46106</v>
      </c>
      <c r="R310" t="s">
        <v>39</v>
      </c>
      <c r="S310" t="s">
        <v>33</v>
      </c>
    </row>
    <row r="311" spans="1:19" x14ac:dyDescent="0.25">
      <c r="A311" t="s">
        <v>401</v>
      </c>
      <c r="B311" s="5">
        <v>46119</v>
      </c>
      <c r="C311" t="s">
        <v>80</v>
      </c>
      <c r="D311" t="s">
        <v>21</v>
      </c>
      <c r="E311" t="s">
        <v>90</v>
      </c>
      <c r="F311" t="s">
        <v>56</v>
      </c>
      <c r="G311" t="s">
        <v>57</v>
      </c>
      <c r="H311">
        <v>123</v>
      </c>
      <c r="I311">
        <v>91</v>
      </c>
      <c r="J311">
        <v>2</v>
      </c>
      <c r="K311">
        <v>6.3</v>
      </c>
      <c r="L311">
        <v>22062.45</v>
      </c>
      <c r="M311">
        <v>3.7</v>
      </c>
      <c r="N311">
        <v>66.599999999999994</v>
      </c>
      <c r="O311">
        <v>182</v>
      </c>
      <c r="P311" s="5">
        <v>46131</v>
      </c>
      <c r="Q311" s="5">
        <v>46131</v>
      </c>
      <c r="R311" t="s">
        <v>25</v>
      </c>
      <c r="S311" t="s">
        <v>33</v>
      </c>
    </row>
    <row r="312" spans="1:19" x14ac:dyDescent="0.25">
      <c r="A312" t="s">
        <v>402</v>
      </c>
      <c r="B312" s="5">
        <v>46097</v>
      </c>
      <c r="C312" t="s">
        <v>35</v>
      </c>
      <c r="D312" t="s">
        <v>36</v>
      </c>
      <c r="E312" t="s">
        <v>37</v>
      </c>
      <c r="F312" t="s">
        <v>23</v>
      </c>
      <c r="G312" t="s">
        <v>24</v>
      </c>
      <c r="H312">
        <v>177</v>
      </c>
      <c r="I312">
        <v>166</v>
      </c>
      <c r="J312">
        <v>11</v>
      </c>
      <c r="K312">
        <v>8.1</v>
      </c>
      <c r="L312">
        <v>15595.21</v>
      </c>
      <c r="M312">
        <v>3.34</v>
      </c>
      <c r="N312">
        <v>66.8</v>
      </c>
      <c r="O312">
        <v>265</v>
      </c>
      <c r="P312" s="5">
        <v>46106</v>
      </c>
      <c r="Q312" s="5">
        <v>46104</v>
      </c>
      <c r="R312" t="s">
        <v>25</v>
      </c>
      <c r="S312" t="s">
        <v>86</v>
      </c>
    </row>
    <row r="313" spans="1:19" x14ac:dyDescent="0.25">
      <c r="A313" t="s">
        <v>403</v>
      </c>
      <c r="B313" s="5">
        <v>46108</v>
      </c>
      <c r="C313" t="s">
        <v>53</v>
      </c>
      <c r="D313" t="s">
        <v>54</v>
      </c>
      <c r="E313" t="s">
        <v>131</v>
      </c>
      <c r="F313" t="s">
        <v>38</v>
      </c>
      <c r="G313" t="s">
        <v>57</v>
      </c>
      <c r="H313">
        <v>270</v>
      </c>
      <c r="I313">
        <v>212</v>
      </c>
      <c r="J313">
        <v>7</v>
      </c>
      <c r="K313">
        <v>3.2</v>
      </c>
      <c r="L313">
        <v>29419.49</v>
      </c>
      <c r="M313">
        <v>8.7899999999999991</v>
      </c>
      <c r="N313">
        <v>228.54</v>
      </c>
      <c r="O313">
        <v>300</v>
      </c>
      <c r="P313" s="5">
        <v>46110</v>
      </c>
      <c r="Q313" s="5">
        <v>46110</v>
      </c>
      <c r="R313" t="s">
        <v>100</v>
      </c>
      <c r="S313" t="s">
        <v>26</v>
      </c>
    </row>
    <row r="314" spans="1:19" x14ac:dyDescent="0.25">
      <c r="A314" t="s">
        <v>404</v>
      </c>
      <c r="B314" s="5">
        <v>46094</v>
      </c>
      <c r="C314" t="s">
        <v>28</v>
      </c>
      <c r="D314" t="s">
        <v>29</v>
      </c>
      <c r="E314" t="s">
        <v>63</v>
      </c>
      <c r="F314" t="s">
        <v>125</v>
      </c>
      <c r="G314" t="s">
        <v>24</v>
      </c>
      <c r="H314">
        <v>167</v>
      </c>
      <c r="I314">
        <v>184</v>
      </c>
      <c r="J314">
        <v>11</v>
      </c>
      <c r="K314">
        <v>0.8</v>
      </c>
      <c r="L314">
        <v>45245.57</v>
      </c>
      <c r="M314">
        <v>6.02</v>
      </c>
      <c r="N314">
        <v>120.4</v>
      </c>
      <c r="O314">
        <v>233</v>
      </c>
      <c r="P314" s="5">
        <v>46099</v>
      </c>
      <c r="Q314" s="5">
        <v>46099</v>
      </c>
      <c r="R314" t="s">
        <v>100</v>
      </c>
      <c r="S314" t="s">
        <v>86</v>
      </c>
    </row>
    <row r="315" spans="1:19" x14ac:dyDescent="0.25">
      <c r="A315" t="s">
        <v>405</v>
      </c>
      <c r="B315" s="5">
        <v>46137</v>
      </c>
      <c r="C315" t="s">
        <v>43</v>
      </c>
      <c r="D315" t="s">
        <v>44</v>
      </c>
      <c r="E315" t="s">
        <v>93</v>
      </c>
      <c r="F315" t="s">
        <v>67</v>
      </c>
      <c r="G315" t="s">
        <v>406</v>
      </c>
      <c r="H315">
        <v>247</v>
      </c>
      <c r="I315">
        <v>192</v>
      </c>
      <c r="J315">
        <v>10</v>
      </c>
      <c r="K315">
        <v>7.2</v>
      </c>
      <c r="L315">
        <v>24195.47</v>
      </c>
      <c r="M315">
        <v>6.71</v>
      </c>
      <c r="N315">
        <v>174.46</v>
      </c>
      <c r="O315">
        <v>241</v>
      </c>
      <c r="P315" s="5">
        <v>46145</v>
      </c>
      <c r="Q315" s="5">
        <v>46145</v>
      </c>
      <c r="R315" t="s">
        <v>39</v>
      </c>
      <c r="S315" t="s">
        <v>86</v>
      </c>
    </row>
    <row r="316" spans="1:19" x14ac:dyDescent="0.25">
      <c r="A316" t="s">
        <v>407</v>
      </c>
      <c r="B316" s="5">
        <v>46040</v>
      </c>
      <c r="C316" t="s">
        <v>20</v>
      </c>
      <c r="D316" t="s">
        <v>21</v>
      </c>
      <c r="E316" t="s">
        <v>22</v>
      </c>
      <c r="F316" t="s">
        <v>197</v>
      </c>
      <c r="G316" t="s">
        <v>57</v>
      </c>
      <c r="H316">
        <v>161</v>
      </c>
      <c r="I316">
        <v>174</v>
      </c>
      <c r="J316">
        <v>3</v>
      </c>
      <c r="K316">
        <v>0.3</v>
      </c>
      <c r="L316">
        <v>59340.160000000003</v>
      </c>
      <c r="M316">
        <v>7.15</v>
      </c>
      <c r="N316">
        <v>157.30000000000001</v>
      </c>
      <c r="O316">
        <v>234</v>
      </c>
      <c r="P316" s="5">
        <v>46052</v>
      </c>
      <c r="Q316" s="5">
        <v>46052</v>
      </c>
      <c r="R316" t="s">
        <v>25</v>
      </c>
      <c r="S316" t="s">
        <v>33</v>
      </c>
    </row>
    <row r="317" spans="1:19" x14ac:dyDescent="0.25">
      <c r="A317" t="s">
        <v>408</v>
      </c>
      <c r="B317" s="5">
        <v>46056</v>
      </c>
      <c r="C317" t="s">
        <v>43</v>
      </c>
      <c r="D317" t="s">
        <v>44</v>
      </c>
      <c r="E317" t="s">
        <v>93</v>
      </c>
      <c r="F317" t="s">
        <v>85</v>
      </c>
      <c r="G317" t="s">
        <v>24</v>
      </c>
      <c r="H317">
        <v>275</v>
      </c>
      <c r="I317">
        <v>314</v>
      </c>
      <c r="J317">
        <v>19</v>
      </c>
      <c r="K317">
        <v>5.5</v>
      </c>
      <c r="L317">
        <v>39369.33</v>
      </c>
      <c r="M317">
        <v>7.39</v>
      </c>
      <c r="N317">
        <v>133.02000000000001</v>
      </c>
      <c r="O317">
        <v>326</v>
      </c>
      <c r="P317" s="5">
        <v>46059</v>
      </c>
      <c r="Q317" s="5">
        <v>46063</v>
      </c>
      <c r="R317" t="s">
        <v>25</v>
      </c>
      <c r="S317" t="s">
        <v>72</v>
      </c>
    </row>
    <row r="318" spans="1:19" x14ac:dyDescent="0.25">
      <c r="A318" t="s">
        <v>409</v>
      </c>
      <c r="B318" s="5">
        <v>46189</v>
      </c>
      <c r="C318" t="s">
        <v>48</v>
      </c>
      <c r="D318" t="s">
        <v>49</v>
      </c>
      <c r="E318" t="s">
        <v>50</v>
      </c>
      <c r="F318" t="s">
        <v>88</v>
      </c>
      <c r="G318" t="s">
        <v>57</v>
      </c>
      <c r="H318">
        <v>298</v>
      </c>
      <c r="I318">
        <v>264</v>
      </c>
      <c r="J318">
        <v>12</v>
      </c>
      <c r="K318">
        <v>1.5</v>
      </c>
      <c r="L318">
        <v>46438</v>
      </c>
      <c r="M318">
        <v>10.89</v>
      </c>
      <c r="N318">
        <v>239.58</v>
      </c>
      <c r="O318">
        <v>363</v>
      </c>
      <c r="P318" s="5">
        <v>46194</v>
      </c>
      <c r="Q318" s="5">
        <v>46194</v>
      </c>
      <c r="R318" t="s">
        <v>25</v>
      </c>
      <c r="S318" t="s">
        <v>72</v>
      </c>
    </row>
    <row r="319" spans="1:19" x14ac:dyDescent="0.25">
      <c r="A319" t="s">
        <v>410</v>
      </c>
      <c r="B319" s="5">
        <v>46180</v>
      </c>
      <c r="C319" t="s">
        <v>53</v>
      </c>
      <c r="D319" t="s">
        <v>54</v>
      </c>
      <c r="E319" t="s">
        <v>131</v>
      </c>
      <c r="F319" t="s">
        <v>71</v>
      </c>
      <c r="G319" t="s">
        <v>32</v>
      </c>
      <c r="H319">
        <v>301</v>
      </c>
      <c r="I319">
        <v>275</v>
      </c>
      <c r="J319">
        <v>7</v>
      </c>
      <c r="K319">
        <v>3.6</v>
      </c>
      <c r="L319">
        <v>34877.03</v>
      </c>
      <c r="M319">
        <v>7.46</v>
      </c>
      <c r="N319">
        <v>164.12</v>
      </c>
      <c r="O319">
        <v>361</v>
      </c>
      <c r="P319" s="5">
        <v>46191</v>
      </c>
      <c r="Q319" s="5">
        <v>46189</v>
      </c>
      <c r="R319" t="s">
        <v>39</v>
      </c>
      <c r="S319" t="s">
        <v>72</v>
      </c>
    </row>
    <row r="320" spans="1:19" x14ac:dyDescent="0.25">
      <c r="A320" t="s">
        <v>411</v>
      </c>
      <c r="B320" s="5">
        <v>46033</v>
      </c>
      <c r="C320" t="s">
        <v>28</v>
      </c>
      <c r="D320" t="s">
        <v>29</v>
      </c>
      <c r="E320" t="s">
        <v>30</v>
      </c>
      <c r="F320" t="s">
        <v>74</v>
      </c>
      <c r="G320" t="s">
        <v>57</v>
      </c>
      <c r="H320">
        <v>217</v>
      </c>
      <c r="I320">
        <v>193</v>
      </c>
      <c r="J320">
        <v>13</v>
      </c>
      <c r="K320">
        <v>5</v>
      </c>
      <c r="L320">
        <v>45928.07</v>
      </c>
      <c r="M320">
        <v>3.7</v>
      </c>
      <c r="N320">
        <v>81.400000000000006</v>
      </c>
      <c r="O320">
        <v>289</v>
      </c>
      <c r="P320" s="5">
        <v>46041</v>
      </c>
      <c r="Q320" s="5">
        <v>46041</v>
      </c>
      <c r="R320" t="s">
        <v>25</v>
      </c>
      <c r="S320" t="s">
        <v>72</v>
      </c>
    </row>
    <row r="321" spans="1:19" x14ac:dyDescent="0.25">
      <c r="A321" t="s">
        <v>412</v>
      </c>
      <c r="B321" s="5">
        <v>46098</v>
      </c>
      <c r="C321" t="s">
        <v>80</v>
      </c>
      <c r="D321" t="s">
        <v>21</v>
      </c>
      <c r="E321" t="s">
        <v>66</v>
      </c>
      <c r="F321" t="s">
        <v>96</v>
      </c>
      <c r="G321" t="s">
        <v>32</v>
      </c>
      <c r="H321">
        <v>212</v>
      </c>
      <c r="I321">
        <v>235</v>
      </c>
      <c r="J321">
        <v>10</v>
      </c>
      <c r="K321">
        <v>5.8</v>
      </c>
      <c r="L321">
        <v>53443.1</v>
      </c>
      <c r="M321">
        <v>5.24</v>
      </c>
      <c r="N321">
        <v>136.24</v>
      </c>
      <c r="O321">
        <v>311</v>
      </c>
      <c r="P321" s="5">
        <v>46102</v>
      </c>
      <c r="Q321" s="5">
        <v>46104</v>
      </c>
      <c r="R321" t="s">
        <v>100</v>
      </c>
      <c r="S321" t="s">
        <v>33</v>
      </c>
    </row>
    <row r="322" spans="1:19" x14ac:dyDescent="0.25">
      <c r="A322" t="s">
        <v>413</v>
      </c>
      <c r="B322" s="5">
        <v>46068</v>
      </c>
      <c r="C322" t="s">
        <v>53</v>
      </c>
      <c r="D322" t="s">
        <v>54</v>
      </c>
      <c r="E322" t="s">
        <v>55</v>
      </c>
      <c r="F322" t="s">
        <v>88</v>
      </c>
      <c r="G322" t="s">
        <v>24</v>
      </c>
      <c r="H322">
        <v>305</v>
      </c>
      <c r="I322">
        <v>279</v>
      </c>
      <c r="J322">
        <v>7</v>
      </c>
      <c r="K322">
        <v>6.2</v>
      </c>
      <c r="L322">
        <v>49332.86</v>
      </c>
      <c r="M322">
        <v>9.83</v>
      </c>
      <c r="N322">
        <v>176.94</v>
      </c>
      <c r="O322">
        <v>288</v>
      </c>
      <c r="P322" s="5">
        <v>46071</v>
      </c>
      <c r="Q322" s="5">
        <v>46075</v>
      </c>
      <c r="R322" t="s">
        <v>25</v>
      </c>
      <c r="S322" t="s">
        <v>72</v>
      </c>
    </row>
    <row r="323" spans="1:19" x14ac:dyDescent="0.25">
      <c r="A323" t="s">
        <v>414</v>
      </c>
      <c r="B323" s="5">
        <v>46153</v>
      </c>
      <c r="C323" t="s">
        <v>43</v>
      </c>
      <c r="D323" t="s">
        <v>44</v>
      </c>
      <c r="E323" t="s">
        <v>161</v>
      </c>
      <c r="F323" t="s">
        <v>125</v>
      </c>
      <c r="G323" t="s">
        <v>24</v>
      </c>
      <c r="H323">
        <v>220</v>
      </c>
      <c r="I323">
        <v>194</v>
      </c>
      <c r="J323">
        <v>14</v>
      </c>
      <c r="K323">
        <v>8.1999999999999993</v>
      </c>
      <c r="L323">
        <v>24323.759999999998</v>
      </c>
      <c r="M323">
        <v>4.1900000000000004</v>
      </c>
      <c r="N323">
        <v>83.8</v>
      </c>
      <c r="O323">
        <v>225</v>
      </c>
      <c r="P323" s="5">
        <v>46155</v>
      </c>
      <c r="Q323" s="5">
        <v>46157</v>
      </c>
      <c r="R323" t="s">
        <v>25</v>
      </c>
      <c r="S323" t="s">
        <v>72</v>
      </c>
    </row>
    <row r="324" spans="1:19" x14ac:dyDescent="0.25">
      <c r="A324" t="s">
        <v>415</v>
      </c>
      <c r="B324" s="5">
        <v>46096</v>
      </c>
      <c r="C324" t="s">
        <v>43</v>
      </c>
      <c r="D324" t="s">
        <v>44</v>
      </c>
      <c r="E324" t="s">
        <v>93</v>
      </c>
      <c r="F324" t="s">
        <v>31</v>
      </c>
      <c r="G324" t="s">
        <v>24</v>
      </c>
      <c r="H324">
        <v>310</v>
      </c>
      <c r="I324">
        <v>240</v>
      </c>
      <c r="J324">
        <v>5</v>
      </c>
      <c r="K324">
        <v>5.6</v>
      </c>
      <c r="L324">
        <v>25403.7</v>
      </c>
      <c r="M324">
        <v>9.25</v>
      </c>
      <c r="N324">
        <v>240.5</v>
      </c>
      <c r="O324">
        <v>271</v>
      </c>
      <c r="P324" s="5">
        <v>46107</v>
      </c>
      <c r="Q324" s="5">
        <v>46111</v>
      </c>
      <c r="R324" t="s">
        <v>25</v>
      </c>
      <c r="S324" t="s">
        <v>72</v>
      </c>
    </row>
    <row r="325" spans="1:19" x14ac:dyDescent="0.25">
      <c r="A325" t="s">
        <v>416</v>
      </c>
      <c r="B325" s="5">
        <v>46139</v>
      </c>
      <c r="C325" t="s">
        <v>35</v>
      </c>
      <c r="D325" t="s">
        <v>36</v>
      </c>
      <c r="E325" t="s">
        <v>69</v>
      </c>
      <c r="F325" t="s">
        <v>110</v>
      </c>
      <c r="G325" t="s">
        <v>32</v>
      </c>
      <c r="H325">
        <v>100</v>
      </c>
      <c r="I325">
        <v>97</v>
      </c>
      <c r="J325">
        <v>0</v>
      </c>
      <c r="K325">
        <v>7.9</v>
      </c>
      <c r="L325">
        <v>8500.86</v>
      </c>
      <c r="M325">
        <v>3.66</v>
      </c>
      <c r="N325">
        <v>73.2</v>
      </c>
      <c r="O325">
        <v>72</v>
      </c>
      <c r="P325" s="5">
        <v>46143</v>
      </c>
      <c r="Q325" s="5">
        <v>46143</v>
      </c>
      <c r="R325" t="s">
        <v>25</v>
      </c>
      <c r="S325" t="s">
        <v>33</v>
      </c>
    </row>
    <row r="326" spans="1:19" x14ac:dyDescent="0.25">
      <c r="A326" t="s">
        <v>417</v>
      </c>
      <c r="B326" s="5">
        <v>46060</v>
      </c>
      <c r="C326" t="s">
        <v>80</v>
      </c>
      <c r="D326" t="s">
        <v>21</v>
      </c>
      <c r="E326" t="s">
        <v>66</v>
      </c>
      <c r="F326" t="s">
        <v>88</v>
      </c>
      <c r="G326" t="s">
        <v>32</v>
      </c>
      <c r="H326">
        <v>227</v>
      </c>
      <c r="I326">
        <v>245</v>
      </c>
      <c r="J326">
        <v>7</v>
      </c>
      <c r="K326">
        <v>8.3000000000000007</v>
      </c>
      <c r="L326">
        <v>53516.56</v>
      </c>
      <c r="M326">
        <v>5.46</v>
      </c>
      <c r="N326">
        <v>120.12</v>
      </c>
      <c r="O326">
        <v>232</v>
      </c>
      <c r="P326" s="5">
        <v>46069</v>
      </c>
      <c r="Q326" s="5">
        <v>46070</v>
      </c>
      <c r="R326" t="s">
        <v>25</v>
      </c>
      <c r="S326" t="s">
        <v>86</v>
      </c>
    </row>
    <row r="327" spans="1:19" x14ac:dyDescent="0.25">
      <c r="A327" t="s">
        <v>418</v>
      </c>
      <c r="B327" s="5">
        <v>46117</v>
      </c>
      <c r="C327" t="s">
        <v>35</v>
      </c>
      <c r="D327" t="s">
        <v>36</v>
      </c>
      <c r="E327" t="s">
        <v>37</v>
      </c>
      <c r="F327" t="s">
        <v>104</v>
      </c>
      <c r="G327" t="s">
        <v>57</v>
      </c>
      <c r="H327">
        <v>274</v>
      </c>
      <c r="I327">
        <v>247</v>
      </c>
      <c r="J327">
        <v>13</v>
      </c>
      <c r="K327">
        <v>2.6</v>
      </c>
      <c r="L327">
        <v>20779.490000000002</v>
      </c>
      <c r="M327">
        <v>6.07</v>
      </c>
      <c r="N327">
        <v>157.82</v>
      </c>
      <c r="O327">
        <v>339</v>
      </c>
      <c r="P327" s="5">
        <v>46127</v>
      </c>
      <c r="Q327" s="5">
        <v>46127</v>
      </c>
      <c r="R327" t="s">
        <v>25</v>
      </c>
      <c r="S327" t="s">
        <v>33</v>
      </c>
    </row>
    <row r="328" spans="1:19" x14ac:dyDescent="0.25">
      <c r="A328" t="s">
        <v>419</v>
      </c>
      <c r="B328" s="5">
        <v>46169</v>
      </c>
      <c r="C328" t="s">
        <v>20</v>
      </c>
      <c r="D328" t="s">
        <v>21</v>
      </c>
      <c r="E328" t="s">
        <v>90</v>
      </c>
      <c r="F328" t="s">
        <v>112</v>
      </c>
      <c r="G328" t="s">
        <v>24</v>
      </c>
      <c r="H328">
        <v>265</v>
      </c>
      <c r="I328">
        <v>269</v>
      </c>
      <c r="J328">
        <v>23</v>
      </c>
      <c r="K328">
        <v>8.9</v>
      </c>
      <c r="L328">
        <v>82785.52</v>
      </c>
      <c r="M328">
        <v>6.89</v>
      </c>
      <c r="N328">
        <v>179.14</v>
      </c>
      <c r="O328">
        <v>315</v>
      </c>
      <c r="P328" s="5">
        <v>46173</v>
      </c>
      <c r="Q328" s="5">
        <v>46177</v>
      </c>
      <c r="R328" t="s">
        <v>39</v>
      </c>
      <c r="S328" t="s">
        <v>72</v>
      </c>
    </row>
    <row r="329" spans="1:19" x14ac:dyDescent="0.25">
      <c r="A329" t="s">
        <v>420</v>
      </c>
      <c r="B329" s="5">
        <v>46149</v>
      </c>
      <c r="C329" t="s">
        <v>43</v>
      </c>
      <c r="D329" t="s">
        <v>44</v>
      </c>
      <c r="E329" t="s">
        <v>45</v>
      </c>
      <c r="F329" t="s">
        <v>91</v>
      </c>
      <c r="G329" t="s">
        <v>24</v>
      </c>
      <c r="H329">
        <v>139</v>
      </c>
      <c r="I329">
        <v>142</v>
      </c>
      <c r="J329">
        <v>13</v>
      </c>
      <c r="K329">
        <v>0</v>
      </c>
      <c r="L329">
        <v>14287.12</v>
      </c>
      <c r="M329">
        <v>2.96</v>
      </c>
      <c r="N329">
        <v>59.2</v>
      </c>
      <c r="O329">
        <v>205</v>
      </c>
      <c r="P329" s="5">
        <v>46157</v>
      </c>
      <c r="Q329" s="5">
        <v>46155</v>
      </c>
      <c r="R329" t="s">
        <v>25</v>
      </c>
      <c r="S329" t="s">
        <v>51</v>
      </c>
    </row>
    <row r="330" spans="1:19" x14ac:dyDescent="0.25">
      <c r="A330" t="s">
        <v>421</v>
      </c>
      <c r="B330" s="5">
        <v>46025</v>
      </c>
      <c r="C330" t="s">
        <v>28</v>
      </c>
      <c r="D330" t="s">
        <v>29</v>
      </c>
      <c r="E330" t="s">
        <v>30</v>
      </c>
      <c r="F330" t="s">
        <v>31</v>
      </c>
      <c r="G330" t="s">
        <v>32</v>
      </c>
      <c r="H330">
        <v>152</v>
      </c>
      <c r="I330">
        <v>126</v>
      </c>
      <c r="J330">
        <v>1</v>
      </c>
      <c r="K330">
        <v>2.7</v>
      </c>
      <c r="L330">
        <v>31418.2</v>
      </c>
      <c r="M330">
        <v>2.61</v>
      </c>
      <c r="N330">
        <v>57.42</v>
      </c>
      <c r="O330">
        <v>199</v>
      </c>
      <c r="P330" s="5">
        <v>46033</v>
      </c>
      <c r="Q330" s="5">
        <v>46031</v>
      </c>
      <c r="R330" t="s">
        <v>25</v>
      </c>
      <c r="S330" t="s">
        <v>86</v>
      </c>
    </row>
    <row r="331" spans="1:19" x14ac:dyDescent="0.25">
      <c r="A331" t="s">
        <v>422</v>
      </c>
      <c r="B331" s="5">
        <v>46195</v>
      </c>
      <c r="C331" t="s">
        <v>53</v>
      </c>
      <c r="D331" t="s">
        <v>54</v>
      </c>
      <c r="E331" t="s">
        <v>131</v>
      </c>
      <c r="F331" t="s">
        <v>112</v>
      </c>
      <c r="G331" t="s">
        <v>24</v>
      </c>
      <c r="H331">
        <v>284</v>
      </c>
      <c r="I331">
        <v>208</v>
      </c>
      <c r="J331">
        <v>3</v>
      </c>
      <c r="K331">
        <v>1.4</v>
      </c>
      <c r="L331">
        <v>32161.200000000001</v>
      </c>
      <c r="M331">
        <v>8.2200000000000006</v>
      </c>
      <c r="N331">
        <v>197.28</v>
      </c>
      <c r="O331">
        <v>349</v>
      </c>
      <c r="P331" s="5">
        <v>46197</v>
      </c>
      <c r="Q331" s="5">
        <v>46197</v>
      </c>
      <c r="R331" t="s">
        <v>39</v>
      </c>
      <c r="S331" t="s">
        <v>86</v>
      </c>
    </row>
    <row r="332" spans="1:19" x14ac:dyDescent="0.25">
      <c r="A332" t="s">
        <v>423</v>
      </c>
      <c r="B332" s="5">
        <v>46165</v>
      </c>
      <c r="C332" t="s">
        <v>80</v>
      </c>
      <c r="D332" t="s">
        <v>21</v>
      </c>
      <c r="E332" t="s">
        <v>22</v>
      </c>
      <c r="F332" t="s">
        <v>104</v>
      </c>
      <c r="G332" t="s">
        <v>32</v>
      </c>
      <c r="H332">
        <v>227</v>
      </c>
      <c r="I332">
        <v>230</v>
      </c>
      <c r="J332">
        <v>17</v>
      </c>
      <c r="K332">
        <v>8</v>
      </c>
      <c r="L332">
        <v>65413.51</v>
      </c>
      <c r="M332">
        <v>5.69</v>
      </c>
      <c r="N332">
        <v>102.42</v>
      </c>
      <c r="O332">
        <v>273</v>
      </c>
      <c r="P332" s="5">
        <v>46173</v>
      </c>
      <c r="Q332" s="5">
        <v>46173</v>
      </c>
      <c r="R332" t="s">
        <v>39</v>
      </c>
      <c r="S332" t="s">
        <v>51</v>
      </c>
    </row>
    <row r="333" spans="1:19" x14ac:dyDescent="0.25">
      <c r="A333" t="s">
        <v>424</v>
      </c>
      <c r="B333" s="5">
        <v>46175</v>
      </c>
      <c r="C333" t="s">
        <v>20</v>
      </c>
      <c r="D333" t="s">
        <v>21</v>
      </c>
      <c r="E333" t="s">
        <v>90</v>
      </c>
      <c r="F333" t="s">
        <v>71</v>
      </c>
      <c r="G333" t="s">
        <v>32</v>
      </c>
      <c r="H333">
        <v>260</v>
      </c>
      <c r="I333">
        <v>283</v>
      </c>
      <c r="J333">
        <v>19</v>
      </c>
      <c r="K333">
        <v>2.4</v>
      </c>
      <c r="L333">
        <v>85891.57</v>
      </c>
      <c r="M333">
        <v>7.62</v>
      </c>
      <c r="N333">
        <v>167.64</v>
      </c>
      <c r="O333">
        <v>275</v>
      </c>
      <c r="P333" s="5">
        <v>46185</v>
      </c>
      <c r="Q333" s="5">
        <v>46185</v>
      </c>
      <c r="R333" t="s">
        <v>25</v>
      </c>
      <c r="S333" t="s">
        <v>33</v>
      </c>
    </row>
    <row r="334" spans="1:19" x14ac:dyDescent="0.25">
      <c r="A334" t="s">
        <v>425</v>
      </c>
      <c r="B334" s="5">
        <v>46074</v>
      </c>
      <c r="C334" t="s">
        <v>20</v>
      </c>
      <c r="D334" t="s">
        <v>21</v>
      </c>
      <c r="E334" t="s">
        <v>90</v>
      </c>
      <c r="F334" t="s">
        <v>61</v>
      </c>
      <c r="G334" t="s">
        <v>24</v>
      </c>
      <c r="H334">
        <v>209</v>
      </c>
      <c r="I334">
        <v>152</v>
      </c>
      <c r="J334">
        <v>7</v>
      </c>
      <c r="K334">
        <v>4.5</v>
      </c>
      <c r="L334">
        <v>48695.65</v>
      </c>
      <c r="M334">
        <v>5.41</v>
      </c>
      <c r="N334">
        <v>140.66</v>
      </c>
      <c r="O334">
        <v>248</v>
      </c>
      <c r="P334" s="5">
        <v>46081</v>
      </c>
      <c r="Q334" s="5">
        <v>46081</v>
      </c>
      <c r="R334" t="s">
        <v>25</v>
      </c>
      <c r="S334" t="s">
        <v>51</v>
      </c>
    </row>
    <row r="335" spans="1:19" x14ac:dyDescent="0.25">
      <c r="A335" t="s">
        <v>427</v>
      </c>
      <c r="B335" s="5">
        <v>46028</v>
      </c>
      <c r="C335" t="s">
        <v>59</v>
      </c>
      <c r="D335" t="s">
        <v>49</v>
      </c>
      <c r="E335" t="s">
        <v>60</v>
      </c>
      <c r="F335" t="s">
        <v>135</v>
      </c>
      <c r="G335" t="s">
        <v>24</v>
      </c>
      <c r="H335">
        <v>308</v>
      </c>
      <c r="I335">
        <v>249</v>
      </c>
      <c r="J335">
        <v>5</v>
      </c>
      <c r="K335">
        <v>2.6</v>
      </c>
      <c r="L335">
        <v>47199.19</v>
      </c>
      <c r="M335">
        <v>8.49</v>
      </c>
      <c r="N335">
        <v>186.78</v>
      </c>
      <c r="O335">
        <v>306</v>
      </c>
      <c r="P335" s="5">
        <v>46032</v>
      </c>
      <c r="Q335" s="5">
        <v>46032</v>
      </c>
      <c r="R335" t="s">
        <v>25</v>
      </c>
      <c r="S335" t="s">
        <v>26</v>
      </c>
    </row>
    <row r="336" spans="1:19" x14ac:dyDescent="0.25">
      <c r="A336" t="s">
        <v>428</v>
      </c>
      <c r="B336" s="5">
        <v>46154</v>
      </c>
      <c r="C336" t="s">
        <v>20</v>
      </c>
      <c r="D336" t="s">
        <v>21</v>
      </c>
      <c r="E336" t="s">
        <v>22</v>
      </c>
      <c r="F336" t="s">
        <v>74</v>
      </c>
      <c r="G336" t="s">
        <v>57</v>
      </c>
      <c r="H336">
        <v>218</v>
      </c>
      <c r="I336">
        <v>189</v>
      </c>
      <c r="J336">
        <v>6</v>
      </c>
      <c r="K336">
        <v>1.3</v>
      </c>
      <c r="L336">
        <v>61897.82</v>
      </c>
      <c r="M336">
        <v>4.51</v>
      </c>
      <c r="N336">
        <v>81.180000000000007</v>
      </c>
      <c r="O336">
        <v>257</v>
      </c>
      <c r="P336" s="5">
        <v>46165</v>
      </c>
      <c r="Q336" s="5">
        <v>46166</v>
      </c>
      <c r="R336" t="s">
        <v>39</v>
      </c>
      <c r="S336" t="s">
        <v>51</v>
      </c>
    </row>
    <row r="337" spans="1:19" x14ac:dyDescent="0.25">
      <c r="A337" t="s">
        <v>429</v>
      </c>
      <c r="B337" s="5">
        <v>46030</v>
      </c>
      <c r="C337" t="s">
        <v>53</v>
      </c>
      <c r="D337" t="s">
        <v>54</v>
      </c>
      <c r="E337" t="s">
        <v>55</v>
      </c>
      <c r="F337" t="s">
        <v>106</v>
      </c>
      <c r="G337" t="s">
        <v>24</v>
      </c>
      <c r="H337">
        <v>107</v>
      </c>
      <c r="I337">
        <v>94</v>
      </c>
      <c r="J337">
        <v>1</v>
      </c>
      <c r="K337">
        <v>3.5</v>
      </c>
      <c r="L337">
        <v>15930.34</v>
      </c>
      <c r="M337">
        <v>3.11</v>
      </c>
      <c r="N337">
        <v>74.64</v>
      </c>
      <c r="O337">
        <v>158</v>
      </c>
      <c r="P337" s="5">
        <v>46036</v>
      </c>
      <c r="Q337" s="5">
        <v>46037</v>
      </c>
      <c r="R337" t="s">
        <v>25</v>
      </c>
      <c r="S337" t="s">
        <v>26</v>
      </c>
    </row>
    <row r="338" spans="1:19" x14ac:dyDescent="0.25">
      <c r="A338" t="s">
        <v>430</v>
      </c>
      <c r="B338" s="5">
        <v>46043</v>
      </c>
      <c r="C338" t="s">
        <v>53</v>
      </c>
      <c r="D338" t="s">
        <v>54</v>
      </c>
      <c r="E338" t="s">
        <v>55</v>
      </c>
      <c r="F338" t="s">
        <v>56</v>
      </c>
      <c r="G338" t="s">
        <v>24</v>
      </c>
      <c r="H338">
        <v>103</v>
      </c>
      <c r="I338">
        <v>110</v>
      </c>
      <c r="J338">
        <v>9</v>
      </c>
      <c r="K338">
        <v>4.2</v>
      </c>
      <c r="L338">
        <v>16228.73</v>
      </c>
      <c r="M338">
        <v>3.85</v>
      </c>
      <c r="N338">
        <v>92.4</v>
      </c>
      <c r="O338">
        <v>183</v>
      </c>
      <c r="P338" s="5">
        <v>46048</v>
      </c>
      <c r="Q338" s="5">
        <v>46048</v>
      </c>
      <c r="R338" t="s">
        <v>25</v>
      </c>
      <c r="S338" t="s">
        <v>86</v>
      </c>
    </row>
    <row r="339" spans="1:19" x14ac:dyDescent="0.25">
      <c r="A339" t="s">
        <v>431</v>
      </c>
      <c r="B339" s="5">
        <v>46116</v>
      </c>
      <c r="C339" t="s">
        <v>35</v>
      </c>
      <c r="D339" t="s">
        <v>36</v>
      </c>
      <c r="E339" t="s">
        <v>37</v>
      </c>
      <c r="F339" t="s">
        <v>125</v>
      </c>
      <c r="G339" t="s">
        <v>32</v>
      </c>
      <c r="H339">
        <v>259</v>
      </c>
      <c r="I339">
        <v>288</v>
      </c>
      <c r="J339">
        <v>10</v>
      </c>
      <c r="K339">
        <v>7.7</v>
      </c>
      <c r="L339">
        <v>24761.61</v>
      </c>
      <c r="M339">
        <v>5.64</v>
      </c>
      <c r="N339">
        <v>101.52</v>
      </c>
      <c r="O339">
        <v>308</v>
      </c>
      <c r="P339" s="5">
        <v>46125</v>
      </c>
      <c r="Q339" s="5">
        <v>46129</v>
      </c>
      <c r="R339" t="s">
        <v>25</v>
      </c>
      <c r="S339" t="s">
        <v>26</v>
      </c>
    </row>
    <row r="340" spans="1:19" x14ac:dyDescent="0.25">
      <c r="A340" t="s">
        <v>432</v>
      </c>
      <c r="B340" s="5">
        <v>46170</v>
      </c>
      <c r="C340" t="s">
        <v>43</v>
      </c>
      <c r="D340" t="s">
        <v>44</v>
      </c>
      <c r="E340" t="s">
        <v>45</v>
      </c>
      <c r="F340" t="s">
        <v>104</v>
      </c>
      <c r="G340" t="s">
        <v>57</v>
      </c>
      <c r="H340">
        <v>106</v>
      </c>
      <c r="I340">
        <v>94</v>
      </c>
      <c r="J340">
        <v>6</v>
      </c>
      <c r="K340">
        <v>1</v>
      </c>
      <c r="L340">
        <v>9971.75</v>
      </c>
      <c r="M340">
        <v>2.37</v>
      </c>
      <c r="N340">
        <v>56.88</v>
      </c>
      <c r="O340">
        <v>168</v>
      </c>
      <c r="P340" s="5">
        <v>46181</v>
      </c>
      <c r="Q340" s="5">
        <v>46183</v>
      </c>
      <c r="R340" t="s">
        <v>25</v>
      </c>
      <c r="S340" t="s">
        <v>26</v>
      </c>
    </row>
    <row r="341" spans="1:19" x14ac:dyDescent="0.25">
      <c r="A341" t="s">
        <v>433</v>
      </c>
      <c r="B341" s="5">
        <v>46063</v>
      </c>
      <c r="C341" t="s">
        <v>53</v>
      </c>
      <c r="D341" t="s">
        <v>54</v>
      </c>
      <c r="E341" t="s">
        <v>131</v>
      </c>
      <c r="F341" t="s">
        <v>61</v>
      </c>
      <c r="G341" t="s">
        <v>32</v>
      </c>
      <c r="H341">
        <v>96</v>
      </c>
      <c r="I341">
        <v>83</v>
      </c>
      <c r="J341">
        <v>6</v>
      </c>
      <c r="K341">
        <v>5.3</v>
      </c>
      <c r="L341">
        <v>12846.15</v>
      </c>
      <c r="M341">
        <v>3.06</v>
      </c>
      <c r="N341">
        <v>79.56</v>
      </c>
      <c r="O341">
        <v>116</v>
      </c>
      <c r="P341" s="5">
        <v>46067</v>
      </c>
      <c r="Q341" s="5">
        <v>46066</v>
      </c>
      <c r="R341" t="s">
        <v>39</v>
      </c>
      <c r="S341" t="s">
        <v>33</v>
      </c>
    </row>
    <row r="342" spans="1:19" x14ac:dyDescent="0.25">
      <c r="A342" t="s">
        <v>434</v>
      </c>
      <c r="B342" s="5">
        <v>46174</v>
      </c>
      <c r="C342" t="s">
        <v>53</v>
      </c>
      <c r="D342" t="s">
        <v>54</v>
      </c>
      <c r="E342" t="s">
        <v>131</v>
      </c>
      <c r="F342" t="s">
        <v>88</v>
      </c>
      <c r="G342" t="s">
        <v>57</v>
      </c>
      <c r="H342">
        <v>222</v>
      </c>
      <c r="I342">
        <v>169</v>
      </c>
      <c r="J342">
        <v>7</v>
      </c>
      <c r="K342">
        <v>2.8</v>
      </c>
      <c r="L342">
        <v>23940.62</v>
      </c>
      <c r="M342">
        <v>5.82</v>
      </c>
      <c r="N342">
        <v>151.32</v>
      </c>
      <c r="O342">
        <v>279</v>
      </c>
      <c r="P342" s="5">
        <v>46181</v>
      </c>
      <c r="Q342" s="5">
        <v>46185</v>
      </c>
      <c r="R342" t="s">
        <v>25</v>
      </c>
      <c r="S342" t="s">
        <v>51</v>
      </c>
    </row>
    <row r="343" spans="1:19" x14ac:dyDescent="0.25">
      <c r="A343" t="s">
        <v>435</v>
      </c>
      <c r="B343" s="5">
        <v>46171</v>
      </c>
      <c r="C343" t="s">
        <v>80</v>
      </c>
      <c r="D343" t="s">
        <v>21</v>
      </c>
      <c r="E343" t="s">
        <v>22</v>
      </c>
      <c r="F343" t="s">
        <v>106</v>
      </c>
      <c r="G343" t="s">
        <v>32</v>
      </c>
      <c r="H343">
        <v>249</v>
      </c>
      <c r="I343">
        <v>195</v>
      </c>
      <c r="J343">
        <v>10</v>
      </c>
      <c r="K343">
        <v>3.5</v>
      </c>
      <c r="L343">
        <v>49109.45</v>
      </c>
      <c r="M343">
        <v>6.7</v>
      </c>
      <c r="N343">
        <v>147.4</v>
      </c>
      <c r="O343">
        <v>285</v>
      </c>
      <c r="P343" s="5">
        <v>46182</v>
      </c>
      <c r="Q343" s="5">
        <v>46182</v>
      </c>
      <c r="R343" t="s">
        <v>100</v>
      </c>
      <c r="S343" t="s">
        <v>33</v>
      </c>
    </row>
    <row r="344" spans="1:19" x14ac:dyDescent="0.25">
      <c r="A344" t="s">
        <v>436</v>
      </c>
      <c r="B344" s="5">
        <v>46172</v>
      </c>
      <c r="C344" t="s">
        <v>80</v>
      </c>
      <c r="D344" t="s">
        <v>21</v>
      </c>
      <c r="E344" t="s">
        <v>66</v>
      </c>
      <c r="F344" t="s">
        <v>23</v>
      </c>
      <c r="G344" t="s">
        <v>32</v>
      </c>
      <c r="H344">
        <v>210</v>
      </c>
      <c r="I344">
        <v>187</v>
      </c>
      <c r="J344">
        <v>3</v>
      </c>
      <c r="K344">
        <v>2.6</v>
      </c>
      <c r="L344">
        <v>48146.87</v>
      </c>
      <c r="M344">
        <v>3.6</v>
      </c>
      <c r="N344">
        <v>93.6</v>
      </c>
      <c r="O344">
        <v>261</v>
      </c>
      <c r="P344" s="5">
        <v>46175</v>
      </c>
      <c r="Q344" s="5">
        <v>46175</v>
      </c>
      <c r="R344" t="s">
        <v>25</v>
      </c>
      <c r="S344" t="s">
        <v>26</v>
      </c>
    </row>
    <row r="345" spans="1:19" x14ac:dyDescent="0.25">
      <c r="A345" t="s">
        <v>437</v>
      </c>
      <c r="B345" s="5">
        <v>46123</v>
      </c>
      <c r="C345" t="s">
        <v>48</v>
      </c>
      <c r="D345" t="s">
        <v>49</v>
      </c>
      <c r="E345" t="s">
        <v>60</v>
      </c>
      <c r="F345" t="s">
        <v>170</v>
      </c>
      <c r="G345" t="s">
        <v>57</v>
      </c>
      <c r="H345">
        <v>177</v>
      </c>
      <c r="I345">
        <v>158</v>
      </c>
      <c r="J345">
        <v>6</v>
      </c>
      <c r="K345">
        <v>1.9</v>
      </c>
      <c r="L345">
        <v>25193.439999999999</v>
      </c>
      <c r="M345">
        <v>4.95</v>
      </c>
      <c r="N345">
        <v>108.9</v>
      </c>
      <c r="O345">
        <v>243</v>
      </c>
      <c r="P345" s="5">
        <v>46127</v>
      </c>
      <c r="Q345" s="5">
        <v>46127</v>
      </c>
      <c r="R345" t="s">
        <v>25</v>
      </c>
      <c r="S345" t="s">
        <v>33</v>
      </c>
    </row>
    <row r="346" spans="1:19" x14ac:dyDescent="0.25">
      <c r="A346" t="s">
        <v>438</v>
      </c>
      <c r="B346" s="5">
        <v>46188</v>
      </c>
      <c r="C346" t="s">
        <v>80</v>
      </c>
      <c r="D346" t="s">
        <v>21</v>
      </c>
      <c r="E346" t="s">
        <v>22</v>
      </c>
      <c r="F346" t="s">
        <v>85</v>
      </c>
      <c r="G346" t="s">
        <v>32</v>
      </c>
      <c r="H346">
        <v>264</v>
      </c>
      <c r="I346">
        <v>290</v>
      </c>
      <c r="J346">
        <v>18</v>
      </c>
      <c r="K346">
        <v>8.8000000000000007</v>
      </c>
      <c r="L346">
        <v>60674.95</v>
      </c>
      <c r="M346">
        <v>10.83</v>
      </c>
      <c r="N346">
        <v>259.92</v>
      </c>
      <c r="O346">
        <v>332</v>
      </c>
      <c r="P346" s="5">
        <v>46199</v>
      </c>
      <c r="Q346" s="5">
        <v>46199</v>
      </c>
      <c r="R346" t="s">
        <v>100</v>
      </c>
      <c r="S346" t="s">
        <v>26</v>
      </c>
    </row>
    <row r="347" spans="1:19" x14ac:dyDescent="0.25">
      <c r="A347" t="s">
        <v>439</v>
      </c>
      <c r="B347" s="5">
        <v>46138</v>
      </c>
      <c r="C347" t="s">
        <v>35</v>
      </c>
      <c r="D347" t="s">
        <v>36</v>
      </c>
      <c r="E347" t="s">
        <v>69</v>
      </c>
      <c r="F347" t="s">
        <v>64</v>
      </c>
      <c r="G347" t="s">
        <v>24</v>
      </c>
      <c r="H347">
        <v>137</v>
      </c>
      <c r="I347">
        <v>109</v>
      </c>
      <c r="J347">
        <v>6</v>
      </c>
      <c r="K347">
        <v>5.2</v>
      </c>
      <c r="L347">
        <v>10493.56</v>
      </c>
      <c r="M347">
        <v>3.27</v>
      </c>
      <c r="N347">
        <v>78.48</v>
      </c>
      <c r="O347">
        <v>236</v>
      </c>
      <c r="P347" s="5">
        <v>46149</v>
      </c>
      <c r="Q347" s="5">
        <v>46150</v>
      </c>
      <c r="R347" t="s">
        <v>25</v>
      </c>
      <c r="S347" t="s">
        <v>72</v>
      </c>
    </row>
    <row r="348" spans="1:19" x14ac:dyDescent="0.25">
      <c r="A348" t="s">
        <v>440</v>
      </c>
      <c r="B348" s="5">
        <v>46117</v>
      </c>
      <c r="C348" t="s">
        <v>20</v>
      </c>
      <c r="D348" t="s">
        <v>21</v>
      </c>
      <c r="E348" t="s">
        <v>66</v>
      </c>
      <c r="F348" t="s">
        <v>38</v>
      </c>
      <c r="G348" t="s">
        <v>24</v>
      </c>
      <c r="H348">
        <v>203</v>
      </c>
      <c r="I348">
        <v>230</v>
      </c>
      <c r="J348">
        <v>2</v>
      </c>
      <c r="K348">
        <v>6.6</v>
      </c>
      <c r="L348">
        <v>82427.56</v>
      </c>
      <c r="M348">
        <v>8.2799999999999994</v>
      </c>
      <c r="N348">
        <v>182.16</v>
      </c>
      <c r="O348">
        <v>282</v>
      </c>
      <c r="P348" s="5">
        <v>46127</v>
      </c>
      <c r="Q348" s="5">
        <v>46126</v>
      </c>
      <c r="R348" t="s">
        <v>39</v>
      </c>
      <c r="S348" t="s">
        <v>33</v>
      </c>
    </row>
    <row r="349" spans="1:19" x14ac:dyDescent="0.25">
      <c r="A349" t="s">
        <v>441</v>
      </c>
      <c r="B349" s="5">
        <v>46085</v>
      </c>
      <c r="C349" t="s">
        <v>53</v>
      </c>
      <c r="D349" t="s">
        <v>54</v>
      </c>
      <c r="E349" t="s">
        <v>55</v>
      </c>
      <c r="F349" t="s">
        <v>112</v>
      </c>
      <c r="G349" t="s">
        <v>32</v>
      </c>
      <c r="H349">
        <v>255</v>
      </c>
      <c r="I349">
        <v>253</v>
      </c>
      <c r="J349">
        <v>19</v>
      </c>
      <c r="K349">
        <v>2.8</v>
      </c>
      <c r="L349">
        <v>29057.32</v>
      </c>
      <c r="M349">
        <v>9.2799999999999994</v>
      </c>
      <c r="N349">
        <v>222.72</v>
      </c>
      <c r="O349">
        <v>331</v>
      </c>
      <c r="P349" s="5">
        <v>46095</v>
      </c>
      <c r="Q349" s="5">
        <v>46099</v>
      </c>
      <c r="R349" t="s">
        <v>39</v>
      </c>
      <c r="S349" t="s">
        <v>72</v>
      </c>
    </row>
    <row r="350" spans="1:19" x14ac:dyDescent="0.25">
      <c r="A350" t="s">
        <v>442</v>
      </c>
      <c r="B350" s="5">
        <v>46113</v>
      </c>
      <c r="C350" t="s">
        <v>59</v>
      </c>
      <c r="D350" t="s">
        <v>49</v>
      </c>
      <c r="E350" t="s">
        <v>76</v>
      </c>
      <c r="F350" t="s">
        <v>83</v>
      </c>
      <c r="G350" t="s">
        <v>24</v>
      </c>
      <c r="H350">
        <v>122</v>
      </c>
      <c r="I350">
        <v>89</v>
      </c>
      <c r="J350">
        <v>7</v>
      </c>
      <c r="K350">
        <v>6.7</v>
      </c>
      <c r="L350">
        <v>17098.25</v>
      </c>
      <c r="M350">
        <v>1.73</v>
      </c>
      <c r="N350">
        <v>41.52</v>
      </c>
      <c r="O350">
        <v>125</v>
      </c>
      <c r="P350" s="5">
        <v>46124</v>
      </c>
      <c r="Q350" s="5">
        <v>46122</v>
      </c>
      <c r="R350" t="s">
        <v>25</v>
      </c>
      <c r="S350" t="s">
        <v>26</v>
      </c>
    </row>
    <row r="351" spans="1:19" x14ac:dyDescent="0.25">
      <c r="A351" t="s">
        <v>443</v>
      </c>
      <c r="B351" s="5">
        <v>46029</v>
      </c>
      <c r="C351" t="s">
        <v>59</v>
      </c>
      <c r="D351" t="s">
        <v>49</v>
      </c>
      <c r="E351" t="s">
        <v>76</v>
      </c>
      <c r="F351" t="s">
        <v>112</v>
      </c>
      <c r="G351" t="s">
        <v>57</v>
      </c>
      <c r="H351">
        <v>101</v>
      </c>
      <c r="I351">
        <v>78</v>
      </c>
      <c r="J351">
        <v>0</v>
      </c>
      <c r="K351">
        <v>7.1</v>
      </c>
      <c r="L351">
        <v>12789.5</v>
      </c>
      <c r="M351">
        <v>1.92</v>
      </c>
      <c r="N351">
        <v>42.24</v>
      </c>
      <c r="O351">
        <v>64</v>
      </c>
      <c r="P351" s="5">
        <v>46032</v>
      </c>
      <c r="Q351" s="5">
        <v>46032</v>
      </c>
      <c r="R351" t="s">
        <v>39</v>
      </c>
      <c r="S351" t="s">
        <v>72</v>
      </c>
    </row>
    <row r="352" spans="1:19" x14ac:dyDescent="0.25">
      <c r="A352" t="s">
        <v>444</v>
      </c>
      <c r="B352" s="5">
        <v>46117</v>
      </c>
      <c r="C352" t="s">
        <v>43</v>
      </c>
      <c r="D352" t="s">
        <v>44</v>
      </c>
      <c r="E352" t="s">
        <v>161</v>
      </c>
      <c r="F352" t="s">
        <v>23</v>
      </c>
      <c r="G352" t="s">
        <v>24</v>
      </c>
      <c r="H352">
        <v>280</v>
      </c>
      <c r="I352">
        <v>285</v>
      </c>
      <c r="J352">
        <v>13</v>
      </c>
      <c r="K352">
        <v>7.2</v>
      </c>
      <c r="L352">
        <v>36251.54</v>
      </c>
      <c r="M352">
        <v>5.71</v>
      </c>
      <c r="N352">
        <v>114.2</v>
      </c>
      <c r="O352">
        <v>279</v>
      </c>
      <c r="P352" s="5">
        <v>46126</v>
      </c>
      <c r="Q352" s="5">
        <v>46128</v>
      </c>
      <c r="R352" t="s">
        <v>100</v>
      </c>
      <c r="S352" t="s">
        <v>72</v>
      </c>
    </row>
    <row r="353" spans="1:19" x14ac:dyDescent="0.25">
      <c r="A353" t="s">
        <v>445</v>
      </c>
      <c r="B353" s="5">
        <v>46186</v>
      </c>
      <c r="C353" t="s">
        <v>43</v>
      </c>
      <c r="D353" t="s">
        <v>44</v>
      </c>
      <c r="E353" t="s">
        <v>93</v>
      </c>
      <c r="F353" t="s">
        <v>23</v>
      </c>
      <c r="G353" t="s">
        <v>32</v>
      </c>
      <c r="H353">
        <v>227</v>
      </c>
      <c r="I353">
        <v>235</v>
      </c>
      <c r="J353">
        <v>8</v>
      </c>
      <c r="K353">
        <v>5.8</v>
      </c>
      <c r="L353">
        <v>27046.6</v>
      </c>
      <c r="M353">
        <v>5.18</v>
      </c>
      <c r="N353">
        <v>124.32</v>
      </c>
      <c r="O353">
        <v>308</v>
      </c>
      <c r="P353" s="5">
        <v>46192</v>
      </c>
      <c r="Q353" s="5">
        <v>46196</v>
      </c>
      <c r="R353" t="s">
        <v>39</v>
      </c>
      <c r="S353" t="s">
        <v>72</v>
      </c>
    </row>
    <row r="354" spans="1:19" x14ac:dyDescent="0.25">
      <c r="A354" t="s">
        <v>446</v>
      </c>
      <c r="B354" s="5">
        <v>46144</v>
      </c>
      <c r="C354" t="s">
        <v>59</v>
      </c>
      <c r="D354" t="s">
        <v>49</v>
      </c>
      <c r="E354" t="s">
        <v>50</v>
      </c>
      <c r="F354" t="s">
        <v>104</v>
      </c>
      <c r="G354" t="s">
        <v>24</v>
      </c>
      <c r="H354">
        <v>215</v>
      </c>
      <c r="I354">
        <v>235</v>
      </c>
      <c r="J354">
        <v>1</v>
      </c>
      <c r="K354">
        <v>8.3000000000000007</v>
      </c>
      <c r="L354">
        <v>42205.63</v>
      </c>
      <c r="M354">
        <v>9.65</v>
      </c>
      <c r="N354">
        <v>173.7</v>
      </c>
      <c r="O354">
        <v>199</v>
      </c>
      <c r="P354" s="5">
        <v>46154</v>
      </c>
      <c r="Q354" s="5">
        <v>46155</v>
      </c>
      <c r="R354" t="s">
        <v>100</v>
      </c>
      <c r="S354" t="s">
        <v>86</v>
      </c>
    </row>
    <row r="355" spans="1:19" x14ac:dyDescent="0.25">
      <c r="A355" t="s">
        <v>447</v>
      </c>
      <c r="B355" s="5">
        <v>46108</v>
      </c>
      <c r="C355" t="s">
        <v>59</v>
      </c>
      <c r="D355" t="s">
        <v>49</v>
      </c>
      <c r="E355" t="s">
        <v>76</v>
      </c>
      <c r="F355" t="s">
        <v>96</v>
      </c>
      <c r="G355" t="s">
        <v>24</v>
      </c>
      <c r="H355">
        <v>285</v>
      </c>
      <c r="I355">
        <v>217</v>
      </c>
      <c r="J355">
        <v>13</v>
      </c>
      <c r="K355">
        <v>3.5</v>
      </c>
      <c r="L355">
        <v>44395.32</v>
      </c>
      <c r="M355">
        <v>7.73</v>
      </c>
      <c r="N355">
        <v>200.98</v>
      </c>
      <c r="O355">
        <v>294</v>
      </c>
      <c r="P355" s="5">
        <v>46118</v>
      </c>
      <c r="Q355" s="5">
        <v>46119</v>
      </c>
      <c r="R355" t="s">
        <v>25</v>
      </c>
      <c r="S355" t="s">
        <v>33</v>
      </c>
    </row>
    <row r="356" spans="1:19" x14ac:dyDescent="0.25">
      <c r="A356" t="s">
        <v>448</v>
      </c>
      <c r="B356" s="5">
        <v>46195</v>
      </c>
      <c r="C356" t="s">
        <v>80</v>
      </c>
      <c r="D356" t="s">
        <v>21</v>
      </c>
      <c r="E356" t="s">
        <v>22</v>
      </c>
      <c r="F356" t="s">
        <v>104</v>
      </c>
      <c r="G356" t="s">
        <v>24</v>
      </c>
      <c r="H356">
        <v>83</v>
      </c>
      <c r="I356">
        <v>74</v>
      </c>
      <c r="J356">
        <v>3</v>
      </c>
      <c r="K356">
        <v>6.2</v>
      </c>
      <c r="L356">
        <v>19807.36</v>
      </c>
      <c r="M356">
        <v>1.78</v>
      </c>
      <c r="N356">
        <v>32.04</v>
      </c>
      <c r="O356">
        <v>56</v>
      </c>
      <c r="P356" s="5">
        <v>46206</v>
      </c>
      <c r="Q356" s="5">
        <v>46205</v>
      </c>
      <c r="R356" t="s">
        <v>25</v>
      </c>
      <c r="S356" t="s">
        <v>51</v>
      </c>
    </row>
    <row r="357" spans="1:19" x14ac:dyDescent="0.25">
      <c r="A357" t="s">
        <v>449</v>
      </c>
      <c r="B357" s="5">
        <v>46176</v>
      </c>
      <c r="C357" t="s">
        <v>20</v>
      </c>
      <c r="D357" t="s">
        <v>21</v>
      </c>
      <c r="E357" t="s">
        <v>66</v>
      </c>
      <c r="F357" t="s">
        <v>74</v>
      </c>
      <c r="G357" t="s">
        <v>24</v>
      </c>
      <c r="H357">
        <v>110</v>
      </c>
      <c r="I357">
        <v>83</v>
      </c>
      <c r="J357">
        <v>4</v>
      </c>
      <c r="K357">
        <v>3.4</v>
      </c>
      <c r="L357">
        <v>30598.25</v>
      </c>
      <c r="M357">
        <v>3.09</v>
      </c>
      <c r="N357">
        <v>61.8</v>
      </c>
      <c r="O357">
        <v>98</v>
      </c>
      <c r="P357" s="5">
        <v>46180</v>
      </c>
      <c r="Q357" s="5">
        <v>46180</v>
      </c>
      <c r="R357" t="s">
        <v>25</v>
      </c>
      <c r="S357" t="s">
        <v>33</v>
      </c>
    </row>
    <row r="358" spans="1:19" x14ac:dyDescent="0.25">
      <c r="A358" t="s">
        <v>450</v>
      </c>
      <c r="B358" s="5">
        <v>46186</v>
      </c>
      <c r="C358" t="s">
        <v>53</v>
      </c>
      <c r="D358" t="s">
        <v>54</v>
      </c>
      <c r="E358" t="s">
        <v>131</v>
      </c>
      <c r="F358" t="s">
        <v>122</v>
      </c>
      <c r="G358" t="s">
        <v>32</v>
      </c>
      <c r="H358">
        <v>276</v>
      </c>
      <c r="I358">
        <v>249</v>
      </c>
      <c r="J358">
        <v>21</v>
      </c>
      <c r="K358">
        <v>6.9</v>
      </c>
      <c r="L358">
        <v>30299.32</v>
      </c>
      <c r="M358">
        <v>4.92</v>
      </c>
      <c r="N358">
        <v>88.56</v>
      </c>
      <c r="O358">
        <v>333</v>
      </c>
      <c r="P358" s="5">
        <v>46194</v>
      </c>
      <c r="Q358" s="5">
        <v>46195</v>
      </c>
      <c r="R358" t="s">
        <v>25</v>
      </c>
      <c r="S358" t="s">
        <v>51</v>
      </c>
    </row>
    <row r="359" spans="1:19" x14ac:dyDescent="0.25">
      <c r="A359" t="s">
        <v>451</v>
      </c>
      <c r="B359" s="5">
        <v>46135</v>
      </c>
      <c r="C359" t="s">
        <v>20</v>
      </c>
      <c r="D359" t="s">
        <v>21</v>
      </c>
      <c r="E359" t="s">
        <v>90</v>
      </c>
      <c r="F359" t="s">
        <v>64</v>
      </c>
      <c r="G359" t="s">
        <v>57</v>
      </c>
      <c r="H359">
        <v>317</v>
      </c>
      <c r="I359">
        <v>255</v>
      </c>
      <c r="J359">
        <v>10</v>
      </c>
      <c r="K359">
        <v>5.8</v>
      </c>
      <c r="L359">
        <v>71712.3</v>
      </c>
      <c r="M359">
        <v>7.23</v>
      </c>
      <c r="N359">
        <v>187.98</v>
      </c>
      <c r="O359">
        <v>304</v>
      </c>
      <c r="P359" s="5">
        <v>46144</v>
      </c>
      <c r="Q359" s="5">
        <v>46144</v>
      </c>
      <c r="R359" t="s">
        <v>25</v>
      </c>
      <c r="S359" t="s">
        <v>33</v>
      </c>
    </row>
    <row r="360" spans="1:19" x14ac:dyDescent="0.25">
      <c r="A360" t="s">
        <v>452</v>
      </c>
      <c r="B360" s="5">
        <v>46169</v>
      </c>
      <c r="C360" t="s">
        <v>59</v>
      </c>
      <c r="D360" t="s">
        <v>49</v>
      </c>
      <c r="E360" t="s">
        <v>76</v>
      </c>
      <c r="F360" t="s">
        <v>106</v>
      </c>
      <c r="G360" t="s">
        <v>32</v>
      </c>
      <c r="H360">
        <v>84</v>
      </c>
      <c r="I360">
        <v>92</v>
      </c>
      <c r="J360">
        <v>1</v>
      </c>
      <c r="K360">
        <v>5.8</v>
      </c>
      <c r="L360">
        <v>19387.48</v>
      </c>
      <c r="M360">
        <v>2.2400000000000002</v>
      </c>
      <c r="N360">
        <v>49.28</v>
      </c>
      <c r="O360">
        <v>150</v>
      </c>
      <c r="P360" s="5">
        <v>46180</v>
      </c>
      <c r="Q360" s="5">
        <v>46178</v>
      </c>
      <c r="R360" t="s">
        <v>39</v>
      </c>
      <c r="S360" t="s">
        <v>72</v>
      </c>
    </row>
    <row r="361" spans="1:19" x14ac:dyDescent="0.25">
      <c r="A361" t="s">
        <v>453</v>
      </c>
      <c r="B361" s="5">
        <v>46134</v>
      </c>
      <c r="C361" t="s">
        <v>35</v>
      </c>
      <c r="D361" t="s">
        <v>36</v>
      </c>
      <c r="E361" t="s">
        <v>37</v>
      </c>
      <c r="F361" t="s">
        <v>64</v>
      </c>
      <c r="G361" t="s">
        <v>24</v>
      </c>
      <c r="H361">
        <v>218</v>
      </c>
      <c r="I361">
        <v>178</v>
      </c>
      <c r="J361">
        <v>7</v>
      </c>
      <c r="K361">
        <v>6.2</v>
      </c>
      <c r="L361">
        <v>16210.92</v>
      </c>
      <c r="M361">
        <v>5.49</v>
      </c>
      <c r="N361">
        <v>120.78</v>
      </c>
      <c r="O361">
        <v>263</v>
      </c>
      <c r="P361" s="5">
        <v>46146</v>
      </c>
      <c r="Q361" s="5">
        <v>46146</v>
      </c>
      <c r="R361" t="s">
        <v>100</v>
      </c>
      <c r="S361" t="s">
        <v>33</v>
      </c>
    </row>
    <row r="362" spans="1:19" x14ac:dyDescent="0.25">
      <c r="A362" t="s">
        <v>454</v>
      </c>
      <c r="B362" s="5">
        <v>46116</v>
      </c>
      <c r="C362" t="s">
        <v>48</v>
      </c>
      <c r="D362" t="s">
        <v>49</v>
      </c>
      <c r="E362" t="s">
        <v>50</v>
      </c>
      <c r="F362" t="s">
        <v>119</v>
      </c>
      <c r="G362" t="s">
        <v>57</v>
      </c>
      <c r="H362">
        <v>295</v>
      </c>
      <c r="I362">
        <v>270</v>
      </c>
      <c r="J362">
        <v>19</v>
      </c>
      <c r="K362">
        <v>5.8</v>
      </c>
      <c r="L362">
        <v>41834.25</v>
      </c>
      <c r="M362">
        <v>7.35</v>
      </c>
      <c r="N362">
        <v>147</v>
      </c>
      <c r="O362">
        <v>331</v>
      </c>
      <c r="P362" s="5">
        <v>46124</v>
      </c>
      <c r="Q362" s="5">
        <v>46123</v>
      </c>
      <c r="R362" t="s">
        <v>25</v>
      </c>
      <c r="S362" t="s">
        <v>72</v>
      </c>
    </row>
    <row r="363" spans="1:19" x14ac:dyDescent="0.25">
      <c r="A363" t="s">
        <v>455</v>
      </c>
      <c r="B363" s="5">
        <v>46071</v>
      </c>
      <c r="C363" t="s">
        <v>43</v>
      </c>
      <c r="D363" t="s">
        <v>44</v>
      </c>
      <c r="E363" t="s">
        <v>93</v>
      </c>
      <c r="F363" t="s">
        <v>96</v>
      </c>
      <c r="G363" t="s">
        <v>57</v>
      </c>
      <c r="H363">
        <v>129</v>
      </c>
      <c r="I363">
        <v>94</v>
      </c>
      <c r="J363">
        <v>8</v>
      </c>
      <c r="K363">
        <v>2.1</v>
      </c>
      <c r="L363">
        <v>11431.23</v>
      </c>
      <c r="M363">
        <v>3.14</v>
      </c>
      <c r="N363">
        <v>75.36</v>
      </c>
      <c r="O363">
        <v>225</v>
      </c>
      <c r="P363" s="5">
        <v>46080</v>
      </c>
      <c r="Q363" s="5">
        <v>46078</v>
      </c>
      <c r="R363" t="s">
        <v>25</v>
      </c>
      <c r="S363" t="s">
        <v>86</v>
      </c>
    </row>
    <row r="364" spans="1:19" x14ac:dyDescent="0.25">
      <c r="A364" t="s">
        <v>456</v>
      </c>
      <c r="B364" s="5">
        <v>46033</v>
      </c>
      <c r="C364" t="s">
        <v>35</v>
      </c>
      <c r="D364" t="s">
        <v>36</v>
      </c>
      <c r="E364" t="s">
        <v>37</v>
      </c>
      <c r="F364" t="s">
        <v>119</v>
      </c>
      <c r="G364" t="s">
        <v>24</v>
      </c>
      <c r="H364">
        <v>134</v>
      </c>
      <c r="I364">
        <v>142</v>
      </c>
      <c r="J364">
        <v>9</v>
      </c>
      <c r="K364">
        <v>4.0999999999999996</v>
      </c>
      <c r="L364">
        <v>15306.83</v>
      </c>
      <c r="M364">
        <v>3.06</v>
      </c>
      <c r="N364">
        <v>79.56</v>
      </c>
      <c r="O364">
        <v>153</v>
      </c>
      <c r="P364" s="5">
        <v>46036</v>
      </c>
      <c r="Q364" s="5">
        <v>46034</v>
      </c>
      <c r="R364" t="s">
        <v>25</v>
      </c>
      <c r="S364" t="s">
        <v>33</v>
      </c>
    </row>
    <row r="365" spans="1:19" x14ac:dyDescent="0.25">
      <c r="A365" t="s">
        <v>457</v>
      </c>
      <c r="B365" s="5">
        <v>46143</v>
      </c>
      <c r="C365" t="s">
        <v>80</v>
      </c>
      <c r="D365" t="s">
        <v>21</v>
      </c>
      <c r="E365" t="s">
        <v>22</v>
      </c>
      <c r="F365" t="s">
        <v>71</v>
      </c>
      <c r="G365" t="s">
        <v>32</v>
      </c>
      <c r="H365">
        <v>259</v>
      </c>
      <c r="I365">
        <v>258</v>
      </c>
      <c r="J365">
        <v>1</v>
      </c>
      <c r="K365">
        <v>5.7</v>
      </c>
      <c r="L365">
        <v>85601.66</v>
      </c>
      <c r="M365">
        <v>5.25</v>
      </c>
      <c r="N365">
        <v>136.5</v>
      </c>
      <c r="O365">
        <v>262</v>
      </c>
      <c r="P365" s="5">
        <v>46154</v>
      </c>
      <c r="Q365" s="5">
        <v>46153</v>
      </c>
      <c r="R365" t="s">
        <v>25</v>
      </c>
      <c r="S365" t="s">
        <v>26</v>
      </c>
    </row>
    <row r="366" spans="1:19" x14ac:dyDescent="0.25">
      <c r="A366" t="s">
        <v>458</v>
      </c>
      <c r="B366" s="5">
        <v>46180</v>
      </c>
      <c r="C366" t="s">
        <v>28</v>
      </c>
      <c r="D366" t="s">
        <v>29</v>
      </c>
      <c r="E366" t="s">
        <v>63</v>
      </c>
      <c r="G366" t="s">
        <v>57</v>
      </c>
      <c r="H366">
        <v>285</v>
      </c>
      <c r="I366">
        <v>230</v>
      </c>
      <c r="J366">
        <v>8</v>
      </c>
      <c r="K366">
        <v>7.5</v>
      </c>
      <c r="L366">
        <v>55584.06</v>
      </c>
      <c r="M366">
        <v>4.8099999999999996</v>
      </c>
      <c r="N366">
        <v>125.06</v>
      </c>
      <c r="O366">
        <v>384</v>
      </c>
      <c r="P366" s="5">
        <v>46184</v>
      </c>
      <c r="Q366" s="5">
        <v>46185</v>
      </c>
      <c r="R366" t="s">
        <v>25</v>
      </c>
      <c r="S366" t="s">
        <v>26</v>
      </c>
    </row>
    <row r="367" spans="1:19" x14ac:dyDescent="0.25">
      <c r="A367" t="s">
        <v>459</v>
      </c>
      <c r="B367" s="5">
        <v>46067</v>
      </c>
      <c r="C367" t="s">
        <v>48</v>
      </c>
      <c r="D367" t="s">
        <v>49</v>
      </c>
      <c r="E367" t="s">
        <v>50</v>
      </c>
      <c r="F367" t="s">
        <v>46</v>
      </c>
      <c r="G367" t="s">
        <v>57</v>
      </c>
      <c r="H367">
        <v>110</v>
      </c>
      <c r="I367">
        <v>92</v>
      </c>
      <c r="J367">
        <v>6</v>
      </c>
      <c r="K367">
        <v>1.5</v>
      </c>
      <c r="L367">
        <v>15967.49</v>
      </c>
      <c r="M367">
        <v>2.19</v>
      </c>
      <c r="N367">
        <v>56.94</v>
      </c>
      <c r="O367">
        <v>80</v>
      </c>
      <c r="P367" s="5">
        <v>46071</v>
      </c>
      <c r="Q367" s="5">
        <v>46070</v>
      </c>
      <c r="R367" t="s">
        <v>39</v>
      </c>
      <c r="S367" t="s">
        <v>33</v>
      </c>
    </row>
    <row r="368" spans="1:19" x14ac:dyDescent="0.25">
      <c r="A368" t="s">
        <v>460</v>
      </c>
      <c r="B368" s="5">
        <v>46147</v>
      </c>
      <c r="C368" t="s">
        <v>20</v>
      </c>
      <c r="D368" t="s">
        <v>21</v>
      </c>
      <c r="E368" t="s">
        <v>22</v>
      </c>
      <c r="F368" t="s">
        <v>85</v>
      </c>
      <c r="G368" t="s">
        <v>32</v>
      </c>
      <c r="H368">
        <v>81</v>
      </c>
      <c r="I368">
        <v>64</v>
      </c>
      <c r="J368">
        <v>0</v>
      </c>
      <c r="K368">
        <v>5.9</v>
      </c>
      <c r="L368">
        <v>23083.75</v>
      </c>
      <c r="M368">
        <v>2.39</v>
      </c>
      <c r="N368">
        <v>57.36</v>
      </c>
      <c r="O368">
        <v>82</v>
      </c>
      <c r="P368" s="5">
        <v>46152</v>
      </c>
      <c r="Q368" s="5">
        <v>46152</v>
      </c>
      <c r="R368" t="s">
        <v>25</v>
      </c>
      <c r="S368" t="s">
        <v>72</v>
      </c>
    </row>
    <row r="369" spans="1:19" x14ac:dyDescent="0.25">
      <c r="A369" t="s">
        <v>461</v>
      </c>
      <c r="B369" s="5">
        <v>46084</v>
      </c>
      <c r="C369" t="s">
        <v>43</v>
      </c>
      <c r="D369" t="s">
        <v>44</v>
      </c>
      <c r="E369" t="s">
        <v>45</v>
      </c>
      <c r="G369" t="s">
        <v>24</v>
      </c>
      <c r="H369">
        <v>257</v>
      </c>
      <c r="I369">
        <v>189</v>
      </c>
      <c r="J369">
        <v>4</v>
      </c>
      <c r="K369">
        <v>4.5</v>
      </c>
      <c r="L369">
        <v>26680.6</v>
      </c>
      <c r="M369">
        <v>6.95</v>
      </c>
      <c r="N369">
        <v>152.9</v>
      </c>
      <c r="O369">
        <v>324</v>
      </c>
      <c r="P369" s="5">
        <v>46086</v>
      </c>
      <c r="Q369" s="5">
        <v>46086</v>
      </c>
      <c r="R369" t="s">
        <v>25</v>
      </c>
      <c r="S369" t="s">
        <v>33</v>
      </c>
    </row>
    <row r="370" spans="1:19" x14ac:dyDescent="0.25">
      <c r="A370" t="s">
        <v>462</v>
      </c>
      <c r="B370" s="5">
        <v>46181</v>
      </c>
      <c r="C370" t="s">
        <v>48</v>
      </c>
      <c r="D370" t="s">
        <v>49</v>
      </c>
      <c r="E370" t="s">
        <v>60</v>
      </c>
      <c r="F370" t="s">
        <v>64</v>
      </c>
      <c r="G370" t="s">
        <v>24</v>
      </c>
      <c r="H370">
        <v>209</v>
      </c>
      <c r="I370">
        <v>170</v>
      </c>
      <c r="J370">
        <v>12</v>
      </c>
      <c r="K370">
        <v>5.9</v>
      </c>
      <c r="L370">
        <v>28703.55</v>
      </c>
      <c r="M370">
        <v>6.31</v>
      </c>
      <c r="N370">
        <v>151.44</v>
      </c>
      <c r="O370">
        <v>296</v>
      </c>
      <c r="P370" s="5">
        <v>46185</v>
      </c>
      <c r="Q370" s="5">
        <v>46185</v>
      </c>
      <c r="R370" t="s">
        <v>25</v>
      </c>
      <c r="S370" t="s">
        <v>86</v>
      </c>
    </row>
    <row r="371" spans="1:19" x14ac:dyDescent="0.25">
      <c r="A371" t="s">
        <v>463</v>
      </c>
      <c r="B371" s="5">
        <v>46095</v>
      </c>
      <c r="C371" t="s">
        <v>28</v>
      </c>
      <c r="D371" t="s">
        <v>29</v>
      </c>
      <c r="E371" t="s">
        <v>95</v>
      </c>
      <c r="F371" t="s">
        <v>71</v>
      </c>
      <c r="G371" t="s">
        <v>57</v>
      </c>
      <c r="H371">
        <v>144</v>
      </c>
      <c r="I371">
        <v>124</v>
      </c>
      <c r="J371">
        <v>9</v>
      </c>
      <c r="K371">
        <v>6.8</v>
      </c>
      <c r="L371">
        <v>25210.61</v>
      </c>
      <c r="M371">
        <v>4.9800000000000004</v>
      </c>
      <c r="N371">
        <v>99.6</v>
      </c>
      <c r="O371">
        <v>144</v>
      </c>
      <c r="P371" s="5">
        <v>46097</v>
      </c>
      <c r="Q371" s="5">
        <v>46101</v>
      </c>
      <c r="R371" t="s">
        <v>39</v>
      </c>
      <c r="S371" t="s">
        <v>51</v>
      </c>
    </row>
    <row r="372" spans="1:19" x14ac:dyDescent="0.25">
      <c r="A372" t="s">
        <v>464</v>
      </c>
      <c r="B372" s="5">
        <v>46136</v>
      </c>
      <c r="C372" t="s">
        <v>48</v>
      </c>
      <c r="D372" t="s">
        <v>49</v>
      </c>
      <c r="E372" t="s">
        <v>76</v>
      </c>
      <c r="F372" t="s">
        <v>119</v>
      </c>
      <c r="G372" t="s">
        <v>24</v>
      </c>
      <c r="H372">
        <v>130</v>
      </c>
      <c r="I372">
        <v>135</v>
      </c>
      <c r="J372">
        <v>11</v>
      </c>
      <c r="K372">
        <v>2.1</v>
      </c>
      <c r="L372">
        <v>21521.66</v>
      </c>
      <c r="M372">
        <v>3.2</v>
      </c>
      <c r="N372">
        <v>76.8</v>
      </c>
      <c r="O372">
        <v>141</v>
      </c>
      <c r="P372" s="5">
        <v>46144</v>
      </c>
      <c r="Q372" s="5">
        <v>46144</v>
      </c>
      <c r="R372" t="s">
        <v>25</v>
      </c>
      <c r="S372" t="s">
        <v>72</v>
      </c>
    </row>
    <row r="373" spans="1:19" x14ac:dyDescent="0.25">
      <c r="A373" t="s">
        <v>465</v>
      </c>
      <c r="B373" s="5">
        <v>46036</v>
      </c>
      <c r="C373" t="s">
        <v>35</v>
      </c>
      <c r="D373" t="s">
        <v>36</v>
      </c>
      <c r="E373" t="s">
        <v>37</v>
      </c>
      <c r="F373" t="s">
        <v>106</v>
      </c>
      <c r="G373" t="s">
        <v>24</v>
      </c>
      <c r="H373">
        <v>135</v>
      </c>
      <c r="I373">
        <v>151</v>
      </c>
      <c r="J373">
        <v>6</v>
      </c>
      <c r="K373">
        <v>3.5</v>
      </c>
      <c r="L373">
        <v>12794.57</v>
      </c>
      <c r="M373">
        <v>5.01</v>
      </c>
      <c r="N373">
        <v>110.22</v>
      </c>
      <c r="O373">
        <v>146</v>
      </c>
      <c r="P373" s="5">
        <v>46043</v>
      </c>
      <c r="Q373" s="5">
        <v>46043</v>
      </c>
      <c r="R373" t="s">
        <v>25</v>
      </c>
      <c r="S373" t="s">
        <v>33</v>
      </c>
    </row>
    <row r="374" spans="1:19" x14ac:dyDescent="0.25">
      <c r="A374" t="s">
        <v>466</v>
      </c>
      <c r="B374" s="5">
        <v>46094</v>
      </c>
      <c r="C374" t="s">
        <v>43</v>
      </c>
      <c r="D374" t="s">
        <v>44</v>
      </c>
      <c r="E374" t="s">
        <v>93</v>
      </c>
      <c r="F374" t="s">
        <v>77</v>
      </c>
      <c r="G374" t="s">
        <v>24</v>
      </c>
      <c r="H374">
        <v>298</v>
      </c>
      <c r="I374">
        <v>274</v>
      </c>
      <c r="J374">
        <v>11</v>
      </c>
      <c r="K374">
        <v>6.8</v>
      </c>
      <c r="L374">
        <v>27354.75</v>
      </c>
      <c r="M374">
        <v>5.96</v>
      </c>
      <c r="N374">
        <v>154.96</v>
      </c>
      <c r="O374">
        <v>301</v>
      </c>
      <c r="P374" s="5">
        <v>46105</v>
      </c>
      <c r="Q374" s="5">
        <v>46105</v>
      </c>
      <c r="R374" t="s">
        <v>25</v>
      </c>
    </row>
    <row r="375" spans="1:19" x14ac:dyDescent="0.25">
      <c r="A375" t="s">
        <v>467</v>
      </c>
      <c r="B375" s="5">
        <v>46078</v>
      </c>
      <c r="C375" t="s">
        <v>53</v>
      </c>
      <c r="D375" t="s">
        <v>54</v>
      </c>
      <c r="E375" t="s">
        <v>131</v>
      </c>
      <c r="F375" t="s">
        <v>64</v>
      </c>
      <c r="G375" t="s">
        <v>57</v>
      </c>
      <c r="H375">
        <v>151</v>
      </c>
      <c r="I375">
        <v>109</v>
      </c>
      <c r="J375">
        <v>4</v>
      </c>
      <c r="K375">
        <v>7.9</v>
      </c>
      <c r="L375">
        <v>13910.37</v>
      </c>
      <c r="M375">
        <v>2.54</v>
      </c>
      <c r="N375">
        <v>66.040000000000006</v>
      </c>
      <c r="O375">
        <v>149</v>
      </c>
      <c r="P375" s="5">
        <v>46089</v>
      </c>
      <c r="Q375" s="5">
        <v>46087</v>
      </c>
      <c r="R375" t="s">
        <v>100</v>
      </c>
      <c r="S375" t="s">
        <v>72</v>
      </c>
    </row>
    <row r="376" spans="1:19" x14ac:dyDescent="0.25">
      <c r="A376" t="s">
        <v>468</v>
      </c>
      <c r="B376" s="5">
        <v>46152</v>
      </c>
      <c r="C376" t="s">
        <v>80</v>
      </c>
      <c r="D376" t="s">
        <v>21</v>
      </c>
      <c r="E376" t="s">
        <v>90</v>
      </c>
      <c r="F376" t="s">
        <v>125</v>
      </c>
      <c r="G376" t="s">
        <v>57</v>
      </c>
      <c r="H376">
        <v>215</v>
      </c>
      <c r="I376">
        <v>191</v>
      </c>
      <c r="J376">
        <v>14</v>
      </c>
      <c r="K376">
        <v>6.3</v>
      </c>
      <c r="L376">
        <v>43512.7</v>
      </c>
      <c r="M376">
        <v>3.82</v>
      </c>
      <c r="N376">
        <v>68.760000000000005</v>
      </c>
      <c r="O376">
        <v>279</v>
      </c>
      <c r="P376" s="5">
        <v>46157</v>
      </c>
      <c r="Q376" s="5">
        <v>46157</v>
      </c>
      <c r="R376" t="s">
        <v>25</v>
      </c>
      <c r="S376" t="s">
        <v>33</v>
      </c>
    </row>
    <row r="377" spans="1:19" x14ac:dyDescent="0.25">
      <c r="A377" t="s">
        <v>469</v>
      </c>
      <c r="B377" s="5">
        <v>46027</v>
      </c>
      <c r="C377" t="s">
        <v>53</v>
      </c>
      <c r="D377" t="s">
        <v>54</v>
      </c>
      <c r="E377" t="s">
        <v>131</v>
      </c>
      <c r="F377" t="s">
        <v>56</v>
      </c>
      <c r="G377" t="s">
        <v>24</v>
      </c>
      <c r="H377">
        <v>121</v>
      </c>
      <c r="I377">
        <v>123</v>
      </c>
      <c r="J377">
        <v>10</v>
      </c>
      <c r="K377">
        <v>6.7</v>
      </c>
      <c r="L377">
        <v>14388.74</v>
      </c>
      <c r="M377">
        <v>4.49</v>
      </c>
      <c r="N377">
        <v>107.76</v>
      </c>
      <c r="O377">
        <v>128</v>
      </c>
      <c r="P377" s="5">
        <v>46034</v>
      </c>
      <c r="Q377" s="5">
        <v>46038</v>
      </c>
      <c r="R377" t="s">
        <v>25</v>
      </c>
      <c r="S377" t="s">
        <v>33</v>
      </c>
    </row>
    <row r="378" spans="1:19" x14ac:dyDescent="0.25">
      <c r="A378" t="s">
        <v>470</v>
      </c>
      <c r="B378" s="5">
        <v>46121</v>
      </c>
      <c r="C378" t="s">
        <v>48</v>
      </c>
      <c r="D378" t="s">
        <v>49</v>
      </c>
      <c r="E378" t="s">
        <v>60</v>
      </c>
      <c r="F378" t="s">
        <v>71</v>
      </c>
      <c r="G378" t="s">
        <v>32</v>
      </c>
      <c r="H378">
        <v>88</v>
      </c>
      <c r="I378">
        <v>74</v>
      </c>
      <c r="J378">
        <v>5</v>
      </c>
      <c r="K378">
        <v>6.3</v>
      </c>
      <c r="L378">
        <v>15711.52</v>
      </c>
      <c r="M378">
        <v>1.7</v>
      </c>
      <c r="N378">
        <v>30.6</v>
      </c>
      <c r="O378">
        <v>135</v>
      </c>
      <c r="P378" s="5">
        <v>46123</v>
      </c>
      <c r="Q378" s="5">
        <v>46124</v>
      </c>
      <c r="R378" t="s">
        <v>25</v>
      </c>
      <c r="S378" t="s">
        <v>86</v>
      </c>
    </row>
    <row r="379" spans="1:19" x14ac:dyDescent="0.25">
      <c r="A379" t="s">
        <v>471</v>
      </c>
      <c r="B379" s="5">
        <v>46142</v>
      </c>
      <c r="C379" t="s">
        <v>80</v>
      </c>
      <c r="D379" t="s">
        <v>21</v>
      </c>
      <c r="E379" t="s">
        <v>90</v>
      </c>
      <c r="F379" t="s">
        <v>56</v>
      </c>
      <c r="G379" t="s">
        <v>24</v>
      </c>
      <c r="H379">
        <v>173</v>
      </c>
      <c r="I379">
        <v>137</v>
      </c>
      <c r="J379">
        <v>7</v>
      </c>
      <c r="K379">
        <v>0.6</v>
      </c>
      <c r="L379">
        <v>36185.33</v>
      </c>
      <c r="M379">
        <v>5.69</v>
      </c>
      <c r="N379">
        <v>113.8</v>
      </c>
      <c r="O379">
        <v>271</v>
      </c>
      <c r="P379" s="5">
        <v>46145</v>
      </c>
      <c r="Q379" s="5">
        <v>46149</v>
      </c>
      <c r="R379" t="s">
        <v>39</v>
      </c>
      <c r="S379" t="s">
        <v>51</v>
      </c>
    </row>
    <row r="380" spans="1:19" x14ac:dyDescent="0.25">
      <c r="A380" t="s">
        <v>472</v>
      </c>
      <c r="B380" s="5">
        <v>46080</v>
      </c>
      <c r="C380" t="s">
        <v>48</v>
      </c>
      <c r="D380" t="s">
        <v>49</v>
      </c>
      <c r="E380" t="s">
        <v>76</v>
      </c>
      <c r="F380" t="s">
        <v>104</v>
      </c>
      <c r="G380" t="s">
        <v>32</v>
      </c>
      <c r="H380">
        <v>309</v>
      </c>
      <c r="I380">
        <v>258</v>
      </c>
      <c r="J380">
        <v>17</v>
      </c>
      <c r="K380">
        <v>2.5</v>
      </c>
      <c r="L380">
        <v>41692.370000000003</v>
      </c>
      <c r="M380">
        <v>7.65</v>
      </c>
      <c r="N380">
        <v>198.9</v>
      </c>
      <c r="O380">
        <v>300</v>
      </c>
      <c r="P380" s="5">
        <v>46089</v>
      </c>
      <c r="Q380" s="5">
        <v>46089</v>
      </c>
      <c r="R380" t="s">
        <v>100</v>
      </c>
      <c r="S380" t="s">
        <v>33</v>
      </c>
    </row>
    <row r="381" spans="1:19" x14ac:dyDescent="0.25">
      <c r="A381" t="s">
        <v>473</v>
      </c>
      <c r="B381" s="5">
        <v>46071</v>
      </c>
      <c r="C381" t="s">
        <v>53</v>
      </c>
      <c r="D381" t="s">
        <v>54</v>
      </c>
      <c r="E381" t="s">
        <v>55</v>
      </c>
      <c r="F381" t="s">
        <v>110</v>
      </c>
      <c r="G381" t="s">
        <v>57</v>
      </c>
      <c r="H381">
        <v>100</v>
      </c>
      <c r="I381">
        <v>88</v>
      </c>
      <c r="J381">
        <v>1</v>
      </c>
      <c r="K381">
        <v>8.6</v>
      </c>
      <c r="L381">
        <v>9701.6</v>
      </c>
      <c r="M381">
        <v>1.82</v>
      </c>
      <c r="N381">
        <v>36.4</v>
      </c>
      <c r="O381">
        <v>187</v>
      </c>
      <c r="P381" s="5">
        <v>46075</v>
      </c>
      <c r="Q381" s="5">
        <v>46075</v>
      </c>
      <c r="R381" t="s">
        <v>39</v>
      </c>
      <c r="S381" t="s">
        <v>86</v>
      </c>
    </row>
    <row r="382" spans="1:19" x14ac:dyDescent="0.25">
      <c r="A382" t="s">
        <v>474</v>
      </c>
      <c r="B382" s="5">
        <v>46129</v>
      </c>
      <c r="C382" t="s">
        <v>43</v>
      </c>
      <c r="D382" t="s">
        <v>44</v>
      </c>
      <c r="E382" t="s">
        <v>161</v>
      </c>
      <c r="F382" t="s">
        <v>119</v>
      </c>
      <c r="G382" t="s">
        <v>24</v>
      </c>
      <c r="H382">
        <v>168</v>
      </c>
      <c r="I382">
        <v>151</v>
      </c>
      <c r="J382">
        <v>10</v>
      </c>
      <c r="K382">
        <v>0.2</v>
      </c>
      <c r="L382">
        <v>13737.34</v>
      </c>
      <c r="M382">
        <v>5.62</v>
      </c>
      <c r="N382">
        <v>146.12</v>
      </c>
      <c r="O382">
        <v>213</v>
      </c>
      <c r="P382" s="5">
        <v>46137</v>
      </c>
      <c r="Q382" s="5">
        <v>46138</v>
      </c>
      <c r="R382" t="s">
        <v>25</v>
      </c>
      <c r="S382" t="s">
        <v>26</v>
      </c>
    </row>
    <row r="383" spans="1:19" x14ac:dyDescent="0.25">
      <c r="A383" t="s">
        <v>475</v>
      </c>
      <c r="B383" s="5">
        <v>46163</v>
      </c>
      <c r="C383" t="s">
        <v>53</v>
      </c>
      <c r="D383" t="s">
        <v>54</v>
      </c>
      <c r="E383" t="s">
        <v>131</v>
      </c>
      <c r="F383" t="s">
        <v>74</v>
      </c>
      <c r="G383" t="s">
        <v>57</v>
      </c>
      <c r="H383">
        <v>157</v>
      </c>
      <c r="I383">
        <v>151</v>
      </c>
      <c r="J383">
        <v>12</v>
      </c>
      <c r="K383">
        <v>2.8</v>
      </c>
      <c r="L383">
        <v>22078.41</v>
      </c>
      <c r="M383">
        <v>4.07</v>
      </c>
      <c r="N383">
        <v>89.54</v>
      </c>
      <c r="O383">
        <v>129</v>
      </c>
      <c r="P383" s="5">
        <v>46167</v>
      </c>
      <c r="Q383" s="5">
        <v>46168</v>
      </c>
      <c r="R383" t="s">
        <v>25</v>
      </c>
      <c r="S383" t="s">
        <v>26</v>
      </c>
    </row>
    <row r="384" spans="1:19" x14ac:dyDescent="0.25">
      <c r="A384" t="s">
        <v>476</v>
      </c>
      <c r="B384" s="5">
        <v>46064</v>
      </c>
      <c r="C384" t="s">
        <v>59</v>
      </c>
      <c r="D384" t="s">
        <v>49</v>
      </c>
      <c r="E384" t="s">
        <v>50</v>
      </c>
      <c r="F384" t="s">
        <v>244</v>
      </c>
      <c r="G384" t="s">
        <v>57</v>
      </c>
      <c r="H384">
        <v>124</v>
      </c>
      <c r="I384">
        <v>134</v>
      </c>
      <c r="J384">
        <v>9</v>
      </c>
      <c r="K384">
        <v>6</v>
      </c>
      <c r="L384">
        <v>19043.66</v>
      </c>
      <c r="M384">
        <v>2.54</v>
      </c>
      <c r="N384">
        <v>55.88</v>
      </c>
      <c r="O384">
        <v>116</v>
      </c>
      <c r="P384" s="5">
        <v>46073</v>
      </c>
      <c r="Q384" s="5">
        <v>46073</v>
      </c>
      <c r="R384" t="s">
        <v>25</v>
      </c>
      <c r="S384" t="s">
        <v>26</v>
      </c>
    </row>
    <row r="385" spans="1:19" x14ac:dyDescent="0.25">
      <c r="A385" t="s">
        <v>477</v>
      </c>
      <c r="B385" s="5">
        <v>46031</v>
      </c>
      <c r="C385" t="s">
        <v>48</v>
      </c>
      <c r="D385" t="s">
        <v>49</v>
      </c>
      <c r="E385" t="s">
        <v>76</v>
      </c>
      <c r="F385" t="s">
        <v>135</v>
      </c>
      <c r="G385" t="s">
        <v>24</v>
      </c>
      <c r="H385">
        <v>117</v>
      </c>
      <c r="I385">
        <v>103</v>
      </c>
      <c r="J385">
        <v>5</v>
      </c>
      <c r="K385">
        <v>1.5</v>
      </c>
      <c r="L385">
        <v>21284.06</v>
      </c>
      <c r="M385">
        <v>2.85</v>
      </c>
      <c r="N385">
        <v>68.400000000000006</v>
      </c>
      <c r="O385">
        <v>114</v>
      </c>
      <c r="P385" s="5">
        <v>46040</v>
      </c>
      <c r="Q385" s="5">
        <v>46041</v>
      </c>
      <c r="R385" t="s">
        <v>25</v>
      </c>
      <c r="S385" t="s">
        <v>26</v>
      </c>
    </row>
    <row r="386" spans="1:19" x14ac:dyDescent="0.25">
      <c r="A386" t="s">
        <v>478</v>
      </c>
      <c r="B386" s="5">
        <v>46152</v>
      </c>
      <c r="C386" t="s">
        <v>48</v>
      </c>
      <c r="D386" t="s">
        <v>49</v>
      </c>
      <c r="E386" t="s">
        <v>60</v>
      </c>
      <c r="F386" t="s">
        <v>38</v>
      </c>
      <c r="G386" t="s">
        <v>57</v>
      </c>
      <c r="H386">
        <v>260</v>
      </c>
      <c r="I386">
        <v>220</v>
      </c>
      <c r="J386">
        <v>18</v>
      </c>
      <c r="K386">
        <v>8.6999999999999993</v>
      </c>
      <c r="L386">
        <v>54385.09</v>
      </c>
      <c r="M386">
        <v>7.48</v>
      </c>
      <c r="N386">
        <v>194.48</v>
      </c>
      <c r="O386">
        <v>333</v>
      </c>
      <c r="P386" s="5">
        <v>46159</v>
      </c>
      <c r="Q386" s="5">
        <v>46158</v>
      </c>
      <c r="R386" t="s">
        <v>100</v>
      </c>
      <c r="S386" t="s">
        <v>51</v>
      </c>
    </row>
    <row r="387" spans="1:19" x14ac:dyDescent="0.25">
      <c r="A387" t="s">
        <v>479</v>
      </c>
      <c r="B387" s="5">
        <v>46196</v>
      </c>
      <c r="C387" t="s">
        <v>20</v>
      </c>
      <c r="D387" t="s">
        <v>21</v>
      </c>
      <c r="E387" t="s">
        <v>90</v>
      </c>
      <c r="F387" t="s">
        <v>135</v>
      </c>
      <c r="G387" t="s">
        <v>57</v>
      </c>
      <c r="H387">
        <v>86</v>
      </c>
      <c r="I387">
        <v>76</v>
      </c>
      <c r="J387">
        <v>6</v>
      </c>
      <c r="K387">
        <v>4</v>
      </c>
      <c r="L387">
        <v>18499.93</v>
      </c>
      <c r="M387">
        <v>2.54</v>
      </c>
      <c r="N387">
        <v>66.040000000000006</v>
      </c>
      <c r="O387">
        <v>184</v>
      </c>
      <c r="P387" s="5">
        <v>46201</v>
      </c>
      <c r="Q387" s="5">
        <v>46201</v>
      </c>
      <c r="R387" t="s">
        <v>25</v>
      </c>
      <c r="S387" t="s">
        <v>26</v>
      </c>
    </row>
    <row r="388" spans="1:19" x14ac:dyDescent="0.25">
      <c r="A388" t="s">
        <v>480</v>
      </c>
      <c r="B388" s="5">
        <v>46137</v>
      </c>
      <c r="C388" t="s">
        <v>20</v>
      </c>
      <c r="D388" t="s">
        <v>21</v>
      </c>
      <c r="E388" t="s">
        <v>66</v>
      </c>
      <c r="F388" t="s">
        <v>135</v>
      </c>
      <c r="G388" t="s">
        <v>32</v>
      </c>
      <c r="H388">
        <v>180</v>
      </c>
      <c r="I388">
        <v>144</v>
      </c>
      <c r="J388">
        <v>4</v>
      </c>
      <c r="K388">
        <v>5.4</v>
      </c>
      <c r="L388">
        <v>59991.77</v>
      </c>
      <c r="M388">
        <v>3.84</v>
      </c>
      <c r="N388">
        <v>76.8</v>
      </c>
      <c r="O388">
        <v>249</v>
      </c>
      <c r="P388" s="5">
        <v>46144</v>
      </c>
      <c r="Q388" s="5">
        <v>46146</v>
      </c>
      <c r="R388" t="s">
        <v>25</v>
      </c>
      <c r="S388" t="s">
        <v>86</v>
      </c>
    </row>
    <row r="389" spans="1:19" x14ac:dyDescent="0.25">
      <c r="A389" t="s">
        <v>481</v>
      </c>
      <c r="B389" s="5">
        <v>46112</v>
      </c>
      <c r="C389" t="s">
        <v>59</v>
      </c>
      <c r="D389" t="s">
        <v>49</v>
      </c>
      <c r="E389" t="s">
        <v>76</v>
      </c>
      <c r="F389" t="s">
        <v>104</v>
      </c>
      <c r="G389" t="s">
        <v>57</v>
      </c>
      <c r="H389">
        <v>303</v>
      </c>
      <c r="I389">
        <v>291</v>
      </c>
      <c r="J389">
        <v>7</v>
      </c>
      <c r="K389">
        <v>8</v>
      </c>
      <c r="L389">
        <v>53986.42</v>
      </c>
      <c r="M389">
        <v>8.33</v>
      </c>
      <c r="N389">
        <v>166.6</v>
      </c>
      <c r="O389">
        <v>371</v>
      </c>
      <c r="P389" s="5">
        <v>46120</v>
      </c>
      <c r="Q389" s="5">
        <v>46120</v>
      </c>
      <c r="R389" t="s">
        <v>39</v>
      </c>
      <c r="S389" t="s">
        <v>51</v>
      </c>
    </row>
    <row r="390" spans="1:19" x14ac:dyDescent="0.25">
      <c r="A390" t="s">
        <v>482</v>
      </c>
      <c r="B390" s="5">
        <v>46076</v>
      </c>
      <c r="C390" t="s">
        <v>59</v>
      </c>
      <c r="D390" t="s">
        <v>49</v>
      </c>
      <c r="E390" t="s">
        <v>76</v>
      </c>
      <c r="F390" t="s">
        <v>197</v>
      </c>
      <c r="G390" t="s">
        <v>57</v>
      </c>
      <c r="H390">
        <v>302</v>
      </c>
      <c r="I390">
        <v>285</v>
      </c>
      <c r="J390">
        <v>10</v>
      </c>
      <c r="K390">
        <v>8.4</v>
      </c>
      <c r="L390">
        <v>49683.57</v>
      </c>
      <c r="M390">
        <v>5.18</v>
      </c>
      <c r="N390">
        <v>113.96</v>
      </c>
      <c r="O390">
        <v>368</v>
      </c>
      <c r="P390" s="5">
        <v>46080</v>
      </c>
      <c r="Q390" s="5">
        <v>46084</v>
      </c>
      <c r="R390" t="s">
        <v>39</v>
      </c>
      <c r="S390" t="s">
        <v>51</v>
      </c>
    </row>
    <row r="391" spans="1:19" x14ac:dyDescent="0.25">
      <c r="A391" t="s">
        <v>483</v>
      </c>
      <c r="B391" s="5">
        <v>46070</v>
      </c>
      <c r="C391" t="s">
        <v>35</v>
      </c>
      <c r="D391" t="s">
        <v>36</v>
      </c>
      <c r="E391" t="s">
        <v>69</v>
      </c>
      <c r="F391" t="s">
        <v>125</v>
      </c>
      <c r="G391" t="s">
        <v>24</v>
      </c>
      <c r="H391">
        <v>221</v>
      </c>
      <c r="I391">
        <v>205</v>
      </c>
      <c r="J391">
        <v>16</v>
      </c>
      <c r="K391">
        <v>2.7</v>
      </c>
      <c r="L391">
        <v>19423.650000000001</v>
      </c>
      <c r="M391">
        <v>7.33</v>
      </c>
      <c r="N391">
        <v>146.6</v>
      </c>
      <c r="O391">
        <v>187</v>
      </c>
      <c r="P391" s="5">
        <v>46072</v>
      </c>
      <c r="Q391" s="5">
        <v>46072</v>
      </c>
      <c r="R391" t="s">
        <v>25</v>
      </c>
      <c r="S391" t="s">
        <v>72</v>
      </c>
    </row>
    <row r="392" spans="1:19" x14ac:dyDescent="0.25">
      <c r="A392" t="s">
        <v>484</v>
      </c>
      <c r="B392" s="5">
        <v>46054</v>
      </c>
      <c r="C392" t="s">
        <v>59</v>
      </c>
      <c r="D392" t="s">
        <v>49</v>
      </c>
      <c r="E392" t="s">
        <v>76</v>
      </c>
      <c r="F392" t="s">
        <v>77</v>
      </c>
      <c r="G392" t="s">
        <v>32</v>
      </c>
      <c r="H392">
        <v>125</v>
      </c>
      <c r="I392">
        <v>116</v>
      </c>
      <c r="J392">
        <v>7</v>
      </c>
      <c r="K392">
        <v>2.2000000000000002</v>
      </c>
      <c r="L392">
        <v>16438.11</v>
      </c>
      <c r="M392">
        <v>4.8600000000000003</v>
      </c>
      <c r="N392">
        <v>87.48</v>
      </c>
      <c r="O392">
        <v>177</v>
      </c>
      <c r="P392" s="5">
        <v>46065</v>
      </c>
      <c r="Q392" s="5">
        <v>46069</v>
      </c>
      <c r="R392" t="s">
        <v>39</v>
      </c>
      <c r="S392" t="s">
        <v>72</v>
      </c>
    </row>
    <row r="393" spans="1:19" x14ac:dyDescent="0.25">
      <c r="A393" t="s">
        <v>485</v>
      </c>
      <c r="B393" s="5">
        <v>46200</v>
      </c>
      <c r="C393" t="s">
        <v>20</v>
      </c>
      <c r="D393" t="s">
        <v>21</v>
      </c>
      <c r="E393" t="s">
        <v>90</v>
      </c>
      <c r="F393" t="s">
        <v>91</v>
      </c>
      <c r="G393" t="s">
        <v>32</v>
      </c>
      <c r="H393">
        <v>211</v>
      </c>
      <c r="I393">
        <v>218</v>
      </c>
      <c r="J393">
        <v>1</v>
      </c>
      <c r="K393">
        <v>2.2999999999999998</v>
      </c>
      <c r="L393">
        <v>65789.78</v>
      </c>
      <c r="M393">
        <v>6.34</v>
      </c>
      <c r="N393">
        <v>126.8</v>
      </c>
      <c r="O393">
        <v>262</v>
      </c>
      <c r="P393" s="5">
        <v>46204</v>
      </c>
      <c r="Q393" s="5">
        <v>46202</v>
      </c>
      <c r="R393" t="s">
        <v>25</v>
      </c>
      <c r="S393" t="s">
        <v>86</v>
      </c>
    </row>
    <row r="394" spans="1:19" x14ac:dyDescent="0.25">
      <c r="A394" t="s">
        <v>486</v>
      </c>
      <c r="B394" s="5">
        <v>46035</v>
      </c>
      <c r="C394" t="s">
        <v>59</v>
      </c>
      <c r="D394" t="s">
        <v>49</v>
      </c>
      <c r="E394" t="s">
        <v>76</v>
      </c>
      <c r="F394" t="s">
        <v>122</v>
      </c>
      <c r="G394" t="s">
        <v>24</v>
      </c>
      <c r="H394">
        <v>215</v>
      </c>
      <c r="I394">
        <v>213</v>
      </c>
      <c r="J394">
        <v>2</v>
      </c>
      <c r="K394">
        <v>1.7</v>
      </c>
      <c r="L394">
        <v>41666.67</v>
      </c>
      <c r="M394">
        <v>6.89</v>
      </c>
      <c r="N394">
        <v>137.80000000000001</v>
      </c>
      <c r="O394">
        <v>314</v>
      </c>
      <c r="P394" s="5">
        <v>46042</v>
      </c>
      <c r="Q394" s="5">
        <v>46043</v>
      </c>
      <c r="R394" t="s">
        <v>25</v>
      </c>
      <c r="S394" t="s">
        <v>86</v>
      </c>
    </row>
    <row r="395" spans="1:19" x14ac:dyDescent="0.25">
      <c r="A395" t="s">
        <v>487</v>
      </c>
      <c r="B395" s="5">
        <v>46047</v>
      </c>
      <c r="C395" t="s">
        <v>48</v>
      </c>
      <c r="D395" t="s">
        <v>49</v>
      </c>
      <c r="E395" t="s">
        <v>50</v>
      </c>
      <c r="F395" t="s">
        <v>83</v>
      </c>
      <c r="G395" t="s">
        <v>24</v>
      </c>
      <c r="H395">
        <v>83</v>
      </c>
      <c r="I395">
        <v>64</v>
      </c>
      <c r="J395">
        <v>1</v>
      </c>
      <c r="K395">
        <v>7</v>
      </c>
      <c r="L395">
        <v>13792.85</v>
      </c>
      <c r="M395">
        <v>1.4</v>
      </c>
      <c r="N395">
        <v>28</v>
      </c>
      <c r="O395">
        <v>89</v>
      </c>
      <c r="P395" s="5">
        <v>46057</v>
      </c>
      <c r="Q395" s="5">
        <v>46057</v>
      </c>
      <c r="R395" t="s">
        <v>25</v>
      </c>
    </row>
    <row r="396" spans="1:19" x14ac:dyDescent="0.25">
      <c r="A396" t="s">
        <v>488</v>
      </c>
      <c r="B396" s="5">
        <v>46199</v>
      </c>
      <c r="C396" t="s">
        <v>20</v>
      </c>
      <c r="D396" t="s">
        <v>21</v>
      </c>
      <c r="E396" t="s">
        <v>90</v>
      </c>
      <c r="F396" t="s">
        <v>106</v>
      </c>
      <c r="G396" t="s">
        <v>32</v>
      </c>
      <c r="H396">
        <v>197</v>
      </c>
      <c r="I396">
        <v>219</v>
      </c>
      <c r="J396">
        <v>3</v>
      </c>
      <c r="K396">
        <v>1.2</v>
      </c>
      <c r="L396">
        <v>56219.38</v>
      </c>
      <c r="M396">
        <v>7.57</v>
      </c>
      <c r="N396">
        <v>151.4</v>
      </c>
      <c r="O396">
        <v>270</v>
      </c>
      <c r="P396" s="5">
        <v>46210</v>
      </c>
      <c r="Q396" s="5">
        <v>46211</v>
      </c>
      <c r="R396" t="s">
        <v>25</v>
      </c>
      <c r="S396" t="s">
        <v>33</v>
      </c>
    </row>
    <row r="397" spans="1:19" x14ac:dyDescent="0.25">
      <c r="A397" t="s">
        <v>489</v>
      </c>
      <c r="B397" s="5">
        <v>46053</v>
      </c>
      <c r="C397" t="s">
        <v>28</v>
      </c>
      <c r="D397" t="s">
        <v>29</v>
      </c>
      <c r="E397" t="s">
        <v>63</v>
      </c>
      <c r="F397" t="s">
        <v>64</v>
      </c>
      <c r="G397" t="s">
        <v>57</v>
      </c>
      <c r="H397">
        <v>299</v>
      </c>
      <c r="I397">
        <v>304</v>
      </c>
      <c r="J397">
        <v>20</v>
      </c>
      <c r="K397">
        <v>2.8</v>
      </c>
      <c r="L397">
        <v>70251.16</v>
      </c>
      <c r="M397">
        <v>8.57</v>
      </c>
      <c r="N397">
        <v>154.26</v>
      </c>
      <c r="O397">
        <v>278</v>
      </c>
      <c r="P397" s="5">
        <v>46055</v>
      </c>
      <c r="Q397" s="5">
        <v>46059</v>
      </c>
      <c r="R397" t="s">
        <v>100</v>
      </c>
      <c r="S397" t="s">
        <v>33</v>
      </c>
    </row>
    <row r="398" spans="1:19" x14ac:dyDescent="0.25">
      <c r="A398" t="s">
        <v>490</v>
      </c>
      <c r="B398" s="5">
        <v>46031</v>
      </c>
      <c r="C398" t="s">
        <v>80</v>
      </c>
      <c r="D398" t="s">
        <v>21</v>
      </c>
      <c r="E398" t="s">
        <v>90</v>
      </c>
      <c r="F398" t="s">
        <v>41</v>
      </c>
      <c r="G398" t="s">
        <v>32</v>
      </c>
      <c r="H398">
        <v>110</v>
      </c>
      <c r="I398">
        <v>122</v>
      </c>
      <c r="J398">
        <v>1</v>
      </c>
      <c r="K398">
        <v>2.7</v>
      </c>
      <c r="L398">
        <v>23905.88</v>
      </c>
      <c r="M398">
        <v>2.56</v>
      </c>
      <c r="N398">
        <v>66.56</v>
      </c>
      <c r="O398">
        <v>122</v>
      </c>
      <c r="P398" s="5">
        <v>46042</v>
      </c>
      <c r="Q398" s="5">
        <v>46042</v>
      </c>
      <c r="R398" t="s">
        <v>25</v>
      </c>
      <c r="S398" t="s">
        <v>33</v>
      </c>
    </row>
    <row r="399" spans="1:19" x14ac:dyDescent="0.25">
      <c r="A399" t="s">
        <v>491</v>
      </c>
      <c r="B399" s="5">
        <v>46046</v>
      </c>
      <c r="C399" t="s">
        <v>43</v>
      </c>
      <c r="D399" t="s">
        <v>44</v>
      </c>
      <c r="E399" t="s">
        <v>45</v>
      </c>
      <c r="F399" t="s">
        <v>31</v>
      </c>
      <c r="G399" t="s">
        <v>24</v>
      </c>
      <c r="H399">
        <v>151</v>
      </c>
      <c r="I399">
        <v>170</v>
      </c>
      <c r="J399">
        <v>6</v>
      </c>
      <c r="K399">
        <v>1.4</v>
      </c>
      <c r="L399">
        <v>21197.55</v>
      </c>
      <c r="M399">
        <v>4.05</v>
      </c>
      <c r="N399">
        <v>105.3</v>
      </c>
      <c r="O399">
        <v>128</v>
      </c>
      <c r="P399" s="5">
        <v>46049</v>
      </c>
      <c r="Q399" s="5">
        <v>46047</v>
      </c>
      <c r="R399" t="s">
        <v>39</v>
      </c>
      <c r="S399" t="s">
        <v>51</v>
      </c>
    </row>
    <row r="400" spans="1:19" x14ac:dyDescent="0.25">
      <c r="A400" t="s">
        <v>492</v>
      </c>
      <c r="B400" s="5">
        <v>46095</v>
      </c>
      <c r="C400" t="s">
        <v>43</v>
      </c>
      <c r="D400" t="s">
        <v>44</v>
      </c>
      <c r="E400" t="s">
        <v>45</v>
      </c>
      <c r="F400" t="s">
        <v>61</v>
      </c>
      <c r="G400" t="s">
        <v>32</v>
      </c>
      <c r="H400">
        <v>81</v>
      </c>
      <c r="I400">
        <v>92</v>
      </c>
      <c r="J400">
        <v>1</v>
      </c>
      <c r="K400">
        <v>1.9</v>
      </c>
      <c r="L400">
        <v>11426.05</v>
      </c>
      <c r="M400">
        <v>2.4700000000000002</v>
      </c>
      <c r="N400">
        <v>64.22</v>
      </c>
      <c r="O400">
        <v>97</v>
      </c>
      <c r="P400" s="5">
        <v>46104</v>
      </c>
      <c r="Q400" s="5">
        <v>46103</v>
      </c>
      <c r="R400" t="s">
        <v>25</v>
      </c>
      <c r="S400" t="s">
        <v>72</v>
      </c>
    </row>
    <row r="401" spans="1:19" x14ac:dyDescent="0.25">
      <c r="A401" t="s">
        <v>493</v>
      </c>
      <c r="B401" s="5">
        <v>46131</v>
      </c>
      <c r="C401" t="s">
        <v>28</v>
      </c>
      <c r="D401" t="s">
        <v>29</v>
      </c>
      <c r="E401" t="s">
        <v>30</v>
      </c>
      <c r="F401" t="s">
        <v>96</v>
      </c>
      <c r="G401" t="s">
        <v>32</v>
      </c>
      <c r="H401">
        <v>138</v>
      </c>
      <c r="I401">
        <v>123</v>
      </c>
      <c r="J401">
        <v>9</v>
      </c>
      <c r="K401">
        <v>2.8</v>
      </c>
      <c r="L401">
        <v>27919.32</v>
      </c>
      <c r="M401">
        <v>3.68</v>
      </c>
      <c r="N401">
        <v>80.959999999999994</v>
      </c>
      <c r="O401">
        <v>171</v>
      </c>
      <c r="P401" s="5">
        <v>46141</v>
      </c>
      <c r="Q401" s="5">
        <v>46139</v>
      </c>
      <c r="R401" t="s">
        <v>25</v>
      </c>
      <c r="S401" t="s">
        <v>33</v>
      </c>
    </row>
    <row r="402" spans="1:19" x14ac:dyDescent="0.25">
      <c r="A402" t="s">
        <v>494</v>
      </c>
      <c r="B402" s="5">
        <v>46121</v>
      </c>
      <c r="C402" t="s">
        <v>59</v>
      </c>
      <c r="D402" t="s">
        <v>49</v>
      </c>
      <c r="E402" t="s">
        <v>76</v>
      </c>
      <c r="F402" t="s">
        <v>244</v>
      </c>
      <c r="G402" t="s">
        <v>57</v>
      </c>
      <c r="H402">
        <v>233</v>
      </c>
      <c r="I402">
        <v>241</v>
      </c>
      <c r="J402">
        <v>16</v>
      </c>
      <c r="K402">
        <v>7.6</v>
      </c>
      <c r="L402">
        <v>36989.94</v>
      </c>
      <c r="M402">
        <v>10.039999999999999</v>
      </c>
      <c r="N402">
        <v>240.96</v>
      </c>
      <c r="O402">
        <v>241</v>
      </c>
      <c r="P402" s="5">
        <v>46124</v>
      </c>
      <c r="Q402" s="5">
        <v>46128</v>
      </c>
      <c r="R402" t="s">
        <v>25</v>
      </c>
      <c r="S402" t="s">
        <v>72</v>
      </c>
    </row>
    <row r="403" spans="1:19" x14ac:dyDescent="0.25">
      <c r="A403" t="s">
        <v>495</v>
      </c>
      <c r="B403" s="5">
        <v>46195</v>
      </c>
      <c r="C403" t="s">
        <v>20</v>
      </c>
      <c r="D403" t="s">
        <v>21</v>
      </c>
      <c r="E403" t="s">
        <v>90</v>
      </c>
      <c r="F403" t="s">
        <v>31</v>
      </c>
      <c r="G403" t="s">
        <v>24</v>
      </c>
      <c r="H403">
        <v>192</v>
      </c>
      <c r="I403">
        <v>181</v>
      </c>
      <c r="J403">
        <v>11</v>
      </c>
      <c r="K403">
        <v>1.1000000000000001</v>
      </c>
      <c r="L403">
        <v>59341.91</v>
      </c>
      <c r="M403">
        <v>7.5</v>
      </c>
      <c r="N403">
        <v>150</v>
      </c>
      <c r="O403">
        <v>168</v>
      </c>
      <c r="P403" s="5">
        <v>46202</v>
      </c>
      <c r="Q403" s="5">
        <v>46202</v>
      </c>
      <c r="R403" t="s">
        <v>25</v>
      </c>
      <c r="S403" t="s">
        <v>72</v>
      </c>
    </row>
    <row r="404" spans="1:19" x14ac:dyDescent="0.25">
      <c r="A404" t="s">
        <v>496</v>
      </c>
      <c r="B404" s="5">
        <v>46054</v>
      </c>
      <c r="C404" t="s">
        <v>28</v>
      </c>
      <c r="D404" t="s">
        <v>29</v>
      </c>
      <c r="E404" t="s">
        <v>95</v>
      </c>
      <c r="F404" t="s">
        <v>85</v>
      </c>
      <c r="G404" t="s">
        <v>32</v>
      </c>
      <c r="H404">
        <v>265</v>
      </c>
      <c r="I404">
        <v>247</v>
      </c>
      <c r="J404">
        <v>18</v>
      </c>
      <c r="K404">
        <v>6.9</v>
      </c>
      <c r="L404">
        <v>62372.83</v>
      </c>
      <c r="M404">
        <v>9.19</v>
      </c>
      <c r="N404">
        <v>220.56</v>
      </c>
      <c r="O404">
        <v>316</v>
      </c>
      <c r="P404" s="5">
        <v>46063</v>
      </c>
      <c r="Q404" s="5">
        <v>46065</v>
      </c>
      <c r="R404" t="s">
        <v>100</v>
      </c>
      <c r="S404" t="s">
        <v>51</v>
      </c>
    </row>
    <row r="405" spans="1:19" x14ac:dyDescent="0.25">
      <c r="A405" t="s">
        <v>497</v>
      </c>
      <c r="B405" s="5">
        <v>46139</v>
      </c>
      <c r="C405" t="s">
        <v>20</v>
      </c>
      <c r="D405" t="s">
        <v>21</v>
      </c>
      <c r="E405" t="s">
        <v>22</v>
      </c>
      <c r="F405" t="s">
        <v>41</v>
      </c>
      <c r="G405" t="s">
        <v>32</v>
      </c>
      <c r="H405">
        <v>144</v>
      </c>
      <c r="I405">
        <v>133</v>
      </c>
      <c r="J405">
        <v>3</v>
      </c>
      <c r="K405">
        <v>8.5</v>
      </c>
      <c r="L405">
        <v>38057.82</v>
      </c>
      <c r="M405">
        <v>5.04</v>
      </c>
      <c r="N405">
        <v>120.96</v>
      </c>
      <c r="O405">
        <v>110</v>
      </c>
      <c r="P405" s="5">
        <v>46143</v>
      </c>
      <c r="Q405" s="5">
        <v>46145</v>
      </c>
      <c r="R405" t="s">
        <v>39</v>
      </c>
      <c r="S405" t="s">
        <v>51</v>
      </c>
    </row>
    <row r="406" spans="1:19" x14ac:dyDescent="0.25">
      <c r="A406" t="s">
        <v>498</v>
      </c>
      <c r="B406" s="5">
        <v>46100</v>
      </c>
      <c r="C406" t="s">
        <v>20</v>
      </c>
      <c r="D406" t="s">
        <v>21</v>
      </c>
      <c r="E406" t="s">
        <v>22</v>
      </c>
      <c r="F406" t="s">
        <v>77</v>
      </c>
      <c r="G406" t="s">
        <v>57</v>
      </c>
      <c r="H406">
        <v>249</v>
      </c>
      <c r="I406">
        <v>259</v>
      </c>
      <c r="J406">
        <v>19</v>
      </c>
      <c r="K406">
        <v>7.1</v>
      </c>
      <c r="L406">
        <v>78126.03</v>
      </c>
      <c r="M406">
        <v>7.71</v>
      </c>
      <c r="N406">
        <v>169.62</v>
      </c>
      <c r="O406">
        <v>347</v>
      </c>
      <c r="P406" s="5">
        <v>46107</v>
      </c>
      <c r="Q406" s="5">
        <v>46105</v>
      </c>
      <c r="R406" t="s">
        <v>25</v>
      </c>
      <c r="S406" t="s">
        <v>72</v>
      </c>
    </row>
    <row r="407" spans="1:19" x14ac:dyDescent="0.25">
      <c r="A407" t="s">
        <v>499</v>
      </c>
      <c r="B407" s="5">
        <v>46138</v>
      </c>
      <c r="C407" t="s">
        <v>48</v>
      </c>
      <c r="D407" t="s">
        <v>49</v>
      </c>
      <c r="E407" t="s">
        <v>76</v>
      </c>
      <c r="F407" t="s">
        <v>119</v>
      </c>
      <c r="G407" t="s">
        <v>57</v>
      </c>
      <c r="H407">
        <v>193</v>
      </c>
      <c r="I407">
        <v>177</v>
      </c>
      <c r="J407">
        <v>1</v>
      </c>
      <c r="K407">
        <v>5</v>
      </c>
      <c r="L407">
        <v>37888.44</v>
      </c>
      <c r="M407">
        <v>6.19</v>
      </c>
      <c r="N407">
        <v>148.56</v>
      </c>
      <c r="O407">
        <v>263</v>
      </c>
      <c r="P407" s="5">
        <v>46142</v>
      </c>
      <c r="Q407" s="5">
        <v>46142</v>
      </c>
      <c r="R407" t="s">
        <v>100</v>
      </c>
      <c r="S407" t="s">
        <v>26</v>
      </c>
    </row>
    <row r="408" spans="1:19" x14ac:dyDescent="0.25">
      <c r="A408" t="s">
        <v>500</v>
      </c>
      <c r="B408" s="5">
        <v>46195</v>
      </c>
      <c r="C408" t="s">
        <v>53</v>
      </c>
      <c r="D408" t="s">
        <v>54</v>
      </c>
      <c r="E408" t="s">
        <v>131</v>
      </c>
      <c r="F408" t="s">
        <v>114</v>
      </c>
      <c r="G408" t="s">
        <v>57</v>
      </c>
      <c r="H408">
        <v>201</v>
      </c>
      <c r="I408">
        <v>193</v>
      </c>
      <c r="J408">
        <v>3</v>
      </c>
      <c r="K408">
        <v>0.5</v>
      </c>
      <c r="L408">
        <v>25840.94</v>
      </c>
      <c r="M408">
        <v>5.22</v>
      </c>
      <c r="N408">
        <v>114.84</v>
      </c>
      <c r="O408">
        <v>233</v>
      </c>
      <c r="P408" s="5">
        <v>46202</v>
      </c>
      <c r="Q408" s="5">
        <v>46200</v>
      </c>
      <c r="R408" t="s">
        <v>25</v>
      </c>
      <c r="S408" t="s">
        <v>51</v>
      </c>
    </row>
    <row r="409" spans="1:19" x14ac:dyDescent="0.25">
      <c r="A409" t="s">
        <v>501</v>
      </c>
      <c r="B409" s="5">
        <v>46116</v>
      </c>
      <c r="C409" t="s">
        <v>48</v>
      </c>
      <c r="D409" t="s">
        <v>49</v>
      </c>
      <c r="E409" t="s">
        <v>60</v>
      </c>
      <c r="F409" t="s">
        <v>23</v>
      </c>
      <c r="G409" t="s">
        <v>24</v>
      </c>
      <c r="H409">
        <v>229</v>
      </c>
      <c r="I409">
        <v>167</v>
      </c>
      <c r="J409">
        <v>14</v>
      </c>
      <c r="K409">
        <v>3.1</v>
      </c>
      <c r="L409">
        <v>27377.99</v>
      </c>
      <c r="M409">
        <v>4.4400000000000004</v>
      </c>
      <c r="N409">
        <v>97.68</v>
      </c>
      <c r="O409">
        <v>203</v>
      </c>
      <c r="P409" s="5">
        <v>46128</v>
      </c>
      <c r="Q409" s="5">
        <v>46128</v>
      </c>
      <c r="R409" t="s">
        <v>25</v>
      </c>
      <c r="S409" t="s">
        <v>86</v>
      </c>
    </row>
    <row r="410" spans="1:19" x14ac:dyDescent="0.25">
      <c r="A410" t="s">
        <v>502</v>
      </c>
      <c r="B410" s="5">
        <v>46174</v>
      </c>
      <c r="C410" t="s">
        <v>20</v>
      </c>
      <c r="D410" t="s">
        <v>21</v>
      </c>
      <c r="E410" t="s">
        <v>66</v>
      </c>
      <c r="F410" t="s">
        <v>106</v>
      </c>
      <c r="G410" t="s">
        <v>32</v>
      </c>
      <c r="H410">
        <v>96</v>
      </c>
      <c r="I410">
        <v>104</v>
      </c>
      <c r="J410">
        <v>1</v>
      </c>
      <c r="K410">
        <v>1.5</v>
      </c>
      <c r="L410">
        <v>29917.14</v>
      </c>
      <c r="M410">
        <v>3.51</v>
      </c>
      <c r="N410">
        <v>84.24</v>
      </c>
      <c r="O410">
        <v>187</v>
      </c>
      <c r="P410" s="5">
        <v>46182</v>
      </c>
      <c r="Q410" s="5">
        <v>46182</v>
      </c>
      <c r="R410" t="s">
        <v>25</v>
      </c>
      <c r="S410" t="s">
        <v>26</v>
      </c>
    </row>
    <row r="411" spans="1:19" x14ac:dyDescent="0.25">
      <c r="A411" t="s">
        <v>503</v>
      </c>
      <c r="B411" s="5">
        <v>46028</v>
      </c>
      <c r="C411" t="s">
        <v>48</v>
      </c>
      <c r="D411" t="s">
        <v>49</v>
      </c>
      <c r="E411" t="s">
        <v>76</v>
      </c>
      <c r="F411" t="s">
        <v>77</v>
      </c>
      <c r="G411" t="s">
        <v>57</v>
      </c>
      <c r="H411">
        <v>226</v>
      </c>
      <c r="I411">
        <v>200</v>
      </c>
      <c r="J411">
        <v>11</v>
      </c>
      <c r="K411">
        <v>7.3</v>
      </c>
      <c r="L411">
        <v>35850.51</v>
      </c>
      <c r="M411">
        <v>5.21</v>
      </c>
      <c r="N411">
        <v>135.46</v>
      </c>
      <c r="O411">
        <v>272</v>
      </c>
      <c r="P411" s="5">
        <v>46032</v>
      </c>
      <c r="Q411" s="5">
        <v>46032</v>
      </c>
      <c r="R411" t="s">
        <v>25</v>
      </c>
      <c r="S411" t="s">
        <v>72</v>
      </c>
    </row>
    <row r="412" spans="1:19" x14ac:dyDescent="0.25">
      <c r="A412" t="s">
        <v>504</v>
      </c>
      <c r="B412" s="5">
        <v>46185</v>
      </c>
      <c r="C412" t="s">
        <v>20</v>
      </c>
      <c r="D412" t="s">
        <v>21</v>
      </c>
      <c r="E412" t="s">
        <v>66</v>
      </c>
      <c r="F412" t="s">
        <v>88</v>
      </c>
      <c r="G412" t="s">
        <v>24</v>
      </c>
      <c r="H412">
        <v>134</v>
      </c>
      <c r="I412">
        <v>113</v>
      </c>
      <c r="J412">
        <v>1</v>
      </c>
      <c r="K412">
        <v>9</v>
      </c>
      <c r="L412">
        <v>32713.53</v>
      </c>
      <c r="M412">
        <v>4.05</v>
      </c>
      <c r="N412">
        <v>72.900000000000006</v>
      </c>
      <c r="O412">
        <v>118</v>
      </c>
      <c r="P412" s="5">
        <v>46196</v>
      </c>
      <c r="Q412" s="5">
        <v>46197</v>
      </c>
      <c r="R412" t="s">
        <v>25</v>
      </c>
      <c r="S412" t="s">
        <v>26</v>
      </c>
    </row>
    <row r="413" spans="1:19" x14ac:dyDescent="0.25">
      <c r="A413" t="s">
        <v>505</v>
      </c>
      <c r="B413" s="5">
        <v>46144</v>
      </c>
      <c r="C413" t="s">
        <v>35</v>
      </c>
      <c r="D413" t="s">
        <v>36</v>
      </c>
      <c r="E413" t="s">
        <v>37</v>
      </c>
      <c r="F413" t="s">
        <v>85</v>
      </c>
      <c r="G413" t="s">
        <v>32</v>
      </c>
      <c r="H413">
        <v>168</v>
      </c>
      <c r="I413">
        <v>178</v>
      </c>
      <c r="J413">
        <v>11</v>
      </c>
      <c r="K413">
        <v>2.7</v>
      </c>
      <c r="L413">
        <v>17857.150000000001</v>
      </c>
      <c r="M413">
        <v>5.51</v>
      </c>
      <c r="N413">
        <v>110.2</v>
      </c>
      <c r="O413">
        <v>234</v>
      </c>
      <c r="P413" s="5">
        <v>46152</v>
      </c>
      <c r="Q413" s="5">
        <v>46152</v>
      </c>
      <c r="R413" t="s">
        <v>39</v>
      </c>
      <c r="S413" t="s">
        <v>26</v>
      </c>
    </row>
    <row r="414" spans="1:19" x14ac:dyDescent="0.25">
      <c r="A414" t="s">
        <v>506</v>
      </c>
      <c r="B414" s="5">
        <v>46069</v>
      </c>
      <c r="C414" t="s">
        <v>80</v>
      </c>
      <c r="D414" t="s">
        <v>21</v>
      </c>
      <c r="E414" t="s">
        <v>66</v>
      </c>
      <c r="F414" t="s">
        <v>112</v>
      </c>
      <c r="G414" t="s">
        <v>24</v>
      </c>
      <c r="H414">
        <v>260</v>
      </c>
      <c r="I414">
        <v>244</v>
      </c>
      <c r="J414">
        <v>5</v>
      </c>
      <c r="K414">
        <v>4.5</v>
      </c>
      <c r="L414">
        <v>74811.67</v>
      </c>
      <c r="M414">
        <v>9.89</v>
      </c>
      <c r="N414">
        <v>217.58</v>
      </c>
      <c r="O414">
        <v>356</v>
      </c>
      <c r="P414" s="5">
        <v>46080</v>
      </c>
      <c r="Q414" s="5">
        <v>46082</v>
      </c>
      <c r="R414" t="s">
        <v>39</v>
      </c>
      <c r="S414" t="s">
        <v>33</v>
      </c>
    </row>
    <row r="415" spans="1:19" x14ac:dyDescent="0.25">
      <c r="A415" t="s">
        <v>507</v>
      </c>
      <c r="B415" s="5">
        <v>46156</v>
      </c>
      <c r="C415" t="s">
        <v>28</v>
      </c>
      <c r="D415" t="s">
        <v>29</v>
      </c>
      <c r="E415" t="s">
        <v>95</v>
      </c>
      <c r="F415" t="s">
        <v>110</v>
      </c>
      <c r="G415" t="s">
        <v>57</v>
      </c>
      <c r="H415">
        <v>198</v>
      </c>
      <c r="I415">
        <v>155</v>
      </c>
      <c r="J415">
        <v>2</v>
      </c>
      <c r="K415">
        <v>6.2</v>
      </c>
      <c r="L415">
        <v>32316.51</v>
      </c>
      <c r="M415">
        <v>3.98</v>
      </c>
      <c r="N415">
        <v>71.64</v>
      </c>
      <c r="O415">
        <v>210</v>
      </c>
      <c r="P415" s="5">
        <v>46164</v>
      </c>
      <c r="Q415" s="5">
        <v>46164</v>
      </c>
      <c r="R415" t="s">
        <v>25</v>
      </c>
      <c r="S415" t="s">
        <v>86</v>
      </c>
    </row>
    <row r="416" spans="1:19" x14ac:dyDescent="0.25">
      <c r="A416" t="s">
        <v>508</v>
      </c>
      <c r="B416" s="5">
        <v>46198</v>
      </c>
      <c r="C416" t="s">
        <v>28</v>
      </c>
      <c r="D416" t="s">
        <v>29</v>
      </c>
      <c r="E416" t="s">
        <v>95</v>
      </c>
      <c r="F416" t="s">
        <v>244</v>
      </c>
      <c r="G416" t="s">
        <v>32</v>
      </c>
      <c r="H416">
        <v>141</v>
      </c>
      <c r="I416">
        <v>108</v>
      </c>
      <c r="J416">
        <v>2</v>
      </c>
      <c r="K416">
        <v>2.2000000000000002</v>
      </c>
      <c r="L416">
        <v>27332.400000000001</v>
      </c>
      <c r="M416">
        <v>3.4</v>
      </c>
      <c r="N416">
        <v>81.599999999999994</v>
      </c>
      <c r="O416">
        <v>209</v>
      </c>
      <c r="P416" s="5">
        <v>46210</v>
      </c>
      <c r="Q416" s="5">
        <v>46208</v>
      </c>
      <c r="R416" t="s">
        <v>25</v>
      </c>
      <c r="S416" t="s">
        <v>51</v>
      </c>
    </row>
    <row r="417" spans="1:19" x14ac:dyDescent="0.25">
      <c r="A417" t="s">
        <v>509</v>
      </c>
      <c r="B417" s="5">
        <v>46030</v>
      </c>
      <c r="C417" t="s">
        <v>59</v>
      </c>
      <c r="D417" t="s">
        <v>49</v>
      </c>
      <c r="E417" t="s">
        <v>76</v>
      </c>
      <c r="F417" t="s">
        <v>38</v>
      </c>
      <c r="G417" t="s">
        <v>32</v>
      </c>
      <c r="H417">
        <v>248</v>
      </c>
      <c r="I417">
        <v>237</v>
      </c>
      <c r="J417">
        <v>14</v>
      </c>
      <c r="K417">
        <v>0.4</v>
      </c>
      <c r="L417">
        <v>48078.3</v>
      </c>
      <c r="M417">
        <v>4.58</v>
      </c>
      <c r="N417">
        <v>82.44</v>
      </c>
      <c r="O417">
        <v>288</v>
      </c>
      <c r="P417" s="5">
        <v>46041</v>
      </c>
      <c r="Q417" s="5">
        <v>46041</v>
      </c>
      <c r="R417" t="s">
        <v>25</v>
      </c>
      <c r="S417" t="s">
        <v>86</v>
      </c>
    </row>
    <row r="418" spans="1:19" x14ac:dyDescent="0.25">
      <c r="A418" t="s">
        <v>510</v>
      </c>
      <c r="B418" s="5">
        <v>46194</v>
      </c>
      <c r="C418" t="s">
        <v>20</v>
      </c>
      <c r="D418" t="s">
        <v>21</v>
      </c>
      <c r="E418" t="s">
        <v>90</v>
      </c>
      <c r="F418" t="s">
        <v>23</v>
      </c>
      <c r="G418" t="s">
        <v>24</v>
      </c>
      <c r="H418">
        <v>294</v>
      </c>
      <c r="I418">
        <v>303</v>
      </c>
      <c r="J418">
        <v>5</v>
      </c>
      <c r="K418">
        <v>1</v>
      </c>
      <c r="L418">
        <v>118743.01</v>
      </c>
      <c r="M418">
        <v>9.25</v>
      </c>
      <c r="N418">
        <v>240.5</v>
      </c>
      <c r="O418">
        <v>388</v>
      </c>
      <c r="P418" s="5">
        <v>46200</v>
      </c>
      <c r="Q418" s="5">
        <v>46204</v>
      </c>
      <c r="R418" t="s">
        <v>25</v>
      </c>
      <c r="S418" t="s">
        <v>33</v>
      </c>
    </row>
    <row r="419" spans="1:19" x14ac:dyDescent="0.25">
      <c r="A419" t="s">
        <v>511</v>
      </c>
      <c r="B419" s="5">
        <v>46103</v>
      </c>
      <c r="C419" t="s">
        <v>48</v>
      </c>
      <c r="D419" t="s">
        <v>49</v>
      </c>
      <c r="E419" t="s">
        <v>60</v>
      </c>
      <c r="F419" t="s">
        <v>64</v>
      </c>
      <c r="G419" t="s">
        <v>32</v>
      </c>
      <c r="H419">
        <v>268</v>
      </c>
      <c r="I419">
        <v>237</v>
      </c>
      <c r="J419">
        <v>17</v>
      </c>
      <c r="K419">
        <v>2.1</v>
      </c>
      <c r="L419">
        <v>41700.36</v>
      </c>
      <c r="M419">
        <v>5.26</v>
      </c>
      <c r="N419">
        <v>115.72</v>
      </c>
      <c r="O419">
        <v>340</v>
      </c>
      <c r="P419" s="5">
        <v>46111</v>
      </c>
      <c r="Q419" s="5">
        <v>46111</v>
      </c>
      <c r="R419" t="s">
        <v>39</v>
      </c>
      <c r="S419" t="s">
        <v>26</v>
      </c>
    </row>
    <row r="420" spans="1:19" x14ac:dyDescent="0.25">
      <c r="A420" t="s">
        <v>512</v>
      </c>
      <c r="B420" s="5">
        <v>46118</v>
      </c>
      <c r="C420" t="s">
        <v>20</v>
      </c>
      <c r="D420" t="s">
        <v>21</v>
      </c>
      <c r="E420" t="s">
        <v>90</v>
      </c>
      <c r="F420" t="s">
        <v>106</v>
      </c>
      <c r="G420" t="s">
        <v>24</v>
      </c>
      <c r="H420">
        <v>219</v>
      </c>
      <c r="I420">
        <v>197</v>
      </c>
      <c r="J420">
        <v>13</v>
      </c>
      <c r="K420">
        <v>8.6999999999999993</v>
      </c>
      <c r="L420">
        <v>80995.990000000005</v>
      </c>
      <c r="M420">
        <v>5.26</v>
      </c>
      <c r="N420">
        <v>115.72</v>
      </c>
      <c r="O420">
        <v>257</v>
      </c>
      <c r="P420" s="5">
        <v>46120</v>
      </c>
      <c r="Q420" s="5">
        <v>46118</v>
      </c>
      <c r="R420" t="s">
        <v>25</v>
      </c>
      <c r="S420" t="s">
        <v>51</v>
      </c>
    </row>
    <row r="421" spans="1:19" x14ac:dyDescent="0.25">
      <c r="A421" t="s">
        <v>513</v>
      </c>
      <c r="B421" s="5">
        <v>46087</v>
      </c>
      <c r="C421" t="s">
        <v>35</v>
      </c>
      <c r="D421" t="s">
        <v>36</v>
      </c>
      <c r="E421" t="s">
        <v>69</v>
      </c>
      <c r="F421" t="s">
        <v>88</v>
      </c>
      <c r="G421" t="s">
        <v>57</v>
      </c>
      <c r="H421">
        <v>243</v>
      </c>
      <c r="I421">
        <v>275</v>
      </c>
      <c r="J421">
        <v>10</v>
      </c>
      <c r="K421">
        <v>7.3</v>
      </c>
      <c r="L421">
        <v>24024.52</v>
      </c>
      <c r="M421">
        <v>10.61</v>
      </c>
      <c r="N421">
        <v>254.64</v>
      </c>
      <c r="O421">
        <v>205</v>
      </c>
      <c r="P421" s="5">
        <v>46095</v>
      </c>
      <c r="Q421" s="5">
        <v>46095</v>
      </c>
      <c r="R421" t="s">
        <v>25</v>
      </c>
      <c r="S421" t="s">
        <v>86</v>
      </c>
    </row>
    <row r="422" spans="1:19" x14ac:dyDescent="0.25">
      <c r="A422" t="s">
        <v>514</v>
      </c>
      <c r="B422" s="5">
        <v>46076</v>
      </c>
      <c r="C422" t="s">
        <v>43</v>
      </c>
      <c r="D422" t="s">
        <v>44</v>
      </c>
      <c r="E422" t="s">
        <v>161</v>
      </c>
      <c r="F422" t="s">
        <v>38</v>
      </c>
      <c r="G422" t="s">
        <v>57</v>
      </c>
      <c r="H422">
        <v>241</v>
      </c>
      <c r="I422">
        <v>206</v>
      </c>
      <c r="J422">
        <v>16</v>
      </c>
      <c r="K422">
        <v>5.8</v>
      </c>
      <c r="L422">
        <v>25103.94</v>
      </c>
      <c r="M422">
        <v>4.0999999999999996</v>
      </c>
      <c r="N422">
        <v>98.4</v>
      </c>
      <c r="O422">
        <v>321</v>
      </c>
      <c r="P422" s="5">
        <v>46084</v>
      </c>
      <c r="Q422" s="5">
        <v>46085</v>
      </c>
      <c r="R422" t="s">
        <v>100</v>
      </c>
      <c r="S422" t="s">
        <v>51</v>
      </c>
    </row>
    <row r="423" spans="1:19" x14ac:dyDescent="0.25">
      <c r="A423" t="s">
        <v>515</v>
      </c>
      <c r="B423" s="5">
        <v>46201</v>
      </c>
      <c r="C423" t="s">
        <v>59</v>
      </c>
      <c r="D423" t="s">
        <v>49</v>
      </c>
      <c r="E423" t="s">
        <v>60</v>
      </c>
      <c r="F423" t="s">
        <v>135</v>
      </c>
      <c r="G423" t="s">
        <v>32</v>
      </c>
      <c r="H423">
        <v>96</v>
      </c>
      <c r="I423">
        <v>83</v>
      </c>
      <c r="J423">
        <v>4</v>
      </c>
      <c r="K423">
        <v>7.3</v>
      </c>
      <c r="L423">
        <v>15537.71</v>
      </c>
      <c r="M423">
        <v>1.55</v>
      </c>
      <c r="N423">
        <v>27.9</v>
      </c>
      <c r="O423">
        <v>103</v>
      </c>
      <c r="P423" s="5">
        <v>46213</v>
      </c>
      <c r="Q423" s="5">
        <v>46217</v>
      </c>
      <c r="R423" t="s">
        <v>25</v>
      </c>
      <c r="S423" t="s">
        <v>51</v>
      </c>
    </row>
    <row r="424" spans="1:19" x14ac:dyDescent="0.25">
      <c r="A424" t="s">
        <v>516</v>
      </c>
      <c r="B424" s="5">
        <v>46183</v>
      </c>
      <c r="C424" t="s">
        <v>59</v>
      </c>
      <c r="D424" t="s">
        <v>49</v>
      </c>
      <c r="E424" t="s">
        <v>76</v>
      </c>
      <c r="F424" t="s">
        <v>56</v>
      </c>
      <c r="G424" t="s">
        <v>24</v>
      </c>
      <c r="H424">
        <v>227</v>
      </c>
      <c r="I424">
        <v>171</v>
      </c>
      <c r="J424">
        <v>3</v>
      </c>
      <c r="K424">
        <v>4.5999999999999996</v>
      </c>
      <c r="L424">
        <v>37999.69</v>
      </c>
      <c r="M424">
        <v>6.21</v>
      </c>
      <c r="N424">
        <v>161.46</v>
      </c>
      <c r="O424">
        <v>292</v>
      </c>
      <c r="P424" s="5">
        <v>46190</v>
      </c>
      <c r="Q424" s="5">
        <v>46194</v>
      </c>
      <c r="R424" t="s">
        <v>100</v>
      </c>
      <c r="S424" t="s">
        <v>51</v>
      </c>
    </row>
    <row r="425" spans="1:19" x14ac:dyDescent="0.25">
      <c r="A425" t="s">
        <v>517</v>
      </c>
      <c r="B425" s="5">
        <v>46089</v>
      </c>
      <c r="C425" t="s">
        <v>43</v>
      </c>
      <c r="D425" t="s">
        <v>44</v>
      </c>
      <c r="E425" t="s">
        <v>45</v>
      </c>
      <c r="F425" t="s">
        <v>110</v>
      </c>
      <c r="G425" t="s">
        <v>24</v>
      </c>
      <c r="H425">
        <v>231</v>
      </c>
      <c r="I425">
        <v>248</v>
      </c>
      <c r="J425">
        <v>19</v>
      </c>
      <c r="K425">
        <v>1.8</v>
      </c>
      <c r="L425">
        <v>25832.26</v>
      </c>
      <c r="M425">
        <v>9.68</v>
      </c>
      <c r="N425">
        <v>251.68</v>
      </c>
      <c r="O425">
        <v>248</v>
      </c>
      <c r="P425" s="5">
        <v>46091</v>
      </c>
      <c r="Q425" s="5">
        <v>46089</v>
      </c>
      <c r="R425" t="s">
        <v>39</v>
      </c>
      <c r="S425" t="s">
        <v>51</v>
      </c>
    </row>
    <row r="426" spans="1:19" x14ac:dyDescent="0.25">
      <c r="A426" t="s">
        <v>518</v>
      </c>
      <c r="B426" s="5">
        <v>46045</v>
      </c>
      <c r="C426" t="s">
        <v>53</v>
      </c>
      <c r="D426" t="s">
        <v>54</v>
      </c>
      <c r="E426" t="s">
        <v>55</v>
      </c>
      <c r="F426" t="s">
        <v>106</v>
      </c>
      <c r="G426" t="s">
        <v>24</v>
      </c>
      <c r="H426">
        <v>147</v>
      </c>
      <c r="I426">
        <v>150</v>
      </c>
      <c r="J426">
        <v>3</v>
      </c>
      <c r="K426">
        <v>3.6</v>
      </c>
      <c r="L426">
        <v>19541.849999999999</v>
      </c>
      <c r="M426">
        <v>3.02</v>
      </c>
      <c r="N426">
        <v>66.44</v>
      </c>
      <c r="O426">
        <v>150</v>
      </c>
      <c r="P426" s="5">
        <v>46056</v>
      </c>
      <c r="Q426" s="5">
        <v>46055</v>
      </c>
      <c r="R426" t="s">
        <v>25</v>
      </c>
      <c r="S426" t="s">
        <v>72</v>
      </c>
    </row>
    <row r="427" spans="1:19" x14ac:dyDescent="0.25">
      <c r="A427" t="s">
        <v>519</v>
      </c>
      <c r="B427" s="5">
        <v>46139</v>
      </c>
      <c r="C427" t="s">
        <v>53</v>
      </c>
      <c r="D427" t="s">
        <v>54</v>
      </c>
      <c r="E427" t="s">
        <v>55</v>
      </c>
      <c r="F427" t="s">
        <v>112</v>
      </c>
      <c r="G427" t="s">
        <v>24</v>
      </c>
      <c r="H427">
        <v>137</v>
      </c>
      <c r="I427">
        <v>140</v>
      </c>
      <c r="J427">
        <v>3</v>
      </c>
      <c r="K427">
        <v>7.8</v>
      </c>
      <c r="L427">
        <v>20783.25</v>
      </c>
      <c r="M427">
        <v>4.18</v>
      </c>
      <c r="N427">
        <v>83.6</v>
      </c>
      <c r="O427">
        <v>207</v>
      </c>
      <c r="P427" s="5">
        <v>46144</v>
      </c>
      <c r="Q427" s="5">
        <v>46144</v>
      </c>
      <c r="R427" t="s">
        <v>25</v>
      </c>
      <c r="S427" t="s">
        <v>51</v>
      </c>
    </row>
    <row r="428" spans="1:19" x14ac:dyDescent="0.25">
      <c r="A428" t="s">
        <v>520</v>
      </c>
      <c r="B428" s="5">
        <v>46130</v>
      </c>
      <c r="C428" t="s">
        <v>43</v>
      </c>
      <c r="D428" t="s">
        <v>44</v>
      </c>
      <c r="E428" t="s">
        <v>161</v>
      </c>
      <c r="F428" t="s">
        <v>56</v>
      </c>
      <c r="G428" t="s">
        <v>32</v>
      </c>
      <c r="H428">
        <v>282</v>
      </c>
      <c r="I428">
        <v>220</v>
      </c>
      <c r="J428">
        <v>6</v>
      </c>
      <c r="K428">
        <v>2.4</v>
      </c>
      <c r="L428">
        <v>29877.1</v>
      </c>
      <c r="M428">
        <v>5.91</v>
      </c>
      <c r="N428">
        <v>141.84</v>
      </c>
      <c r="O428">
        <v>263</v>
      </c>
      <c r="P428" s="5">
        <v>46132</v>
      </c>
      <c r="Q428" s="5">
        <v>46136</v>
      </c>
      <c r="R428" t="s">
        <v>25</v>
      </c>
      <c r="S428" t="s">
        <v>72</v>
      </c>
    </row>
    <row r="429" spans="1:19" x14ac:dyDescent="0.25">
      <c r="A429" t="s">
        <v>521</v>
      </c>
      <c r="B429" s="5">
        <v>46198</v>
      </c>
      <c r="C429" t="s">
        <v>28</v>
      </c>
      <c r="D429" t="s">
        <v>29</v>
      </c>
      <c r="E429" t="s">
        <v>30</v>
      </c>
      <c r="F429" t="s">
        <v>122</v>
      </c>
      <c r="G429" t="s">
        <v>24</v>
      </c>
      <c r="H429">
        <v>178</v>
      </c>
      <c r="I429">
        <v>182</v>
      </c>
      <c r="J429">
        <v>12</v>
      </c>
      <c r="K429">
        <v>2.2999999999999998</v>
      </c>
      <c r="L429">
        <v>31344.639999999999</v>
      </c>
      <c r="M429">
        <v>4.7300000000000004</v>
      </c>
      <c r="N429">
        <v>94.6</v>
      </c>
      <c r="O429">
        <v>258</v>
      </c>
      <c r="P429" s="5">
        <v>46205</v>
      </c>
      <c r="Q429" s="5">
        <v>46203</v>
      </c>
      <c r="R429" t="s">
        <v>25</v>
      </c>
      <c r="S429" t="s">
        <v>26</v>
      </c>
    </row>
    <row r="430" spans="1:19" x14ac:dyDescent="0.25">
      <c r="A430" t="s">
        <v>522</v>
      </c>
      <c r="B430" s="5">
        <v>46120</v>
      </c>
      <c r="C430" t="s">
        <v>59</v>
      </c>
      <c r="D430" t="s">
        <v>49</v>
      </c>
      <c r="E430" t="s">
        <v>76</v>
      </c>
      <c r="F430" t="s">
        <v>106</v>
      </c>
      <c r="G430" t="s">
        <v>24</v>
      </c>
      <c r="H430">
        <v>251</v>
      </c>
      <c r="I430">
        <v>220</v>
      </c>
      <c r="J430">
        <v>20</v>
      </c>
      <c r="K430">
        <v>5</v>
      </c>
      <c r="L430">
        <v>36993.82</v>
      </c>
      <c r="M430">
        <v>6.62</v>
      </c>
      <c r="N430">
        <v>145.63999999999999</v>
      </c>
      <c r="O430">
        <v>330</v>
      </c>
      <c r="P430" s="5">
        <v>46124</v>
      </c>
      <c r="Q430" s="5">
        <v>46123</v>
      </c>
      <c r="R430" t="s">
        <v>25</v>
      </c>
      <c r="S430" t="s">
        <v>72</v>
      </c>
    </row>
    <row r="431" spans="1:19" x14ac:dyDescent="0.25">
      <c r="A431" t="s">
        <v>523</v>
      </c>
      <c r="B431" s="5">
        <v>46059</v>
      </c>
      <c r="C431" t="s">
        <v>59</v>
      </c>
      <c r="D431" t="s">
        <v>49</v>
      </c>
      <c r="E431" t="s">
        <v>50</v>
      </c>
      <c r="F431" t="s">
        <v>96</v>
      </c>
      <c r="G431" t="s">
        <v>32</v>
      </c>
      <c r="H431">
        <v>160</v>
      </c>
      <c r="I431">
        <v>118</v>
      </c>
      <c r="J431">
        <v>1</v>
      </c>
      <c r="K431">
        <v>7.8</v>
      </c>
      <c r="L431">
        <v>24621.25</v>
      </c>
      <c r="M431">
        <v>4.75</v>
      </c>
      <c r="N431">
        <v>104.5</v>
      </c>
      <c r="O431">
        <v>187</v>
      </c>
      <c r="P431" s="5">
        <v>46070</v>
      </c>
      <c r="Q431" s="5">
        <v>46070</v>
      </c>
      <c r="R431" t="s">
        <v>39</v>
      </c>
      <c r="S431" t="s">
        <v>51</v>
      </c>
    </row>
    <row r="432" spans="1:19" x14ac:dyDescent="0.25">
      <c r="A432" t="s">
        <v>524</v>
      </c>
      <c r="B432" s="5">
        <v>46103</v>
      </c>
      <c r="C432" t="s">
        <v>53</v>
      </c>
      <c r="D432" t="s">
        <v>54</v>
      </c>
      <c r="E432" t="s">
        <v>55</v>
      </c>
      <c r="F432" t="s">
        <v>77</v>
      </c>
      <c r="G432" t="s">
        <v>57</v>
      </c>
      <c r="H432">
        <v>222</v>
      </c>
      <c r="I432">
        <v>241</v>
      </c>
      <c r="J432">
        <v>15</v>
      </c>
      <c r="K432">
        <v>7.2</v>
      </c>
      <c r="L432">
        <v>26176.57</v>
      </c>
      <c r="M432">
        <v>5.67</v>
      </c>
      <c r="N432">
        <v>102.06</v>
      </c>
      <c r="O432">
        <v>302</v>
      </c>
      <c r="P432" s="5">
        <v>46109</v>
      </c>
      <c r="Q432" s="5">
        <v>46109</v>
      </c>
      <c r="R432" t="s">
        <v>100</v>
      </c>
      <c r="S432" t="s">
        <v>72</v>
      </c>
    </row>
    <row r="433" spans="1:19" x14ac:dyDescent="0.25">
      <c r="A433" t="s">
        <v>525</v>
      </c>
      <c r="B433" s="5">
        <v>46033</v>
      </c>
      <c r="C433" t="s">
        <v>53</v>
      </c>
      <c r="D433" t="s">
        <v>54</v>
      </c>
      <c r="E433" t="s">
        <v>131</v>
      </c>
      <c r="F433" t="s">
        <v>61</v>
      </c>
      <c r="G433" t="s">
        <v>32</v>
      </c>
      <c r="H433">
        <v>261</v>
      </c>
      <c r="I433">
        <v>250</v>
      </c>
      <c r="J433">
        <v>11</v>
      </c>
      <c r="K433">
        <v>1</v>
      </c>
      <c r="L433">
        <v>34912.89</v>
      </c>
      <c r="M433">
        <v>6.6</v>
      </c>
      <c r="N433">
        <v>132</v>
      </c>
      <c r="O433">
        <v>293</v>
      </c>
      <c r="P433" s="5">
        <v>46037</v>
      </c>
      <c r="Q433" s="5">
        <v>46037</v>
      </c>
      <c r="R433" t="s">
        <v>39</v>
      </c>
      <c r="S433" t="s">
        <v>26</v>
      </c>
    </row>
    <row r="434" spans="1:19" x14ac:dyDescent="0.25">
      <c r="A434" t="s">
        <v>526</v>
      </c>
      <c r="B434" s="5">
        <v>46192</v>
      </c>
      <c r="C434" t="s">
        <v>28</v>
      </c>
      <c r="D434" t="s">
        <v>29</v>
      </c>
      <c r="E434" t="s">
        <v>30</v>
      </c>
      <c r="F434" t="s">
        <v>91</v>
      </c>
      <c r="G434" t="s">
        <v>24</v>
      </c>
      <c r="H434">
        <v>81</v>
      </c>
      <c r="I434">
        <v>76</v>
      </c>
      <c r="J434">
        <v>4</v>
      </c>
      <c r="K434">
        <v>3.7</v>
      </c>
      <c r="L434">
        <v>15784.55</v>
      </c>
      <c r="M434">
        <v>2.6</v>
      </c>
      <c r="N434">
        <v>57.2</v>
      </c>
      <c r="O434">
        <v>56</v>
      </c>
      <c r="P434" s="5">
        <v>46198</v>
      </c>
      <c r="Q434" s="5">
        <v>46197</v>
      </c>
      <c r="R434" t="s">
        <v>100</v>
      </c>
      <c r="S434" t="s">
        <v>33</v>
      </c>
    </row>
    <row r="435" spans="1:19" x14ac:dyDescent="0.25">
      <c r="A435" t="s">
        <v>527</v>
      </c>
      <c r="B435" s="5">
        <v>46105</v>
      </c>
      <c r="C435" t="s">
        <v>43</v>
      </c>
      <c r="D435" t="s">
        <v>44</v>
      </c>
      <c r="E435" t="s">
        <v>93</v>
      </c>
      <c r="F435" t="s">
        <v>112</v>
      </c>
      <c r="G435" t="s">
        <v>24</v>
      </c>
      <c r="H435">
        <v>100</v>
      </c>
      <c r="I435">
        <v>91</v>
      </c>
      <c r="J435">
        <v>6</v>
      </c>
      <c r="K435">
        <v>4.3</v>
      </c>
      <c r="L435">
        <v>10493.5</v>
      </c>
      <c r="M435">
        <v>3.08</v>
      </c>
      <c r="N435">
        <v>67.760000000000005</v>
      </c>
      <c r="O435">
        <v>71</v>
      </c>
      <c r="P435" s="5">
        <v>46117</v>
      </c>
      <c r="Q435" s="5">
        <v>46121</v>
      </c>
      <c r="R435" t="s">
        <v>25</v>
      </c>
      <c r="S435" t="s">
        <v>26</v>
      </c>
    </row>
    <row r="436" spans="1:19" x14ac:dyDescent="0.25">
      <c r="A436" t="s">
        <v>528</v>
      </c>
      <c r="B436" s="5">
        <v>46056</v>
      </c>
      <c r="C436" t="s">
        <v>28</v>
      </c>
      <c r="D436" t="s">
        <v>29</v>
      </c>
      <c r="E436" t="s">
        <v>63</v>
      </c>
      <c r="F436" t="s">
        <v>88</v>
      </c>
      <c r="G436" t="s">
        <v>57</v>
      </c>
      <c r="H436">
        <v>285</v>
      </c>
      <c r="I436">
        <v>284</v>
      </c>
      <c r="J436">
        <v>9</v>
      </c>
      <c r="K436">
        <v>0.5</v>
      </c>
      <c r="L436">
        <v>61529.91</v>
      </c>
      <c r="M436">
        <v>7.71</v>
      </c>
      <c r="N436">
        <v>185.04</v>
      </c>
      <c r="O436">
        <v>310</v>
      </c>
      <c r="P436" s="5">
        <v>46060</v>
      </c>
      <c r="Q436" s="5">
        <v>46060</v>
      </c>
      <c r="R436" t="s">
        <v>100</v>
      </c>
      <c r="S436" t="s">
        <v>51</v>
      </c>
    </row>
    <row r="437" spans="1:19" x14ac:dyDescent="0.25">
      <c r="A437" t="s">
        <v>529</v>
      </c>
      <c r="B437" s="5">
        <v>46064</v>
      </c>
      <c r="C437" t="s">
        <v>35</v>
      </c>
      <c r="D437" t="s">
        <v>36</v>
      </c>
      <c r="E437" t="s">
        <v>69</v>
      </c>
      <c r="F437" t="s">
        <v>85</v>
      </c>
      <c r="G437" t="s">
        <v>57</v>
      </c>
      <c r="H437">
        <v>152</v>
      </c>
      <c r="I437">
        <v>151</v>
      </c>
      <c r="J437">
        <v>13</v>
      </c>
      <c r="K437">
        <v>1.4</v>
      </c>
      <c r="L437">
        <v>13934.47</v>
      </c>
      <c r="M437">
        <v>5.38</v>
      </c>
      <c r="N437">
        <v>118.36</v>
      </c>
      <c r="O437">
        <v>145</v>
      </c>
      <c r="P437" s="5">
        <v>46071</v>
      </c>
      <c r="Q437" s="5">
        <v>46070</v>
      </c>
      <c r="R437" t="s">
        <v>25</v>
      </c>
      <c r="S437" t="s">
        <v>72</v>
      </c>
    </row>
    <row r="438" spans="1:19" x14ac:dyDescent="0.25">
      <c r="A438" t="s">
        <v>530</v>
      </c>
      <c r="B438" s="5">
        <v>46137</v>
      </c>
      <c r="C438" t="s">
        <v>35</v>
      </c>
      <c r="D438" t="s">
        <v>36</v>
      </c>
      <c r="E438" t="s">
        <v>69</v>
      </c>
      <c r="F438" t="s">
        <v>41</v>
      </c>
      <c r="G438" t="s">
        <v>57</v>
      </c>
      <c r="H438">
        <v>148</v>
      </c>
      <c r="I438">
        <v>142</v>
      </c>
      <c r="J438">
        <v>6</v>
      </c>
      <c r="K438">
        <v>6.8</v>
      </c>
      <c r="L438">
        <v>14981.66</v>
      </c>
      <c r="M438">
        <v>4.04</v>
      </c>
      <c r="N438">
        <v>96.96</v>
      </c>
      <c r="O438">
        <v>131</v>
      </c>
      <c r="P438" s="5">
        <v>46139</v>
      </c>
      <c r="Q438" s="5">
        <v>46140</v>
      </c>
      <c r="R438" t="s">
        <v>100</v>
      </c>
      <c r="S438" t="s">
        <v>51</v>
      </c>
    </row>
    <row r="439" spans="1:19" x14ac:dyDescent="0.25">
      <c r="A439" t="s">
        <v>531</v>
      </c>
      <c r="B439" s="5">
        <v>46149</v>
      </c>
      <c r="C439" t="s">
        <v>20</v>
      </c>
      <c r="D439" t="s">
        <v>21</v>
      </c>
      <c r="E439" t="s">
        <v>90</v>
      </c>
      <c r="F439" t="s">
        <v>64</v>
      </c>
      <c r="G439" t="s">
        <v>24</v>
      </c>
      <c r="H439">
        <v>199</v>
      </c>
      <c r="I439">
        <v>180</v>
      </c>
      <c r="J439">
        <v>15</v>
      </c>
      <c r="K439">
        <v>4.3</v>
      </c>
      <c r="L439">
        <v>45844.94</v>
      </c>
      <c r="M439">
        <v>7.14</v>
      </c>
      <c r="N439">
        <v>142.80000000000001</v>
      </c>
      <c r="O439">
        <v>292</v>
      </c>
      <c r="P439" s="5">
        <v>46157</v>
      </c>
      <c r="Q439" s="5">
        <v>46157</v>
      </c>
      <c r="R439" t="s">
        <v>39</v>
      </c>
      <c r="S439" t="s">
        <v>33</v>
      </c>
    </row>
    <row r="440" spans="1:19" x14ac:dyDescent="0.25">
      <c r="A440" t="s">
        <v>532</v>
      </c>
      <c r="B440" s="5">
        <v>46034</v>
      </c>
      <c r="C440" t="s">
        <v>20</v>
      </c>
      <c r="D440" t="s">
        <v>21</v>
      </c>
      <c r="E440" t="s">
        <v>66</v>
      </c>
      <c r="F440" t="s">
        <v>83</v>
      </c>
      <c r="G440" t="s">
        <v>57</v>
      </c>
      <c r="H440">
        <v>188</v>
      </c>
      <c r="I440">
        <v>168</v>
      </c>
      <c r="J440">
        <v>7</v>
      </c>
      <c r="K440">
        <v>6.5</v>
      </c>
      <c r="L440">
        <v>58191.48</v>
      </c>
      <c r="M440">
        <v>5.39</v>
      </c>
      <c r="N440">
        <v>140.13999999999999</v>
      </c>
      <c r="O440">
        <v>152</v>
      </c>
      <c r="P440" s="5">
        <v>46037</v>
      </c>
      <c r="Q440" s="5">
        <v>46041</v>
      </c>
      <c r="R440" t="s">
        <v>25</v>
      </c>
      <c r="S440" t="s">
        <v>72</v>
      </c>
    </row>
    <row r="441" spans="1:19" x14ac:dyDescent="0.25">
      <c r="A441" t="s">
        <v>533</v>
      </c>
      <c r="B441" s="5">
        <v>46034</v>
      </c>
      <c r="C441" t="s">
        <v>20</v>
      </c>
      <c r="D441" t="s">
        <v>21</v>
      </c>
      <c r="E441" t="s">
        <v>90</v>
      </c>
      <c r="F441" t="s">
        <v>112</v>
      </c>
      <c r="G441" t="s">
        <v>24</v>
      </c>
      <c r="H441">
        <v>304</v>
      </c>
      <c r="I441">
        <v>310</v>
      </c>
      <c r="J441">
        <v>10</v>
      </c>
      <c r="K441">
        <v>6.5</v>
      </c>
      <c r="L441">
        <v>108224.83</v>
      </c>
      <c r="M441">
        <v>11.59</v>
      </c>
      <c r="N441">
        <v>254.98</v>
      </c>
      <c r="O441">
        <v>311</v>
      </c>
      <c r="P441" s="5">
        <v>46039</v>
      </c>
      <c r="Q441" s="5">
        <v>46039</v>
      </c>
      <c r="R441" t="s">
        <v>25</v>
      </c>
      <c r="S441" t="s">
        <v>86</v>
      </c>
    </row>
    <row r="442" spans="1:19" x14ac:dyDescent="0.25">
      <c r="A442" t="s">
        <v>534</v>
      </c>
      <c r="B442" s="5">
        <v>46195</v>
      </c>
      <c r="C442" t="s">
        <v>20</v>
      </c>
      <c r="D442" t="s">
        <v>21</v>
      </c>
      <c r="E442" t="s">
        <v>90</v>
      </c>
      <c r="F442" t="s">
        <v>83</v>
      </c>
      <c r="G442" t="s">
        <v>32</v>
      </c>
      <c r="H442">
        <v>216</v>
      </c>
      <c r="I442">
        <v>157</v>
      </c>
      <c r="J442">
        <v>6</v>
      </c>
      <c r="K442">
        <v>0.1</v>
      </c>
      <c r="L442">
        <v>53123.56</v>
      </c>
      <c r="M442">
        <v>4.3499999999999996</v>
      </c>
      <c r="N442">
        <v>113.1</v>
      </c>
      <c r="O442">
        <v>300</v>
      </c>
      <c r="P442" s="5">
        <v>46201</v>
      </c>
      <c r="Q442" s="5">
        <v>46202</v>
      </c>
      <c r="R442" t="s">
        <v>100</v>
      </c>
      <c r="S442" t="s">
        <v>33</v>
      </c>
    </row>
    <row r="443" spans="1:19" x14ac:dyDescent="0.25">
      <c r="A443" t="s">
        <v>535</v>
      </c>
      <c r="B443" s="5">
        <v>46055</v>
      </c>
      <c r="C443" t="s">
        <v>43</v>
      </c>
      <c r="D443" t="s">
        <v>44</v>
      </c>
      <c r="E443" t="s">
        <v>93</v>
      </c>
      <c r="F443" t="s">
        <v>125</v>
      </c>
      <c r="G443" t="s">
        <v>32</v>
      </c>
      <c r="H443">
        <v>128</v>
      </c>
      <c r="I443">
        <v>98</v>
      </c>
      <c r="J443">
        <v>0</v>
      </c>
      <c r="K443">
        <v>8.6999999999999993</v>
      </c>
      <c r="L443">
        <v>11988.47</v>
      </c>
      <c r="M443">
        <v>3.29</v>
      </c>
      <c r="N443">
        <v>65.8</v>
      </c>
      <c r="O443">
        <v>199</v>
      </c>
      <c r="P443" s="5">
        <v>46067</v>
      </c>
      <c r="Q443" s="5">
        <v>46067</v>
      </c>
      <c r="R443" t="s">
        <v>25</v>
      </c>
      <c r="S443" t="s">
        <v>51</v>
      </c>
    </row>
    <row r="444" spans="1:19" x14ac:dyDescent="0.25">
      <c r="A444" t="s">
        <v>536</v>
      </c>
      <c r="B444" s="5">
        <v>46144</v>
      </c>
      <c r="C444" t="s">
        <v>35</v>
      </c>
      <c r="D444" t="s">
        <v>36</v>
      </c>
      <c r="E444" t="s">
        <v>37</v>
      </c>
      <c r="F444" t="s">
        <v>61</v>
      </c>
      <c r="G444" t="s">
        <v>32</v>
      </c>
      <c r="H444">
        <v>109</v>
      </c>
      <c r="I444">
        <v>86</v>
      </c>
      <c r="J444">
        <v>1</v>
      </c>
      <c r="K444">
        <v>6.3</v>
      </c>
      <c r="L444">
        <v>9170.24</v>
      </c>
      <c r="M444">
        <v>3.32</v>
      </c>
      <c r="N444">
        <v>86.32</v>
      </c>
      <c r="O444">
        <v>131</v>
      </c>
      <c r="P444" s="5">
        <v>46149</v>
      </c>
      <c r="Q444" s="5">
        <v>46149</v>
      </c>
      <c r="R444" t="s">
        <v>1302</v>
      </c>
      <c r="S444" t="s">
        <v>33</v>
      </c>
    </row>
    <row r="445" spans="1:19" x14ac:dyDescent="0.25">
      <c r="A445" t="s">
        <v>537</v>
      </c>
      <c r="B445" s="5">
        <v>46108</v>
      </c>
      <c r="C445" t="s">
        <v>80</v>
      </c>
      <c r="D445" t="s">
        <v>21</v>
      </c>
      <c r="E445" t="s">
        <v>22</v>
      </c>
      <c r="G445" t="s">
        <v>24</v>
      </c>
      <c r="H445">
        <v>241</v>
      </c>
      <c r="I445">
        <v>261</v>
      </c>
      <c r="J445">
        <v>11</v>
      </c>
      <c r="K445">
        <v>3.7</v>
      </c>
      <c r="L445">
        <v>70964.639999999999</v>
      </c>
      <c r="M445">
        <v>9.2799999999999994</v>
      </c>
      <c r="N445">
        <v>204.16</v>
      </c>
      <c r="O445">
        <v>210</v>
      </c>
      <c r="P445" s="5">
        <v>46117</v>
      </c>
      <c r="Q445" s="5">
        <v>46119</v>
      </c>
      <c r="R445" t="s">
        <v>100</v>
      </c>
      <c r="S445" t="s">
        <v>26</v>
      </c>
    </row>
    <row r="446" spans="1:19" x14ac:dyDescent="0.25">
      <c r="A446" t="s">
        <v>538</v>
      </c>
      <c r="B446" s="5">
        <v>46196</v>
      </c>
      <c r="C446" t="s">
        <v>53</v>
      </c>
      <c r="D446" t="s">
        <v>54</v>
      </c>
      <c r="E446" t="s">
        <v>55</v>
      </c>
      <c r="F446" t="s">
        <v>106</v>
      </c>
      <c r="G446" t="s">
        <v>32</v>
      </c>
      <c r="H446">
        <v>262</v>
      </c>
      <c r="I446">
        <v>195</v>
      </c>
      <c r="J446">
        <v>1</v>
      </c>
      <c r="K446">
        <v>5.2</v>
      </c>
      <c r="L446">
        <v>26630.02</v>
      </c>
      <c r="M446">
        <v>6.54</v>
      </c>
      <c r="N446">
        <v>156.96</v>
      </c>
      <c r="O446">
        <v>251</v>
      </c>
      <c r="P446" s="5">
        <v>46205</v>
      </c>
      <c r="Q446" s="5">
        <v>46206</v>
      </c>
      <c r="R446" t="s">
        <v>100</v>
      </c>
      <c r="S446" t="s">
        <v>33</v>
      </c>
    </row>
    <row r="447" spans="1:19" x14ac:dyDescent="0.25">
      <c r="A447" t="s">
        <v>539</v>
      </c>
      <c r="B447" s="5">
        <v>46064</v>
      </c>
      <c r="C447" t="s">
        <v>59</v>
      </c>
      <c r="D447" t="s">
        <v>49</v>
      </c>
      <c r="E447" t="s">
        <v>60</v>
      </c>
      <c r="F447" t="s">
        <v>61</v>
      </c>
      <c r="G447" t="s">
        <v>24</v>
      </c>
      <c r="H447">
        <v>129</v>
      </c>
      <c r="I447">
        <v>118</v>
      </c>
      <c r="J447">
        <v>5</v>
      </c>
      <c r="K447">
        <v>4.5999999999999996</v>
      </c>
      <c r="L447">
        <v>22308.62</v>
      </c>
      <c r="M447">
        <v>4.7300000000000004</v>
      </c>
      <c r="N447">
        <v>113.52</v>
      </c>
      <c r="O447">
        <v>122</v>
      </c>
      <c r="P447" s="5">
        <v>46070</v>
      </c>
      <c r="Q447" s="5">
        <v>46072</v>
      </c>
      <c r="R447" t="s">
        <v>100</v>
      </c>
      <c r="S447" t="s">
        <v>86</v>
      </c>
    </row>
    <row r="448" spans="1:19" x14ac:dyDescent="0.25">
      <c r="A448" t="s">
        <v>540</v>
      </c>
      <c r="B448" s="5">
        <v>46143</v>
      </c>
      <c r="C448" t="s">
        <v>43</v>
      </c>
      <c r="D448" t="s">
        <v>44</v>
      </c>
      <c r="E448" t="s">
        <v>45</v>
      </c>
      <c r="F448" t="s">
        <v>31</v>
      </c>
      <c r="G448" t="s">
        <v>24</v>
      </c>
      <c r="H448">
        <v>133</v>
      </c>
      <c r="I448">
        <v>111</v>
      </c>
      <c r="J448">
        <v>8</v>
      </c>
      <c r="K448">
        <v>6</v>
      </c>
      <c r="L448">
        <v>10389.59</v>
      </c>
      <c r="M448">
        <v>3.61</v>
      </c>
      <c r="N448">
        <v>64.98</v>
      </c>
      <c r="O448">
        <v>199</v>
      </c>
      <c r="P448" s="5">
        <v>46152</v>
      </c>
      <c r="Q448" s="5">
        <v>46152</v>
      </c>
      <c r="R448" t="s">
        <v>25</v>
      </c>
      <c r="S448" t="s">
        <v>33</v>
      </c>
    </row>
    <row r="449" spans="1:19" x14ac:dyDescent="0.25">
      <c r="A449" t="s">
        <v>541</v>
      </c>
      <c r="B449" s="5">
        <v>46027</v>
      </c>
      <c r="C449" t="s">
        <v>48</v>
      </c>
      <c r="D449" t="s">
        <v>49</v>
      </c>
      <c r="E449" t="s">
        <v>76</v>
      </c>
      <c r="F449" t="s">
        <v>122</v>
      </c>
      <c r="G449" t="s">
        <v>32</v>
      </c>
      <c r="H449">
        <v>171</v>
      </c>
      <c r="I449">
        <v>172</v>
      </c>
      <c r="J449">
        <v>3</v>
      </c>
      <c r="K449">
        <v>7.7</v>
      </c>
      <c r="L449">
        <v>37276.879999999997</v>
      </c>
      <c r="M449">
        <v>4.49</v>
      </c>
      <c r="N449">
        <v>80.819999999999993</v>
      </c>
      <c r="O449">
        <v>189</v>
      </c>
      <c r="P449" s="5">
        <v>46030</v>
      </c>
      <c r="Q449" s="5">
        <v>46030</v>
      </c>
      <c r="R449" t="s">
        <v>100</v>
      </c>
      <c r="S449" t="s">
        <v>86</v>
      </c>
    </row>
    <row r="450" spans="1:19" x14ac:dyDescent="0.25">
      <c r="A450" t="s">
        <v>542</v>
      </c>
      <c r="B450" s="5">
        <v>46034</v>
      </c>
      <c r="C450" t="s">
        <v>59</v>
      </c>
      <c r="D450" t="s">
        <v>49</v>
      </c>
      <c r="E450" t="s">
        <v>50</v>
      </c>
      <c r="F450" t="s">
        <v>64</v>
      </c>
      <c r="G450" t="s">
        <v>24</v>
      </c>
      <c r="H450">
        <v>298</v>
      </c>
      <c r="I450">
        <v>302</v>
      </c>
      <c r="J450">
        <v>15</v>
      </c>
      <c r="K450">
        <v>6</v>
      </c>
      <c r="L450">
        <v>63126.37</v>
      </c>
      <c r="M450">
        <v>8.61</v>
      </c>
      <c r="N450">
        <v>206.64</v>
      </c>
      <c r="O450">
        <v>286</v>
      </c>
      <c r="P450" s="5">
        <v>46037</v>
      </c>
      <c r="Q450" s="5">
        <v>46036</v>
      </c>
      <c r="R450" t="s">
        <v>39</v>
      </c>
      <c r="S450" t="s">
        <v>33</v>
      </c>
    </row>
    <row r="451" spans="1:19" x14ac:dyDescent="0.25">
      <c r="A451" t="s">
        <v>543</v>
      </c>
      <c r="B451" s="5">
        <v>46065</v>
      </c>
      <c r="C451" t="s">
        <v>20</v>
      </c>
      <c r="D451" t="s">
        <v>21</v>
      </c>
      <c r="E451" t="s">
        <v>22</v>
      </c>
      <c r="F451" t="s">
        <v>56</v>
      </c>
      <c r="G451" t="s">
        <v>57</v>
      </c>
      <c r="H451">
        <v>313</v>
      </c>
      <c r="I451">
        <v>274</v>
      </c>
      <c r="J451">
        <v>19</v>
      </c>
      <c r="K451">
        <v>6.4</v>
      </c>
      <c r="L451">
        <v>97061.42</v>
      </c>
      <c r="M451">
        <v>10.66</v>
      </c>
      <c r="N451">
        <v>213.2</v>
      </c>
      <c r="O451">
        <v>366</v>
      </c>
      <c r="P451" s="5">
        <v>46072</v>
      </c>
      <c r="Q451" s="5">
        <v>46072</v>
      </c>
      <c r="R451" t="s">
        <v>25</v>
      </c>
      <c r="S451" t="s">
        <v>72</v>
      </c>
    </row>
    <row r="452" spans="1:19" x14ac:dyDescent="0.25">
      <c r="A452" t="s">
        <v>544</v>
      </c>
      <c r="B452" s="5">
        <v>46129</v>
      </c>
      <c r="C452" t="s">
        <v>80</v>
      </c>
      <c r="D452" t="s">
        <v>21</v>
      </c>
      <c r="E452" t="s">
        <v>22</v>
      </c>
      <c r="F452" t="s">
        <v>170</v>
      </c>
      <c r="G452" t="s">
        <v>32</v>
      </c>
      <c r="H452">
        <v>293</v>
      </c>
      <c r="I452">
        <v>312</v>
      </c>
      <c r="J452">
        <v>11</v>
      </c>
      <c r="K452">
        <v>4.5</v>
      </c>
      <c r="L452">
        <v>68368.37</v>
      </c>
      <c r="M452">
        <v>11.27</v>
      </c>
      <c r="N452">
        <v>247.94</v>
      </c>
      <c r="O452">
        <v>315</v>
      </c>
      <c r="P452" s="5">
        <v>46133</v>
      </c>
      <c r="Q452" s="5">
        <v>46135</v>
      </c>
      <c r="R452" t="s">
        <v>25</v>
      </c>
      <c r="S452" t="s">
        <v>72</v>
      </c>
    </row>
    <row r="453" spans="1:19" x14ac:dyDescent="0.25">
      <c r="A453" t="s">
        <v>545</v>
      </c>
      <c r="B453" s="5">
        <v>46127</v>
      </c>
      <c r="C453" t="s">
        <v>53</v>
      </c>
      <c r="D453" t="s">
        <v>54</v>
      </c>
      <c r="E453" t="s">
        <v>131</v>
      </c>
      <c r="F453" t="s">
        <v>197</v>
      </c>
      <c r="G453" t="s">
        <v>57</v>
      </c>
      <c r="H453">
        <v>87</v>
      </c>
      <c r="I453">
        <v>79</v>
      </c>
      <c r="J453">
        <v>5</v>
      </c>
      <c r="K453">
        <v>6.5</v>
      </c>
      <c r="L453">
        <v>10048.879999999999</v>
      </c>
      <c r="M453">
        <v>2.06</v>
      </c>
      <c r="N453">
        <v>49.44</v>
      </c>
      <c r="O453">
        <v>92</v>
      </c>
      <c r="P453" s="5">
        <v>46135</v>
      </c>
      <c r="Q453" s="5">
        <v>46133</v>
      </c>
      <c r="R453" t="s">
        <v>100</v>
      </c>
      <c r="S453" t="s">
        <v>51</v>
      </c>
    </row>
    <row r="454" spans="1:19" x14ac:dyDescent="0.25">
      <c r="A454" t="s">
        <v>546</v>
      </c>
      <c r="B454" s="5">
        <v>46170</v>
      </c>
      <c r="C454" t="s">
        <v>80</v>
      </c>
      <c r="D454" t="s">
        <v>21</v>
      </c>
      <c r="E454" t="s">
        <v>66</v>
      </c>
      <c r="F454" t="s">
        <v>38</v>
      </c>
      <c r="G454" t="s">
        <v>24</v>
      </c>
      <c r="H454">
        <v>262</v>
      </c>
      <c r="I454">
        <v>278</v>
      </c>
      <c r="J454">
        <v>23</v>
      </c>
      <c r="K454">
        <v>8.8000000000000007</v>
      </c>
      <c r="L454">
        <v>79423.78</v>
      </c>
      <c r="M454">
        <v>9.68</v>
      </c>
      <c r="N454">
        <v>212.96</v>
      </c>
      <c r="O454">
        <v>302</v>
      </c>
      <c r="P454" s="5">
        <v>46177</v>
      </c>
      <c r="Q454" s="5">
        <v>46175</v>
      </c>
      <c r="R454" t="s">
        <v>25</v>
      </c>
      <c r="S454" t="s">
        <v>26</v>
      </c>
    </row>
    <row r="455" spans="1:19" x14ac:dyDescent="0.25">
      <c r="A455" t="s">
        <v>547</v>
      </c>
      <c r="B455" s="5">
        <v>46060</v>
      </c>
      <c r="C455" t="s">
        <v>35</v>
      </c>
      <c r="D455" t="s">
        <v>36</v>
      </c>
      <c r="E455" t="s">
        <v>69</v>
      </c>
      <c r="F455" t="s">
        <v>137</v>
      </c>
      <c r="G455" t="s">
        <v>32</v>
      </c>
      <c r="H455">
        <v>244</v>
      </c>
      <c r="I455">
        <v>197</v>
      </c>
      <c r="J455">
        <v>10</v>
      </c>
      <c r="K455">
        <v>7.1</v>
      </c>
      <c r="L455">
        <v>20142.990000000002</v>
      </c>
      <c r="M455">
        <v>7.74</v>
      </c>
      <c r="N455">
        <v>185.76</v>
      </c>
      <c r="O455">
        <v>254</v>
      </c>
      <c r="P455" s="5">
        <v>46066</v>
      </c>
      <c r="Q455" s="5">
        <v>46065</v>
      </c>
      <c r="R455" t="s">
        <v>25</v>
      </c>
      <c r="S455" t="s">
        <v>72</v>
      </c>
    </row>
    <row r="456" spans="1:19" x14ac:dyDescent="0.25">
      <c r="A456" t="s">
        <v>548</v>
      </c>
      <c r="B456" s="5">
        <v>46055</v>
      </c>
      <c r="C456" t="s">
        <v>59</v>
      </c>
      <c r="D456" t="s">
        <v>49</v>
      </c>
      <c r="E456" t="s">
        <v>50</v>
      </c>
      <c r="F456" t="s">
        <v>85</v>
      </c>
      <c r="G456" t="s">
        <v>57</v>
      </c>
      <c r="H456">
        <v>103</v>
      </c>
      <c r="I456">
        <v>96</v>
      </c>
      <c r="J456">
        <v>3</v>
      </c>
      <c r="K456">
        <v>3.1</v>
      </c>
      <c r="L456">
        <v>15339.51</v>
      </c>
      <c r="M456">
        <v>3.78</v>
      </c>
      <c r="N456">
        <v>98.28</v>
      </c>
      <c r="O456">
        <v>129</v>
      </c>
      <c r="P456" s="5">
        <v>46060</v>
      </c>
      <c r="Q456" s="5">
        <v>46060</v>
      </c>
      <c r="R456" t="s">
        <v>100</v>
      </c>
      <c r="S456" t="s">
        <v>33</v>
      </c>
    </row>
    <row r="457" spans="1:19" x14ac:dyDescent="0.25">
      <c r="A457" t="s">
        <v>549</v>
      </c>
      <c r="B457" s="5">
        <v>46118</v>
      </c>
      <c r="C457" t="s">
        <v>59</v>
      </c>
      <c r="D457" t="s">
        <v>49</v>
      </c>
      <c r="E457" t="s">
        <v>60</v>
      </c>
      <c r="F457" t="s">
        <v>125</v>
      </c>
      <c r="G457" t="s">
        <v>32</v>
      </c>
      <c r="H457">
        <v>209</v>
      </c>
      <c r="I457">
        <v>182</v>
      </c>
      <c r="J457">
        <v>1</v>
      </c>
      <c r="K457">
        <v>5.9</v>
      </c>
      <c r="L457">
        <v>26001.53</v>
      </c>
      <c r="M457">
        <v>6.49</v>
      </c>
      <c r="N457">
        <v>155.76</v>
      </c>
      <c r="O457">
        <v>255</v>
      </c>
      <c r="P457" s="5">
        <v>46123</v>
      </c>
      <c r="Q457" s="5">
        <v>46123</v>
      </c>
      <c r="R457" t="s">
        <v>25</v>
      </c>
      <c r="S457" t="s">
        <v>26</v>
      </c>
    </row>
    <row r="458" spans="1:19" x14ac:dyDescent="0.25">
      <c r="A458" t="s">
        <v>550</v>
      </c>
      <c r="B458" s="5">
        <v>46195</v>
      </c>
      <c r="C458" t="s">
        <v>43</v>
      </c>
      <c r="D458" t="s">
        <v>44</v>
      </c>
      <c r="E458" t="s">
        <v>45</v>
      </c>
      <c r="F458" t="s">
        <v>88</v>
      </c>
      <c r="G458" t="s">
        <v>57</v>
      </c>
      <c r="H458">
        <v>176</v>
      </c>
      <c r="I458">
        <v>166</v>
      </c>
      <c r="J458">
        <v>4</v>
      </c>
      <c r="K458">
        <v>3</v>
      </c>
      <c r="L458">
        <v>21814.55</v>
      </c>
      <c r="M458">
        <v>4.43</v>
      </c>
      <c r="N458">
        <v>79.739999999999995</v>
      </c>
      <c r="O458">
        <v>173</v>
      </c>
      <c r="P458" s="5">
        <v>46203</v>
      </c>
      <c r="Q458" s="5">
        <v>46205</v>
      </c>
      <c r="R458" t="s">
        <v>25</v>
      </c>
      <c r="S458" t="s">
        <v>72</v>
      </c>
    </row>
    <row r="459" spans="1:19" x14ac:dyDescent="0.25">
      <c r="A459" t="s">
        <v>551</v>
      </c>
      <c r="B459" s="5">
        <v>46056</v>
      </c>
      <c r="C459" t="s">
        <v>53</v>
      </c>
      <c r="D459" t="s">
        <v>54</v>
      </c>
      <c r="E459" t="s">
        <v>55</v>
      </c>
      <c r="F459" t="s">
        <v>106</v>
      </c>
      <c r="G459" t="s">
        <v>32</v>
      </c>
      <c r="H459">
        <v>194</v>
      </c>
      <c r="I459">
        <v>146</v>
      </c>
      <c r="J459">
        <v>9</v>
      </c>
      <c r="K459">
        <v>3.6</v>
      </c>
      <c r="L459">
        <v>22892.73</v>
      </c>
      <c r="M459">
        <v>5.68</v>
      </c>
      <c r="N459">
        <v>147.68</v>
      </c>
      <c r="O459">
        <v>281</v>
      </c>
      <c r="P459" s="5">
        <v>46068</v>
      </c>
      <c r="Q459" s="5">
        <v>46070</v>
      </c>
      <c r="R459" t="s">
        <v>100</v>
      </c>
      <c r="S459" t="s">
        <v>72</v>
      </c>
    </row>
    <row r="460" spans="1:19" x14ac:dyDescent="0.25">
      <c r="A460" t="s">
        <v>552</v>
      </c>
      <c r="B460" s="5">
        <v>46064</v>
      </c>
      <c r="C460" t="s">
        <v>43</v>
      </c>
      <c r="D460" t="s">
        <v>44</v>
      </c>
      <c r="E460" t="s">
        <v>45</v>
      </c>
      <c r="F460" t="s">
        <v>91</v>
      </c>
      <c r="G460" t="s">
        <v>57</v>
      </c>
      <c r="H460">
        <v>112</v>
      </c>
      <c r="I460">
        <v>103</v>
      </c>
      <c r="J460">
        <v>4</v>
      </c>
      <c r="K460">
        <v>8.6999999999999993</v>
      </c>
      <c r="L460">
        <v>12252.21</v>
      </c>
      <c r="M460">
        <v>3.57</v>
      </c>
      <c r="N460">
        <v>85.68</v>
      </c>
      <c r="O460">
        <v>193</v>
      </c>
      <c r="P460" s="5">
        <v>46066</v>
      </c>
      <c r="Q460" s="5">
        <v>46066</v>
      </c>
      <c r="R460" t="s">
        <v>39</v>
      </c>
      <c r="S460" t="s">
        <v>26</v>
      </c>
    </row>
    <row r="461" spans="1:19" x14ac:dyDescent="0.25">
      <c r="A461" t="s">
        <v>553</v>
      </c>
      <c r="B461" s="5">
        <v>46127</v>
      </c>
      <c r="C461" t="s">
        <v>20</v>
      </c>
      <c r="D461" t="s">
        <v>21</v>
      </c>
      <c r="E461" t="s">
        <v>22</v>
      </c>
      <c r="F461" t="s">
        <v>77</v>
      </c>
      <c r="G461" t="s">
        <v>57</v>
      </c>
      <c r="H461">
        <v>174</v>
      </c>
      <c r="I461">
        <v>168</v>
      </c>
      <c r="J461">
        <v>1</v>
      </c>
      <c r="K461">
        <v>1.4</v>
      </c>
      <c r="L461">
        <v>58710.37</v>
      </c>
      <c r="M461">
        <v>4.25</v>
      </c>
      <c r="N461">
        <v>102</v>
      </c>
      <c r="O461">
        <v>141</v>
      </c>
      <c r="P461" s="5">
        <v>46131</v>
      </c>
      <c r="Q461" s="5">
        <v>46131</v>
      </c>
      <c r="R461" t="s">
        <v>39</v>
      </c>
      <c r="S461" t="s">
        <v>86</v>
      </c>
    </row>
    <row r="462" spans="1:19" x14ac:dyDescent="0.25">
      <c r="A462" t="s">
        <v>554</v>
      </c>
      <c r="B462" s="5">
        <v>46095</v>
      </c>
      <c r="C462" t="s">
        <v>28</v>
      </c>
      <c r="D462" t="s">
        <v>29</v>
      </c>
      <c r="E462" t="s">
        <v>63</v>
      </c>
      <c r="F462" t="s">
        <v>61</v>
      </c>
      <c r="G462" t="s">
        <v>24</v>
      </c>
      <c r="H462">
        <v>289</v>
      </c>
      <c r="I462">
        <v>299</v>
      </c>
      <c r="J462">
        <v>1</v>
      </c>
      <c r="K462">
        <v>4.9000000000000004</v>
      </c>
      <c r="L462">
        <v>50675.97</v>
      </c>
      <c r="M462">
        <v>8.83</v>
      </c>
      <c r="N462">
        <v>194.26</v>
      </c>
      <c r="O462">
        <v>364</v>
      </c>
      <c r="P462" s="5">
        <v>46102</v>
      </c>
      <c r="Q462" s="5">
        <v>46104</v>
      </c>
      <c r="R462" t="s">
        <v>100</v>
      </c>
      <c r="S462" t="s">
        <v>26</v>
      </c>
    </row>
    <row r="463" spans="1:19" x14ac:dyDescent="0.25">
      <c r="A463" t="s">
        <v>555</v>
      </c>
      <c r="B463" s="5">
        <v>46056</v>
      </c>
      <c r="C463" t="s">
        <v>43</v>
      </c>
      <c r="D463" t="s">
        <v>44</v>
      </c>
      <c r="E463" t="s">
        <v>45</v>
      </c>
      <c r="F463" t="s">
        <v>96</v>
      </c>
      <c r="G463" t="s">
        <v>24</v>
      </c>
      <c r="H463">
        <v>242</v>
      </c>
      <c r="I463">
        <v>222</v>
      </c>
      <c r="J463">
        <v>10</v>
      </c>
      <c r="K463">
        <v>4</v>
      </c>
      <c r="L463">
        <v>28137.66</v>
      </c>
      <c r="M463">
        <v>8.26</v>
      </c>
      <c r="N463">
        <v>214.76</v>
      </c>
      <c r="O463">
        <v>306</v>
      </c>
      <c r="P463" s="5">
        <v>46064</v>
      </c>
      <c r="Q463" s="5">
        <v>46064</v>
      </c>
      <c r="R463" t="s">
        <v>100</v>
      </c>
      <c r="S463" t="s">
        <v>33</v>
      </c>
    </row>
    <row r="464" spans="1:19" x14ac:dyDescent="0.25">
      <c r="A464" t="s">
        <v>556</v>
      </c>
      <c r="B464" s="5">
        <v>46194</v>
      </c>
      <c r="C464" t="s">
        <v>53</v>
      </c>
      <c r="D464" t="s">
        <v>54</v>
      </c>
      <c r="E464" t="s">
        <v>131</v>
      </c>
      <c r="F464" t="s">
        <v>85</v>
      </c>
      <c r="G464" t="s">
        <v>57</v>
      </c>
      <c r="H464">
        <v>245</v>
      </c>
      <c r="I464">
        <v>185</v>
      </c>
      <c r="J464">
        <v>3</v>
      </c>
      <c r="K464">
        <v>0.2</v>
      </c>
      <c r="L464">
        <v>29681.82</v>
      </c>
      <c r="M464">
        <v>4.7</v>
      </c>
      <c r="N464">
        <v>84.6</v>
      </c>
      <c r="O464">
        <v>226</v>
      </c>
      <c r="P464" s="5">
        <v>46199</v>
      </c>
      <c r="Q464" s="5">
        <v>46197</v>
      </c>
      <c r="R464" t="s">
        <v>39</v>
      </c>
      <c r="S464" t="s">
        <v>72</v>
      </c>
    </row>
    <row r="465" spans="1:19" x14ac:dyDescent="0.25">
      <c r="A465" t="s">
        <v>557</v>
      </c>
      <c r="B465" s="5">
        <v>46151</v>
      </c>
      <c r="C465" t="s">
        <v>80</v>
      </c>
      <c r="D465" t="s">
        <v>21</v>
      </c>
      <c r="E465" t="s">
        <v>22</v>
      </c>
      <c r="F465" t="s">
        <v>114</v>
      </c>
      <c r="G465" t="s">
        <v>57</v>
      </c>
      <c r="H465">
        <v>248</v>
      </c>
      <c r="I465">
        <v>278</v>
      </c>
      <c r="J465">
        <v>5</v>
      </c>
      <c r="K465">
        <v>0.2</v>
      </c>
      <c r="L465">
        <v>76218.740000000005</v>
      </c>
      <c r="M465">
        <v>9.7100000000000009</v>
      </c>
      <c r="N465">
        <v>252.46</v>
      </c>
      <c r="O465">
        <v>321</v>
      </c>
      <c r="P465" s="5">
        <v>46154</v>
      </c>
      <c r="Q465" s="5">
        <v>46155</v>
      </c>
      <c r="R465" t="s">
        <v>100</v>
      </c>
      <c r="S465" t="s">
        <v>72</v>
      </c>
    </row>
    <row r="466" spans="1:19" x14ac:dyDescent="0.25">
      <c r="A466" t="s">
        <v>558</v>
      </c>
      <c r="B466" s="5">
        <v>46028</v>
      </c>
      <c r="C466" t="s">
        <v>48</v>
      </c>
      <c r="D466" t="s">
        <v>49</v>
      </c>
      <c r="E466" t="s">
        <v>76</v>
      </c>
      <c r="F466" t="s">
        <v>197</v>
      </c>
      <c r="G466" t="s">
        <v>57</v>
      </c>
      <c r="H466">
        <v>126</v>
      </c>
      <c r="I466">
        <v>113</v>
      </c>
      <c r="J466">
        <v>9</v>
      </c>
      <c r="K466">
        <v>2.9</v>
      </c>
      <c r="L466">
        <v>18498.97</v>
      </c>
      <c r="M466">
        <v>2.2999999999999998</v>
      </c>
      <c r="N466">
        <v>46</v>
      </c>
      <c r="O466">
        <v>159</v>
      </c>
      <c r="P466" s="5">
        <v>46032</v>
      </c>
      <c r="Q466" s="5">
        <v>46032</v>
      </c>
      <c r="R466" t="s">
        <v>25</v>
      </c>
      <c r="S466" t="s">
        <v>51</v>
      </c>
    </row>
    <row r="467" spans="1:19" x14ac:dyDescent="0.25">
      <c r="A467" t="s">
        <v>559</v>
      </c>
      <c r="B467" s="5">
        <v>46101</v>
      </c>
      <c r="C467" t="s">
        <v>35</v>
      </c>
      <c r="D467" t="s">
        <v>36</v>
      </c>
      <c r="E467" t="s">
        <v>37</v>
      </c>
      <c r="F467" t="s">
        <v>64</v>
      </c>
      <c r="G467" t="s">
        <v>57</v>
      </c>
      <c r="H467">
        <v>95</v>
      </c>
      <c r="I467">
        <v>93</v>
      </c>
      <c r="J467">
        <v>3</v>
      </c>
      <c r="K467">
        <v>0.2</v>
      </c>
      <c r="L467">
        <v>6989.78</v>
      </c>
      <c r="M467">
        <v>2.39</v>
      </c>
      <c r="N467">
        <v>57.36</v>
      </c>
      <c r="O467">
        <v>137</v>
      </c>
      <c r="P467" s="5">
        <v>46107</v>
      </c>
      <c r="Q467" s="5">
        <v>46109</v>
      </c>
      <c r="R467" t="s">
        <v>25</v>
      </c>
      <c r="S467" t="s">
        <v>51</v>
      </c>
    </row>
    <row r="468" spans="1:19" x14ac:dyDescent="0.25">
      <c r="A468" t="s">
        <v>560</v>
      </c>
      <c r="B468" s="5">
        <v>46175</v>
      </c>
      <c r="C468" t="s">
        <v>28</v>
      </c>
      <c r="D468" t="s">
        <v>29</v>
      </c>
      <c r="E468" t="s">
        <v>95</v>
      </c>
      <c r="F468" t="s">
        <v>122</v>
      </c>
      <c r="G468" t="s">
        <v>24</v>
      </c>
      <c r="H468">
        <v>210</v>
      </c>
      <c r="I468">
        <v>219</v>
      </c>
      <c r="J468">
        <v>8</v>
      </c>
      <c r="K468">
        <v>1</v>
      </c>
      <c r="L468">
        <v>41747.86</v>
      </c>
      <c r="M468">
        <v>6.08</v>
      </c>
      <c r="N468">
        <v>145.91999999999999</v>
      </c>
      <c r="O468">
        <v>177</v>
      </c>
      <c r="P468" s="5">
        <v>46183</v>
      </c>
      <c r="Q468" s="5">
        <v>46183</v>
      </c>
      <c r="R468" t="s">
        <v>25</v>
      </c>
      <c r="S468" t="s">
        <v>26</v>
      </c>
    </row>
    <row r="469" spans="1:19" x14ac:dyDescent="0.25">
      <c r="A469" t="s">
        <v>561</v>
      </c>
      <c r="B469" s="5">
        <v>46195</v>
      </c>
      <c r="C469" t="s">
        <v>20</v>
      </c>
      <c r="D469" t="s">
        <v>21</v>
      </c>
      <c r="E469" t="s">
        <v>22</v>
      </c>
      <c r="F469" t="s">
        <v>137</v>
      </c>
      <c r="G469" t="s">
        <v>32</v>
      </c>
      <c r="H469">
        <v>275</v>
      </c>
      <c r="I469">
        <v>263</v>
      </c>
      <c r="J469">
        <v>19</v>
      </c>
      <c r="K469">
        <v>2.7</v>
      </c>
      <c r="L469">
        <v>73143.94</v>
      </c>
      <c r="M469">
        <v>8.75</v>
      </c>
      <c r="N469">
        <v>175</v>
      </c>
      <c r="O469">
        <v>271</v>
      </c>
      <c r="P469" s="5">
        <v>46202</v>
      </c>
      <c r="Q469" s="5">
        <v>46202</v>
      </c>
      <c r="R469" t="s">
        <v>25</v>
      </c>
      <c r="S469" t="s">
        <v>26</v>
      </c>
    </row>
    <row r="470" spans="1:19" x14ac:dyDescent="0.25">
      <c r="A470" t="s">
        <v>562</v>
      </c>
      <c r="B470" s="5">
        <v>46138</v>
      </c>
      <c r="C470" t="s">
        <v>80</v>
      </c>
      <c r="D470" t="s">
        <v>21</v>
      </c>
      <c r="E470" t="s">
        <v>22</v>
      </c>
      <c r="F470" t="s">
        <v>91</v>
      </c>
      <c r="G470" t="s">
        <v>24</v>
      </c>
      <c r="H470">
        <v>288</v>
      </c>
      <c r="I470">
        <v>264</v>
      </c>
      <c r="J470">
        <v>21</v>
      </c>
      <c r="K470">
        <v>2.6</v>
      </c>
      <c r="L470">
        <v>71360.17</v>
      </c>
      <c r="M470">
        <v>10.67</v>
      </c>
      <c r="N470">
        <v>256.08</v>
      </c>
      <c r="O470">
        <v>317</v>
      </c>
      <c r="P470" s="5">
        <v>46149</v>
      </c>
      <c r="Q470" s="5">
        <v>46149</v>
      </c>
      <c r="R470" t="s">
        <v>100</v>
      </c>
      <c r="S470" t="s">
        <v>51</v>
      </c>
    </row>
    <row r="471" spans="1:19" x14ac:dyDescent="0.25">
      <c r="A471" t="s">
        <v>563</v>
      </c>
      <c r="B471" s="5">
        <v>46172</v>
      </c>
      <c r="C471" t="s">
        <v>59</v>
      </c>
      <c r="D471" t="s">
        <v>49</v>
      </c>
      <c r="E471" t="s">
        <v>50</v>
      </c>
      <c r="F471" t="s">
        <v>85</v>
      </c>
      <c r="G471" t="s">
        <v>32</v>
      </c>
      <c r="H471">
        <v>121</v>
      </c>
      <c r="I471">
        <v>125</v>
      </c>
      <c r="J471">
        <v>6</v>
      </c>
      <c r="K471">
        <v>2.7</v>
      </c>
      <c r="L471">
        <v>18885.23</v>
      </c>
      <c r="M471">
        <v>2.67</v>
      </c>
      <c r="N471">
        <v>69.42</v>
      </c>
      <c r="O471">
        <v>152</v>
      </c>
      <c r="P471" s="5">
        <v>46180</v>
      </c>
      <c r="Q471" s="5">
        <v>46180</v>
      </c>
      <c r="R471" t="s">
        <v>39</v>
      </c>
      <c r="S471" t="s">
        <v>86</v>
      </c>
    </row>
    <row r="472" spans="1:19" x14ac:dyDescent="0.25">
      <c r="A472" t="s">
        <v>564</v>
      </c>
      <c r="B472" s="5">
        <v>46185</v>
      </c>
      <c r="C472" t="s">
        <v>59</v>
      </c>
      <c r="D472" t="s">
        <v>49</v>
      </c>
      <c r="E472" t="s">
        <v>60</v>
      </c>
      <c r="F472" t="s">
        <v>38</v>
      </c>
      <c r="G472" t="s">
        <v>57</v>
      </c>
      <c r="H472">
        <v>195</v>
      </c>
      <c r="I472">
        <v>163</v>
      </c>
      <c r="J472">
        <v>10</v>
      </c>
      <c r="K472">
        <v>2.9</v>
      </c>
      <c r="L472">
        <v>28631.91</v>
      </c>
      <c r="M472">
        <v>4.22</v>
      </c>
      <c r="N472">
        <v>84.4</v>
      </c>
      <c r="O472">
        <v>155</v>
      </c>
      <c r="P472" s="5">
        <v>46196</v>
      </c>
      <c r="Q472" s="5">
        <v>46200</v>
      </c>
      <c r="R472" t="s">
        <v>25</v>
      </c>
      <c r="S472" t="s">
        <v>51</v>
      </c>
    </row>
    <row r="473" spans="1:19" x14ac:dyDescent="0.25">
      <c r="A473" t="s">
        <v>565</v>
      </c>
      <c r="B473" s="5">
        <v>46128</v>
      </c>
      <c r="C473" t="s">
        <v>53</v>
      </c>
      <c r="D473" t="s">
        <v>54</v>
      </c>
      <c r="E473" t="s">
        <v>131</v>
      </c>
      <c r="F473" t="s">
        <v>91</v>
      </c>
      <c r="G473" t="s">
        <v>32</v>
      </c>
      <c r="H473">
        <v>217</v>
      </c>
      <c r="I473">
        <v>163</v>
      </c>
      <c r="J473">
        <v>13</v>
      </c>
      <c r="K473">
        <v>5.9</v>
      </c>
      <c r="L473">
        <v>26094.3</v>
      </c>
      <c r="M473">
        <v>6.13</v>
      </c>
      <c r="N473">
        <v>147.12</v>
      </c>
      <c r="O473">
        <v>208</v>
      </c>
      <c r="P473" s="5">
        <v>46135</v>
      </c>
      <c r="Q473" s="5">
        <v>46137</v>
      </c>
      <c r="R473" t="s">
        <v>39</v>
      </c>
      <c r="S473" t="s">
        <v>51</v>
      </c>
    </row>
    <row r="474" spans="1:19" x14ac:dyDescent="0.25">
      <c r="A474" t="s">
        <v>566</v>
      </c>
      <c r="B474" s="5">
        <v>46201</v>
      </c>
      <c r="C474" t="s">
        <v>80</v>
      </c>
      <c r="D474" t="s">
        <v>21</v>
      </c>
      <c r="E474" t="s">
        <v>22</v>
      </c>
      <c r="F474" t="s">
        <v>23</v>
      </c>
      <c r="G474" t="s">
        <v>32</v>
      </c>
      <c r="H474">
        <v>198</v>
      </c>
      <c r="I474">
        <v>174</v>
      </c>
      <c r="J474">
        <v>3</v>
      </c>
      <c r="K474">
        <v>0.1</v>
      </c>
      <c r="L474">
        <v>53959.33</v>
      </c>
      <c r="M474">
        <v>5.97</v>
      </c>
      <c r="N474">
        <v>131.34</v>
      </c>
      <c r="O474">
        <v>207</v>
      </c>
      <c r="P474" s="5">
        <v>46204</v>
      </c>
      <c r="Q474" s="5">
        <v>46204</v>
      </c>
      <c r="R474" t="s">
        <v>25</v>
      </c>
      <c r="S474" t="s">
        <v>86</v>
      </c>
    </row>
    <row r="475" spans="1:19" x14ac:dyDescent="0.25">
      <c r="A475" t="s">
        <v>567</v>
      </c>
      <c r="B475" s="5">
        <v>46032</v>
      </c>
      <c r="C475" t="s">
        <v>59</v>
      </c>
      <c r="D475" t="s">
        <v>49</v>
      </c>
      <c r="E475" t="s">
        <v>76</v>
      </c>
      <c r="F475" t="s">
        <v>31</v>
      </c>
      <c r="G475" t="s">
        <v>24</v>
      </c>
      <c r="H475">
        <v>311</v>
      </c>
      <c r="I475">
        <v>318</v>
      </c>
      <c r="J475">
        <v>18</v>
      </c>
      <c r="K475">
        <v>0.1</v>
      </c>
      <c r="L475">
        <v>67628.55</v>
      </c>
      <c r="M475">
        <v>6.57</v>
      </c>
      <c r="N475">
        <v>144.54</v>
      </c>
      <c r="O475">
        <v>399</v>
      </c>
      <c r="P475" s="5">
        <v>46041</v>
      </c>
      <c r="Q475" s="5">
        <v>46041</v>
      </c>
      <c r="R475" t="s">
        <v>39</v>
      </c>
      <c r="S475" t="s">
        <v>26</v>
      </c>
    </row>
    <row r="476" spans="1:19" x14ac:dyDescent="0.25">
      <c r="A476" t="s">
        <v>568</v>
      </c>
      <c r="B476" s="5">
        <v>46195</v>
      </c>
      <c r="C476" t="s">
        <v>43</v>
      </c>
      <c r="D476" t="s">
        <v>44</v>
      </c>
      <c r="E476" t="s">
        <v>93</v>
      </c>
      <c r="F476" t="s">
        <v>104</v>
      </c>
      <c r="G476" t="s">
        <v>32</v>
      </c>
      <c r="H476">
        <v>230</v>
      </c>
      <c r="I476">
        <v>178</v>
      </c>
      <c r="J476">
        <v>1</v>
      </c>
      <c r="K476">
        <v>2.2999999999999998</v>
      </c>
      <c r="L476">
        <v>19875.57</v>
      </c>
      <c r="M476">
        <v>5.44</v>
      </c>
      <c r="N476">
        <v>119.68</v>
      </c>
      <c r="O476">
        <v>239</v>
      </c>
      <c r="P476" s="5">
        <v>46207</v>
      </c>
      <c r="Q476" s="5">
        <v>46205</v>
      </c>
      <c r="R476" t="s">
        <v>39</v>
      </c>
      <c r="S476" t="s">
        <v>26</v>
      </c>
    </row>
    <row r="477" spans="1:19" x14ac:dyDescent="0.25">
      <c r="A477" t="s">
        <v>569</v>
      </c>
      <c r="B477" s="5">
        <v>46139</v>
      </c>
      <c r="C477" t="s">
        <v>80</v>
      </c>
      <c r="D477" t="s">
        <v>21</v>
      </c>
      <c r="E477" t="s">
        <v>90</v>
      </c>
      <c r="F477" t="s">
        <v>85</v>
      </c>
      <c r="G477" t="s">
        <v>57</v>
      </c>
      <c r="H477">
        <v>244</v>
      </c>
      <c r="I477">
        <v>246</v>
      </c>
      <c r="J477">
        <v>15</v>
      </c>
      <c r="K477">
        <v>7.7</v>
      </c>
      <c r="L477">
        <v>67090.39</v>
      </c>
      <c r="M477">
        <v>6.83</v>
      </c>
      <c r="N477">
        <v>122.94</v>
      </c>
      <c r="O477">
        <v>336</v>
      </c>
      <c r="P477" s="5">
        <v>46148</v>
      </c>
      <c r="Q477" s="5">
        <v>46152</v>
      </c>
      <c r="R477" t="s">
        <v>25</v>
      </c>
      <c r="S477" t="s">
        <v>51</v>
      </c>
    </row>
    <row r="478" spans="1:19" x14ac:dyDescent="0.25">
      <c r="A478" t="s">
        <v>570</v>
      </c>
      <c r="B478" s="5">
        <v>46035</v>
      </c>
      <c r="C478" t="s">
        <v>59</v>
      </c>
      <c r="D478" t="s">
        <v>49</v>
      </c>
      <c r="E478" t="s">
        <v>76</v>
      </c>
      <c r="F478" t="s">
        <v>244</v>
      </c>
      <c r="G478" t="s">
        <v>32</v>
      </c>
      <c r="H478">
        <v>216</v>
      </c>
      <c r="I478">
        <v>197</v>
      </c>
      <c r="J478">
        <v>1</v>
      </c>
      <c r="K478">
        <v>1.8</v>
      </c>
      <c r="L478">
        <v>29783.94</v>
      </c>
      <c r="M478">
        <v>3.67</v>
      </c>
      <c r="N478">
        <v>73.400000000000006</v>
      </c>
      <c r="O478">
        <v>284</v>
      </c>
      <c r="P478" s="5">
        <v>46038</v>
      </c>
      <c r="Q478" s="5">
        <v>46038</v>
      </c>
      <c r="R478" t="s">
        <v>25</v>
      </c>
      <c r="S478" t="s">
        <v>86</v>
      </c>
    </row>
    <row r="479" spans="1:19" x14ac:dyDescent="0.25">
      <c r="A479" t="s">
        <v>571</v>
      </c>
      <c r="B479" s="5">
        <v>46039</v>
      </c>
      <c r="C479" t="s">
        <v>20</v>
      </c>
      <c r="D479" t="s">
        <v>21</v>
      </c>
      <c r="E479" t="s">
        <v>22</v>
      </c>
      <c r="F479" t="s">
        <v>85</v>
      </c>
      <c r="G479" t="s">
        <v>57</v>
      </c>
      <c r="H479">
        <v>202</v>
      </c>
      <c r="I479">
        <v>182</v>
      </c>
      <c r="J479">
        <v>1</v>
      </c>
      <c r="K479">
        <v>7.2</v>
      </c>
      <c r="L479">
        <v>74386.64</v>
      </c>
      <c r="M479">
        <v>4.3600000000000003</v>
      </c>
      <c r="N479">
        <v>104.64</v>
      </c>
      <c r="O479">
        <v>223</v>
      </c>
      <c r="P479" s="5">
        <v>46046</v>
      </c>
      <c r="Q479" s="5">
        <v>46044</v>
      </c>
      <c r="R479" t="s">
        <v>25</v>
      </c>
      <c r="S479" t="s">
        <v>33</v>
      </c>
    </row>
    <row r="480" spans="1:19" x14ac:dyDescent="0.25">
      <c r="A480" t="s">
        <v>572</v>
      </c>
      <c r="B480" s="5">
        <v>46176</v>
      </c>
      <c r="C480" t="s">
        <v>53</v>
      </c>
      <c r="D480" t="s">
        <v>54</v>
      </c>
      <c r="E480" t="s">
        <v>55</v>
      </c>
      <c r="F480" t="s">
        <v>125</v>
      </c>
      <c r="G480" t="s">
        <v>24</v>
      </c>
      <c r="H480">
        <v>240</v>
      </c>
      <c r="I480">
        <v>218</v>
      </c>
      <c r="J480">
        <v>3</v>
      </c>
      <c r="K480">
        <v>8.8000000000000007</v>
      </c>
      <c r="L480">
        <v>34643.589999999997</v>
      </c>
      <c r="M480">
        <v>8.58</v>
      </c>
      <c r="N480">
        <v>154.44</v>
      </c>
      <c r="O480">
        <v>232</v>
      </c>
      <c r="P480" s="5">
        <v>46178</v>
      </c>
      <c r="Q480" s="5">
        <v>46182</v>
      </c>
      <c r="R480" t="s">
        <v>25</v>
      </c>
      <c r="S480" t="s">
        <v>72</v>
      </c>
    </row>
    <row r="481" spans="1:19" x14ac:dyDescent="0.25">
      <c r="A481" t="s">
        <v>573</v>
      </c>
      <c r="B481" s="5">
        <v>46039</v>
      </c>
      <c r="C481" t="s">
        <v>20</v>
      </c>
      <c r="D481" t="s">
        <v>21</v>
      </c>
      <c r="E481" t="s">
        <v>66</v>
      </c>
      <c r="F481" t="s">
        <v>83</v>
      </c>
      <c r="G481" t="s">
        <v>32</v>
      </c>
      <c r="H481">
        <v>94</v>
      </c>
      <c r="I481">
        <v>90</v>
      </c>
      <c r="J481">
        <v>2</v>
      </c>
      <c r="K481">
        <v>3.4</v>
      </c>
      <c r="L481">
        <v>26585.66</v>
      </c>
      <c r="M481">
        <v>2.12</v>
      </c>
      <c r="N481">
        <v>55.12</v>
      </c>
      <c r="O481">
        <v>56</v>
      </c>
      <c r="P481" s="5">
        <v>46048</v>
      </c>
      <c r="Q481" s="5">
        <v>46050</v>
      </c>
      <c r="R481" t="s">
        <v>100</v>
      </c>
      <c r="S481" t="s">
        <v>26</v>
      </c>
    </row>
    <row r="482" spans="1:19" x14ac:dyDescent="0.25">
      <c r="A482" t="s">
        <v>574</v>
      </c>
      <c r="B482" s="5">
        <v>46181</v>
      </c>
      <c r="C482" t="s">
        <v>20</v>
      </c>
      <c r="D482" t="s">
        <v>21</v>
      </c>
      <c r="E482" t="s">
        <v>90</v>
      </c>
      <c r="F482" t="s">
        <v>170</v>
      </c>
      <c r="G482" t="s">
        <v>24</v>
      </c>
      <c r="H482">
        <v>246</v>
      </c>
      <c r="I482">
        <v>276</v>
      </c>
      <c r="J482">
        <v>20</v>
      </c>
      <c r="K482">
        <v>4.0999999999999996</v>
      </c>
      <c r="L482">
        <v>76950.720000000001</v>
      </c>
      <c r="M482">
        <v>5.65</v>
      </c>
      <c r="N482">
        <v>146.9</v>
      </c>
      <c r="O482">
        <v>223</v>
      </c>
      <c r="P482" s="5">
        <v>46192</v>
      </c>
      <c r="Q482" s="5">
        <v>46192</v>
      </c>
      <c r="R482" t="s">
        <v>39</v>
      </c>
      <c r="S482" t="s">
        <v>26</v>
      </c>
    </row>
    <row r="483" spans="1:19" x14ac:dyDescent="0.25">
      <c r="A483" t="s">
        <v>575</v>
      </c>
      <c r="B483" s="5">
        <v>46088</v>
      </c>
      <c r="C483" t="s">
        <v>48</v>
      </c>
      <c r="D483" t="s">
        <v>49</v>
      </c>
      <c r="E483" t="s">
        <v>76</v>
      </c>
      <c r="F483" t="s">
        <v>114</v>
      </c>
      <c r="G483" t="s">
        <v>24</v>
      </c>
      <c r="H483">
        <v>203</v>
      </c>
      <c r="I483">
        <v>209</v>
      </c>
      <c r="J483">
        <v>9</v>
      </c>
      <c r="K483">
        <v>2.2000000000000002</v>
      </c>
      <c r="L483">
        <v>40830.480000000003</v>
      </c>
      <c r="M483">
        <v>5.33</v>
      </c>
      <c r="N483">
        <v>127.92</v>
      </c>
      <c r="O483">
        <v>294</v>
      </c>
      <c r="P483" s="5">
        <v>46100</v>
      </c>
      <c r="Q483" s="5">
        <v>46101</v>
      </c>
      <c r="R483" t="s">
        <v>25</v>
      </c>
      <c r="S483" t="s">
        <v>51</v>
      </c>
    </row>
    <row r="484" spans="1:19" x14ac:dyDescent="0.25">
      <c r="A484" t="s">
        <v>576</v>
      </c>
      <c r="B484" s="5">
        <v>46060</v>
      </c>
      <c r="C484" t="s">
        <v>53</v>
      </c>
      <c r="D484" t="s">
        <v>54</v>
      </c>
      <c r="E484" t="s">
        <v>131</v>
      </c>
      <c r="F484" t="s">
        <v>31</v>
      </c>
      <c r="G484" t="s">
        <v>24</v>
      </c>
      <c r="H484">
        <v>234</v>
      </c>
      <c r="I484">
        <v>202</v>
      </c>
      <c r="J484">
        <v>7</v>
      </c>
      <c r="K484">
        <v>0.1</v>
      </c>
      <c r="L484">
        <v>31179.360000000001</v>
      </c>
      <c r="M484">
        <v>3.91</v>
      </c>
      <c r="N484">
        <v>101.66</v>
      </c>
      <c r="O484">
        <v>207</v>
      </c>
      <c r="P484" s="5">
        <v>46068</v>
      </c>
      <c r="Q484" s="5">
        <v>46069</v>
      </c>
      <c r="R484" t="s">
        <v>25</v>
      </c>
      <c r="S484" t="s">
        <v>51</v>
      </c>
    </row>
    <row r="485" spans="1:19" x14ac:dyDescent="0.25">
      <c r="A485" t="s">
        <v>577</v>
      </c>
      <c r="B485" s="5">
        <v>46040</v>
      </c>
      <c r="C485" t="s">
        <v>48</v>
      </c>
      <c r="D485" t="s">
        <v>49</v>
      </c>
      <c r="E485" t="s">
        <v>50</v>
      </c>
      <c r="F485" t="s">
        <v>71</v>
      </c>
      <c r="G485" t="s">
        <v>32</v>
      </c>
      <c r="H485">
        <v>250</v>
      </c>
      <c r="I485">
        <v>231</v>
      </c>
      <c r="J485">
        <v>15</v>
      </c>
      <c r="K485">
        <v>4.2</v>
      </c>
      <c r="L485">
        <v>54062.39</v>
      </c>
      <c r="M485">
        <v>7.3</v>
      </c>
      <c r="N485">
        <v>160.6</v>
      </c>
      <c r="O485">
        <v>286</v>
      </c>
      <c r="P485" s="5">
        <v>46048</v>
      </c>
      <c r="Q485" s="5">
        <v>46049</v>
      </c>
      <c r="R485" t="s">
        <v>25</v>
      </c>
      <c r="S485" t="s">
        <v>33</v>
      </c>
    </row>
    <row r="486" spans="1:19" x14ac:dyDescent="0.25">
      <c r="A486" t="s">
        <v>578</v>
      </c>
      <c r="B486" s="5">
        <v>46149</v>
      </c>
      <c r="C486" t="s">
        <v>28</v>
      </c>
      <c r="D486" t="s">
        <v>29</v>
      </c>
      <c r="E486" t="s">
        <v>63</v>
      </c>
      <c r="F486" t="s">
        <v>61</v>
      </c>
      <c r="G486" t="s">
        <v>57</v>
      </c>
      <c r="H486">
        <v>243</v>
      </c>
      <c r="I486">
        <v>198</v>
      </c>
      <c r="J486">
        <v>5</v>
      </c>
      <c r="K486">
        <v>5.6</v>
      </c>
      <c r="L486">
        <v>43585.77</v>
      </c>
      <c r="M486">
        <v>8.09</v>
      </c>
      <c r="N486">
        <v>177.98</v>
      </c>
      <c r="O486">
        <v>299</v>
      </c>
      <c r="P486" s="5">
        <v>46154</v>
      </c>
      <c r="Q486" s="5">
        <v>46156</v>
      </c>
      <c r="R486" t="s">
        <v>25</v>
      </c>
      <c r="S486" t="s">
        <v>86</v>
      </c>
    </row>
    <row r="487" spans="1:19" x14ac:dyDescent="0.25">
      <c r="A487" t="s">
        <v>579</v>
      </c>
      <c r="B487" s="5">
        <v>46025</v>
      </c>
      <c r="C487" t="s">
        <v>20</v>
      </c>
      <c r="D487" t="s">
        <v>21</v>
      </c>
      <c r="E487" t="s">
        <v>90</v>
      </c>
      <c r="F487" t="s">
        <v>23</v>
      </c>
      <c r="G487" t="s">
        <v>32</v>
      </c>
      <c r="H487">
        <v>87</v>
      </c>
      <c r="I487">
        <v>83</v>
      </c>
      <c r="J487">
        <v>1</v>
      </c>
      <c r="K487">
        <v>4</v>
      </c>
      <c r="L487">
        <v>31260.74</v>
      </c>
      <c r="M487">
        <v>2.21</v>
      </c>
      <c r="N487">
        <v>39.78</v>
      </c>
      <c r="O487">
        <v>100</v>
      </c>
      <c r="P487" s="5">
        <v>46030</v>
      </c>
      <c r="Q487" s="5">
        <v>46030</v>
      </c>
      <c r="R487" t="s">
        <v>25</v>
      </c>
      <c r="S487" t="s">
        <v>51</v>
      </c>
    </row>
    <row r="488" spans="1:19" x14ac:dyDescent="0.25">
      <c r="A488" t="s">
        <v>580</v>
      </c>
      <c r="B488" s="5">
        <v>46109</v>
      </c>
      <c r="C488" t="s">
        <v>28</v>
      </c>
      <c r="D488" t="s">
        <v>29</v>
      </c>
      <c r="E488" t="s">
        <v>63</v>
      </c>
      <c r="F488" t="s">
        <v>23</v>
      </c>
      <c r="G488" t="s">
        <v>32</v>
      </c>
      <c r="H488">
        <v>130</v>
      </c>
      <c r="I488">
        <v>94</v>
      </c>
      <c r="J488">
        <v>7</v>
      </c>
      <c r="K488">
        <v>8.1999999999999993</v>
      </c>
      <c r="L488">
        <v>18627.7</v>
      </c>
      <c r="M488">
        <v>2.5499999999999998</v>
      </c>
      <c r="N488">
        <v>45.9</v>
      </c>
      <c r="O488">
        <v>176</v>
      </c>
      <c r="P488" s="5">
        <v>46114</v>
      </c>
      <c r="Q488" s="5">
        <v>46114</v>
      </c>
      <c r="R488" t="s">
        <v>100</v>
      </c>
      <c r="S488" t="s">
        <v>86</v>
      </c>
    </row>
    <row r="489" spans="1:19" x14ac:dyDescent="0.25">
      <c r="A489" t="s">
        <v>581</v>
      </c>
      <c r="B489" s="5">
        <v>46192</v>
      </c>
      <c r="C489" t="s">
        <v>43</v>
      </c>
      <c r="D489" t="s">
        <v>44</v>
      </c>
      <c r="E489" t="s">
        <v>45</v>
      </c>
      <c r="F489" t="s">
        <v>96</v>
      </c>
      <c r="G489" t="s">
        <v>24</v>
      </c>
      <c r="H489">
        <v>284</v>
      </c>
      <c r="I489">
        <v>326</v>
      </c>
      <c r="J489">
        <v>27</v>
      </c>
      <c r="K489">
        <v>7.9</v>
      </c>
      <c r="L489">
        <v>29229.63</v>
      </c>
      <c r="M489">
        <v>13.1</v>
      </c>
      <c r="N489">
        <v>262</v>
      </c>
      <c r="O489">
        <v>293</v>
      </c>
      <c r="P489" s="5">
        <v>46202</v>
      </c>
      <c r="Q489" s="5">
        <v>46204</v>
      </c>
      <c r="R489" t="s">
        <v>25</v>
      </c>
      <c r="S489" t="s">
        <v>72</v>
      </c>
    </row>
    <row r="490" spans="1:19" x14ac:dyDescent="0.25">
      <c r="A490" t="s">
        <v>582</v>
      </c>
      <c r="B490" s="5">
        <v>46185</v>
      </c>
      <c r="C490" t="s">
        <v>28</v>
      </c>
      <c r="D490" t="s">
        <v>29</v>
      </c>
      <c r="E490" t="s">
        <v>63</v>
      </c>
      <c r="F490" t="s">
        <v>112</v>
      </c>
      <c r="G490" t="s">
        <v>57</v>
      </c>
      <c r="H490">
        <v>275</v>
      </c>
      <c r="I490">
        <v>270</v>
      </c>
      <c r="J490">
        <v>5</v>
      </c>
      <c r="K490">
        <v>4.8</v>
      </c>
      <c r="L490">
        <v>65012.37</v>
      </c>
      <c r="M490">
        <v>5.21</v>
      </c>
      <c r="N490">
        <v>114.62</v>
      </c>
      <c r="O490">
        <v>267</v>
      </c>
      <c r="P490" s="5">
        <v>46195</v>
      </c>
      <c r="Q490" s="5">
        <v>46199</v>
      </c>
      <c r="R490" t="s">
        <v>25</v>
      </c>
      <c r="S490" t="s">
        <v>72</v>
      </c>
    </row>
    <row r="491" spans="1:19" x14ac:dyDescent="0.25">
      <c r="A491" t="s">
        <v>583</v>
      </c>
      <c r="B491" s="5">
        <v>46192</v>
      </c>
      <c r="C491" t="s">
        <v>20</v>
      </c>
      <c r="D491" t="s">
        <v>21</v>
      </c>
      <c r="E491" t="s">
        <v>22</v>
      </c>
      <c r="F491" t="s">
        <v>122</v>
      </c>
      <c r="G491" t="s">
        <v>24</v>
      </c>
      <c r="H491">
        <v>210</v>
      </c>
      <c r="I491">
        <v>186</v>
      </c>
      <c r="J491">
        <v>15</v>
      </c>
      <c r="K491">
        <v>6.8</v>
      </c>
      <c r="L491">
        <v>57800.43</v>
      </c>
      <c r="M491">
        <v>4.1500000000000004</v>
      </c>
      <c r="N491">
        <v>91.3</v>
      </c>
      <c r="O491">
        <v>304</v>
      </c>
      <c r="P491" s="5">
        <v>46201</v>
      </c>
      <c r="Q491" s="5">
        <v>46205</v>
      </c>
      <c r="R491" t="s">
        <v>100</v>
      </c>
      <c r="S491" t="s">
        <v>72</v>
      </c>
    </row>
    <row r="492" spans="1:19" x14ac:dyDescent="0.25">
      <c r="A492" t="s">
        <v>584</v>
      </c>
      <c r="B492" s="5">
        <v>46186</v>
      </c>
      <c r="C492" t="s">
        <v>80</v>
      </c>
      <c r="D492" t="s">
        <v>21</v>
      </c>
      <c r="E492" t="s">
        <v>22</v>
      </c>
      <c r="F492" t="s">
        <v>197</v>
      </c>
      <c r="G492" t="s">
        <v>57</v>
      </c>
      <c r="H492">
        <v>136</v>
      </c>
      <c r="I492">
        <v>150</v>
      </c>
      <c r="J492">
        <v>6</v>
      </c>
      <c r="K492">
        <v>2.1</v>
      </c>
      <c r="L492">
        <v>35230.589999999997</v>
      </c>
      <c r="M492">
        <v>4.0599999999999996</v>
      </c>
      <c r="N492">
        <v>81.2</v>
      </c>
      <c r="O492">
        <v>191</v>
      </c>
      <c r="P492" s="5">
        <v>46192</v>
      </c>
      <c r="Q492" s="5">
        <v>46191</v>
      </c>
      <c r="R492" t="s">
        <v>25</v>
      </c>
      <c r="S492" t="s">
        <v>86</v>
      </c>
    </row>
    <row r="493" spans="1:19" x14ac:dyDescent="0.25">
      <c r="A493" t="s">
        <v>585</v>
      </c>
      <c r="B493" s="5">
        <v>46136</v>
      </c>
      <c r="C493" t="s">
        <v>48</v>
      </c>
      <c r="D493" t="s">
        <v>49</v>
      </c>
      <c r="E493" t="s">
        <v>50</v>
      </c>
      <c r="F493" t="s">
        <v>244</v>
      </c>
      <c r="G493" t="s">
        <v>32</v>
      </c>
      <c r="H493">
        <v>229</v>
      </c>
      <c r="I493">
        <v>168</v>
      </c>
      <c r="J493">
        <v>8</v>
      </c>
      <c r="K493">
        <v>3</v>
      </c>
      <c r="L493">
        <v>32416.720000000001</v>
      </c>
      <c r="M493">
        <v>4.51</v>
      </c>
      <c r="N493">
        <v>108.24</v>
      </c>
      <c r="O493">
        <v>270</v>
      </c>
      <c r="P493" s="5">
        <v>46142</v>
      </c>
      <c r="Q493" s="5">
        <v>46144</v>
      </c>
      <c r="R493" t="s">
        <v>25</v>
      </c>
      <c r="S493" t="s">
        <v>51</v>
      </c>
    </row>
    <row r="494" spans="1:19" x14ac:dyDescent="0.25">
      <c r="A494" t="s">
        <v>586</v>
      </c>
      <c r="B494" s="5">
        <v>46090</v>
      </c>
      <c r="C494" t="s">
        <v>20</v>
      </c>
      <c r="D494" t="s">
        <v>21</v>
      </c>
      <c r="E494" t="s">
        <v>90</v>
      </c>
      <c r="F494" t="s">
        <v>137</v>
      </c>
      <c r="G494" t="s">
        <v>57</v>
      </c>
      <c r="H494">
        <v>310</v>
      </c>
      <c r="I494">
        <v>234</v>
      </c>
      <c r="J494">
        <v>18</v>
      </c>
      <c r="K494">
        <v>4.5999999999999996</v>
      </c>
      <c r="L494">
        <v>85799.63</v>
      </c>
      <c r="M494">
        <v>9.42</v>
      </c>
      <c r="N494">
        <v>169.56</v>
      </c>
      <c r="O494">
        <v>300</v>
      </c>
      <c r="P494" s="5">
        <v>46093</v>
      </c>
      <c r="Q494" s="5">
        <v>46094</v>
      </c>
      <c r="R494" t="s">
        <v>25</v>
      </c>
      <c r="S494" t="s">
        <v>86</v>
      </c>
    </row>
    <row r="495" spans="1:19" x14ac:dyDescent="0.25">
      <c r="A495" t="s">
        <v>587</v>
      </c>
      <c r="B495" s="5">
        <v>46073</v>
      </c>
      <c r="C495" t="s">
        <v>48</v>
      </c>
      <c r="D495" t="s">
        <v>49</v>
      </c>
      <c r="E495" t="s">
        <v>76</v>
      </c>
      <c r="F495" t="s">
        <v>61</v>
      </c>
      <c r="G495" t="s">
        <v>32</v>
      </c>
      <c r="H495">
        <v>157</v>
      </c>
      <c r="I495">
        <v>163</v>
      </c>
      <c r="J495">
        <v>12</v>
      </c>
      <c r="K495">
        <v>7.6</v>
      </c>
      <c r="L495">
        <v>29779.95</v>
      </c>
      <c r="M495">
        <v>3.47</v>
      </c>
      <c r="N495">
        <v>90.22</v>
      </c>
      <c r="O495">
        <v>183</v>
      </c>
      <c r="P495" s="5">
        <v>46075</v>
      </c>
      <c r="Q495" s="5">
        <v>46075</v>
      </c>
      <c r="R495" t="s">
        <v>25</v>
      </c>
      <c r="S495" t="s">
        <v>72</v>
      </c>
    </row>
    <row r="496" spans="1:19" x14ac:dyDescent="0.25">
      <c r="A496" t="s">
        <v>588</v>
      </c>
      <c r="B496" s="5">
        <v>46126</v>
      </c>
      <c r="C496" t="s">
        <v>80</v>
      </c>
      <c r="D496" t="s">
        <v>21</v>
      </c>
      <c r="E496" t="s">
        <v>90</v>
      </c>
      <c r="F496" t="s">
        <v>96</v>
      </c>
      <c r="G496" t="s">
        <v>57</v>
      </c>
      <c r="H496">
        <v>247</v>
      </c>
      <c r="I496">
        <v>232</v>
      </c>
      <c r="J496">
        <v>17</v>
      </c>
      <c r="K496">
        <v>1.3</v>
      </c>
      <c r="L496">
        <v>55234.85</v>
      </c>
      <c r="M496">
        <v>8.35</v>
      </c>
      <c r="N496">
        <v>200.4</v>
      </c>
      <c r="O496">
        <v>266</v>
      </c>
      <c r="P496" s="5">
        <v>46136</v>
      </c>
      <c r="Q496" s="5">
        <v>46140</v>
      </c>
      <c r="R496" t="s">
        <v>100</v>
      </c>
      <c r="S496" t="s">
        <v>86</v>
      </c>
    </row>
    <row r="497" spans="1:19" x14ac:dyDescent="0.25">
      <c r="A497" t="s">
        <v>589</v>
      </c>
      <c r="B497" s="5">
        <v>46071</v>
      </c>
      <c r="C497" t="s">
        <v>35</v>
      </c>
      <c r="D497" t="s">
        <v>36</v>
      </c>
      <c r="E497" t="s">
        <v>69</v>
      </c>
      <c r="F497" t="s">
        <v>23</v>
      </c>
      <c r="G497" t="s">
        <v>32</v>
      </c>
      <c r="H497">
        <v>133</v>
      </c>
      <c r="I497">
        <v>120</v>
      </c>
      <c r="J497">
        <v>9</v>
      </c>
      <c r="K497">
        <v>0.3</v>
      </c>
      <c r="L497">
        <v>10574.73</v>
      </c>
      <c r="M497">
        <v>3.04</v>
      </c>
      <c r="N497">
        <v>54.72</v>
      </c>
      <c r="O497">
        <v>220</v>
      </c>
      <c r="P497" s="5">
        <v>46083</v>
      </c>
      <c r="Q497" s="5">
        <v>46084</v>
      </c>
      <c r="R497" t="s">
        <v>25</v>
      </c>
      <c r="S497" t="s">
        <v>72</v>
      </c>
    </row>
    <row r="498" spans="1:19" x14ac:dyDescent="0.25">
      <c r="A498" t="s">
        <v>590</v>
      </c>
      <c r="B498" s="5">
        <v>46198</v>
      </c>
      <c r="C498" t="s">
        <v>35</v>
      </c>
      <c r="D498" t="s">
        <v>36</v>
      </c>
      <c r="E498" t="s">
        <v>69</v>
      </c>
      <c r="F498" t="s">
        <v>88</v>
      </c>
      <c r="G498" t="s">
        <v>24</v>
      </c>
      <c r="H498">
        <v>163</v>
      </c>
      <c r="I498">
        <v>158</v>
      </c>
      <c r="J498">
        <v>8</v>
      </c>
      <c r="K498">
        <v>0.3</v>
      </c>
      <c r="L498">
        <v>14275.17</v>
      </c>
      <c r="M498">
        <v>6.61</v>
      </c>
      <c r="N498">
        <v>171.86</v>
      </c>
      <c r="O498">
        <v>223</v>
      </c>
      <c r="P498" s="5">
        <v>46206</v>
      </c>
      <c r="Q498" s="5">
        <v>46206</v>
      </c>
      <c r="R498" t="s">
        <v>100</v>
      </c>
      <c r="S498" t="s">
        <v>72</v>
      </c>
    </row>
    <row r="499" spans="1:19" x14ac:dyDescent="0.25">
      <c r="A499" t="s">
        <v>591</v>
      </c>
      <c r="B499" s="5">
        <v>46071</v>
      </c>
      <c r="C499" t="s">
        <v>53</v>
      </c>
      <c r="D499" t="s">
        <v>54</v>
      </c>
      <c r="E499" t="s">
        <v>55</v>
      </c>
      <c r="F499" t="s">
        <v>88</v>
      </c>
      <c r="G499" t="s">
        <v>32</v>
      </c>
      <c r="H499">
        <v>164</v>
      </c>
      <c r="I499">
        <v>158</v>
      </c>
      <c r="J499">
        <v>7</v>
      </c>
      <c r="K499">
        <v>8.1</v>
      </c>
      <c r="L499">
        <v>17227.47</v>
      </c>
      <c r="M499">
        <v>4.9400000000000004</v>
      </c>
      <c r="N499">
        <v>88.92</v>
      </c>
      <c r="O499">
        <v>249</v>
      </c>
      <c r="P499" s="5">
        <v>46073</v>
      </c>
      <c r="Q499" s="5">
        <v>46073</v>
      </c>
      <c r="R499" t="s">
        <v>25</v>
      </c>
      <c r="S499" t="s">
        <v>86</v>
      </c>
    </row>
    <row r="500" spans="1:19" x14ac:dyDescent="0.25">
      <c r="A500" t="s">
        <v>592</v>
      </c>
      <c r="B500" s="5">
        <v>46075</v>
      </c>
      <c r="C500" t="s">
        <v>28</v>
      </c>
      <c r="D500" t="s">
        <v>29</v>
      </c>
      <c r="E500" t="s">
        <v>95</v>
      </c>
      <c r="F500" t="s">
        <v>77</v>
      </c>
      <c r="G500" t="s">
        <v>32</v>
      </c>
      <c r="H500">
        <v>248</v>
      </c>
      <c r="I500">
        <v>234</v>
      </c>
      <c r="J500">
        <v>10</v>
      </c>
      <c r="K500">
        <v>3.3</v>
      </c>
      <c r="L500">
        <v>42032.41</v>
      </c>
      <c r="M500">
        <v>9.32</v>
      </c>
      <c r="N500">
        <v>223.68</v>
      </c>
      <c r="O500">
        <v>248</v>
      </c>
      <c r="P500" s="5">
        <v>46078</v>
      </c>
      <c r="Q500" s="5">
        <v>46078</v>
      </c>
      <c r="R500" t="s">
        <v>39</v>
      </c>
      <c r="S500" t="s">
        <v>33</v>
      </c>
    </row>
    <row r="501" spans="1:19" x14ac:dyDescent="0.25">
      <c r="A501" t="s">
        <v>593</v>
      </c>
      <c r="B501" s="5">
        <v>46122</v>
      </c>
      <c r="C501" t="s">
        <v>28</v>
      </c>
      <c r="D501" t="s">
        <v>29</v>
      </c>
      <c r="E501" t="s">
        <v>63</v>
      </c>
      <c r="F501" t="s">
        <v>31</v>
      </c>
      <c r="G501" t="s">
        <v>57</v>
      </c>
      <c r="H501">
        <v>302</v>
      </c>
      <c r="I501">
        <v>244</v>
      </c>
      <c r="J501">
        <v>10</v>
      </c>
      <c r="K501">
        <v>6.4</v>
      </c>
      <c r="L501">
        <v>56806.59</v>
      </c>
      <c r="M501">
        <v>9.89</v>
      </c>
      <c r="N501">
        <v>257.14</v>
      </c>
      <c r="O501">
        <v>313</v>
      </c>
      <c r="P501" s="5">
        <v>46132</v>
      </c>
      <c r="Q501" s="5">
        <v>46136</v>
      </c>
      <c r="R501" t="s">
        <v>25</v>
      </c>
      <c r="S501" t="s">
        <v>51</v>
      </c>
    </row>
    <row r="502" spans="1:19" x14ac:dyDescent="0.25">
      <c r="A502" t="s">
        <v>594</v>
      </c>
      <c r="B502" s="5">
        <v>46137</v>
      </c>
      <c r="C502" t="s">
        <v>20</v>
      </c>
      <c r="D502" t="s">
        <v>21</v>
      </c>
      <c r="E502" t="s">
        <v>90</v>
      </c>
      <c r="F502" t="s">
        <v>106</v>
      </c>
      <c r="G502" t="s">
        <v>24</v>
      </c>
      <c r="H502">
        <v>234</v>
      </c>
      <c r="I502">
        <v>249</v>
      </c>
      <c r="J502">
        <v>13</v>
      </c>
      <c r="K502">
        <v>8.1999999999999993</v>
      </c>
      <c r="L502">
        <v>90671.53</v>
      </c>
      <c r="M502">
        <v>7.92</v>
      </c>
      <c r="N502">
        <v>142.56</v>
      </c>
      <c r="O502">
        <v>267</v>
      </c>
      <c r="P502" s="5">
        <v>46149</v>
      </c>
      <c r="Q502" s="5">
        <v>46153</v>
      </c>
      <c r="R502" t="s">
        <v>25</v>
      </c>
      <c r="S502" t="s">
        <v>86</v>
      </c>
    </row>
    <row r="503" spans="1:19" x14ac:dyDescent="0.25">
      <c r="A503" t="s">
        <v>595</v>
      </c>
      <c r="B503" s="5">
        <v>46123</v>
      </c>
      <c r="C503" t="s">
        <v>43</v>
      </c>
      <c r="D503" t="s">
        <v>44</v>
      </c>
      <c r="E503" t="s">
        <v>161</v>
      </c>
      <c r="F503" t="s">
        <v>122</v>
      </c>
      <c r="G503" t="s">
        <v>24</v>
      </c>
      <c r="H503">
        <v>143</v>
      </c>
      <c r="I503">
        <v>114</v>
      </c>
      <c r="J503">
        <v>6</v>
      </c>
      <c r="K503">
        <v>3.9</v>
      </c>
      <c r="L503">
        <v>13382.77</v>
      </c>
      <c r="M503">
        <v>3.96</v>
      </c>
      <c r="N503">
        <v>71.28</v>
      </c>
      <c r="O503">
        <v>203</v>
      </c>
      <c r="P503" s="5">
        <v>46125</v>
      </c>
      <c r="Q503" s="5">
        <v>46125</v>
      </c>
      <c r="R503" t="s">
        <v>25</v>
      </c>
      <c r="S503" t="s">
        <v>26</v>
      </c>
    </row>
    <row r="504" spans="1:19" x14ac:dyDescent="0.25">
      <c r="A504" t="s">
        <v>596</v>
      </c>
      <c r="B504" s="5">
        <v>46097</v>
      </c>
      <c r="C504" t="s">
        <v>20</v>
      </c>
      <c r="D504" t="s">
        <v>21</v>
      </c>
      <c r="E504" t="s">
        <v>66</v>
      </c>
      <c r="F504" t="s">
        <v>74</v>
      </c>
      <c r="G504" t="s">
        <v>57</v>
      </c>
      <c r="H504">
        <v>265</v>
      </c>
      <c r="I504">
        <v>273</v>
      </c>
      <c r="J504">
        <v>6</v>
      </c>
      <c r="K504">
        <v>4.4000000000000004</v>
      </c>
      <c r="L504">
        <v>105554.74</v>
      </c>
      <c r="M504">
        <v>11.44</v>
      </c>
      <c r="N504">
        <v>205.92</v>
      </c>
      <c r="O504">
        <v>251</v>
      </c>
      <c r="P504" s="5">
        <v>46107</v>
      </c>
      <c r="Q504" s="5">
        <v>46108</v>
      </c>
      <c r="R504" t="s">
        <v>100</v>
      </c>
      <c r="S504" t="s">
        <v>86</v>
      </c>
    </row>
    <row r="505" spans="1:19" x14ac:dyDescent="0.25">
      <c r="A505" t="s">
        <v>597</v>
      </c>
      <c r="B505" s="5">
        <v>46076</v>
      </c>
      <c r="C505" t="s">
        <v>80</v>
      </c>
      <c r="D505" t="s">
        <v>21</v>
      </c>
      <c r="E505" t="s">
        <v>90</v>
      </c>
      <c r="F505" t="s">
        <v>106</v>
      </c>
      <c r="G505" t="s">
        <v>57</v>
      </c>
      <c r="H505">
        <v>86</v>
      </c>
      <c r="I505">
        <v>64</v>
      </c>
      <c r="J505">
        <v>4</v>
      </c>
      <c r="K505">
        <v>6.7</v>
      </c>
      <c r="L505">
        <v>17414.37</v>
      </c>
      <c r="M505">
        <v>2.4700000000000002</v>
      </c>
      <c r="N505">
        <v>59.28</v>
      </c>
      <c r="O505">
        <v>59</v>
      </c>
      <c r="P505" s="5">
        <v>46078</v>
      </c>
      <c r="Q505" s="5">
        <v>46078</v>
      </c>
      <c r="R505" t="s">
        <v>25</v>
      </c>
      <c r="S505" t="s">
        <v>86</v>
      </c>
    </row>
    <row r="506" spans="1:19" x14ac:dyDescent="0.25">
      <c r="A506" t="s">
        <v>598</v>
      </c>
      <c r="B506" s="5">
        <v>46194</v>
      </c>
      <c r="C506" t="s">
        <v>53</v>
      </c>
      <c r="D506" t="s">
        <v>54</v>
      </c>
      <c r="E506" t="s">
        <v>131</v>
      </c>
      <c r="F506" t="s">
        <v>125</v>
      </c>
      <c r="G506" t="s">
        <v>57</v>
      </c>
      <c r="H506">
        <v>198</v>
      </c>
      <c r="I506">
        <v>148</v>
      </c>
      <c r="J506">
        <v>8</v>
      </c>
      <c r="K506">
        <v>2.2000000000000002</v>
      </c>
      <c r="L506">
        <v>22204.77</v>
      </c>
      <c r="M506">
        <v>5.58</v>
      </c>
      <c r="N506">
        <v>111.6</v>
      </c>
      <c r="O506">
        <v>201</v>
      </c>
      <c r="P506" s="5">
        <v>46196</v>
      </c>
      <c r="Q506" s="5">
        <v>46195</v>
      </c>
      <c r="R506" t="s">
        <v>25</v>
      </c>
      <c r="S506" t="s">
        <v>26</v>
      </c>
    </row>
    <row r="507" spans="1:19" x14ac:dyDescent="0.25">
      <c r="A507" t="s">
        <v>599</v>
      </c>
      <c r="B507" s="5">
        <v>46123</v>
      </c>
      <c r="C507" t="s">
        <v>43</v>
      </c>
      <c r="D507" t="s">
        <v>44</v>
      </c>
      <c r="E507" t="s">
        <v>93</v>
      </c>
      <c r="F507" t="s">
        <v>110</v>
      </c>
      <c r="G507" t="s">
        <v>24</v>
      </c>
      <c r="H507">
        <v>251</v>
      </c>
      <c r="I507">
        <v>263</v>
      </c>
      <c r="J507">
        <v>17</v>
      </c>
      <c r="K507">
        <v>1.4</v>
      </c>
      <c r="L507">
        <v>27093.72</v>
      </c>
      <c r="M507">
        <v>4.95</v>
      </c>
      <c r="N507">
        <v>128.69999999999999</v>
      </c>
      <c r="O507">
        <v>266</v>
      </c>
      <c r="P507" s="5">
        <v>46132</v>
      </c>
      <c r="Q507" s="5">
        <v>46130</v>
      </c>
      <c r="R507" t="s">
        <v>39</v>
      </c>
      <c r="S507" t="s">
        <v>33</v>
      </c>
    </row>
    <row r="508" spans="1:19" x14ac:dyDescent="0.25">
      <c r="A508" t="s">
        <v>600</v>
      </c>
      <c r="B508" s="5">
        <v>46122</v>
      </c>
      <c r="C508" t="s">
        <v>59</v>
      </c>
      <c r="D508" t="s">
        <v>49</v>
      </c>
      <c r="E508" t="s">
        <v>76</v>
      </c>
      <c r="F508" t="s">
        <v>135</v>
      </c>
      <c r="G508" t="s">
        <v>32</v>
      </c>
      <c r="H508">
        <v>93</v>
      </c>
      <c r="I508">
        <v>90</v>
      </c>
      <c r="J508">
        <v>0</v>
      </c>
      <c r="K508">
        <v>3.4</v>
      </c>
      <c r="L508">
        <v>13088.67</v>
      </c>
      <c r="M508">
        <v>3.58</v>
      </c>
      <c r="N508">
        <v>71.599999999999994</v>
      </c>
      <c r="O508">
        <v>76</v>
      </c>
      <c r="P508" s="5">
        <v>46124</v>
      </c>
      <c r="Q508" s="5">
        <v>46126</v>
      </c>
      <c r="R508" t="s">
        <v>25</v>
      </c>
      <c r="S508" t="s">
        <v>51</v>
      </c>
    </row>
    <row r="509" spans="1:19" x14ac:dyDescent="0.25">
      <c r="A509" t="s">
        <v>601</v>
      </c>
      <c r="B509" s="5">
        <v>46197</v>
      </c>
      <c r="C509" t="s">
        <v>20</v>
      </c>
      <c r="D509" t="s">
        <v>21</v>
      </c>
      <c r="E509" t="s">
        <v>22</v>
      </c>
      <c r="F509" t="s">
        <v>31</v>
      </c>
      <c r="G509" t="s">
        <v>24</v>
      </c>
      <c r="H509">
        <v>305</v>
      </c>
      <c r="I509">
        <v>232</v>
      </c>
      <c r="J509">
        <v>18</v>
      </c>
      <c r="K509">
        <v>6</v>
      </c>
      <c r="L509">
        <v>71280.679999999993</v>
      </c>
      <c r="M509">
        <v>7.03</v>
      </c>
      <c r="N509">
        <v>154.66</v>
      </c>
      <c r="O509">
        <v>347</v>
      </c>
      <c r="P509" s="5">
        <v>46207</v>
      </c>
      <c r="Q509" s="5">
        <v>46207</v>
      </c>
      <c r="R509" t="s">
        <v>39</v>
      </c>
      <c r="S509" t="s">
        <v>72</v>
      </c>
    </row>
    <row r="510" spans="1:19" x14ac:dyDescent="0.25">
      <c r="A510" t="s">
        <v>602</v>
      </c>
      <c r="B510" s="5">
        <v>46132</v>
      </c>
      <c r="C510" t="s">
        <v>20</v>
      </c>
      <c r="D510" t="s">
        <v>21</v>
      </c>
      <c r="E510" t="s">
        <v>22</v>
      </c>
      <c r="F510" t="s">
        <v>91</v>
      </c>
      <c r="G510" t="s">
        <v>57</v>
      </c>
      <c r="H510">
        <v>134</v>
      </c>
      <c r="I510">
        <v>102</v>
      </c>
      <c r="J510">
        <v>3</v>
      </c>
      <c r="K510">
        <v>0.1</v>
      </c>
      <c r="L510">
        <v>30308.95</v>
      </c>
      <c r="M510">
        <v>2.36</v>
      </c>
      <c r="N510">
        <v>47.2</v>
      </c>
      <c r="O510">
        <v>110</v>
      </c>
      <c r="P510" s="5">
        <v>46144</v>
      </c>
      <c r="Q510" s="5">
        <v>46144</v>
      </c>
      <c r="R510" t="s">
        <v>39</v>
      </c>
      <c r="S510" t="s">
        <v>33</v>
      </c>
    </row>
    <row r="511" spans="1:19" x14ac:dyDescent="0.25">
      <c r="A511" t="s">
        <v>603</v>
      </c>
      <c r="B511" s="5">
        <v>46078</v>
      </c>
      <c r="C511" t="s">
        <v>35</v>
      </c>
      <c r="D511" t="s">
        <v>36</v>
      </c>
      <c r="E511" t="s">
        <v>69</v>
      </c>
      <c r="F511" t="s">
        <v>41</v>
      </c>
      <c r="G511" t="s">
        <v>24</v>
      </c>
      <c r="H511">
        <v>276</v>
      </c>
      <c r="I511">
        <v>269</v>
      </c>
      <c r="J511">
        <v>25</v>
      </c>
      <c r="K511">
        <v>0.9</v>
      </c>
      <c r="L511">
        <v>28385.8</v>
      </c>
      <c r="M511">
        <v>10.33</v>
      </c>
      <c r="N511">
        <v>206.6</v>
      </c>
      <c r="O511">
        <v>300</v>
      </c>
      <c r="P511" s="5">
        <v>46081</v>
      </c>
      <c r="Q511" s="5">
        <v>46082</v>
      </c>
      <c r="R511" t="s">
        <v>100</v>
      </c>
      <c r="S511" t="s">
        <v>51</v>
      </c>
    </row>
    <row r="512" spans="1:19" x14ac:dyDescent="0.25">
      <c r="A512" t="s">
        <v>604</v>
      </c>
      <c r="B512" s="5">
        <v>46108</v>
      </c>
      <c r="C512" t="s">
        <v>43</v>
      </c>
      <c r="D512" t="s">
        <v>44</v>
      </c>
      <c r="E512" t="s">
        <v>45</v>
      </c>
      <c r="F512" t="s">
        <v>114</v>
      </c>
      <c r="G512" t="s">
        <v>24</v>
      </c>
      <c r="H512">
        <v>274</v>
      </c>
      <c r="I512">
        <v>301</v>
      </c>
      <c r="J512">
        <v>10</v>
      </c>
      <c r="K512">
        <v>7.7</v>
      </c>
      <c r="L512">
        <v>33581.58</v>
      </c>
      <c r="M512">
        <v>9.81</v>
      </c>
      <c r="N512">
        <v>255.06</v>
      </c>
      <c r="O512">
        <v>348</v>
      </c>
      <c r="P512" s="5">
        <v>46116</v>
      </c>
      <c r="Q512" s="5">
        <v>46116</v>
      </c>
      <c r="R512" t="s">
        <v>39</v>
      </c>
      <c r="S512" t="s">
        <v>33</v>
      </c>
    </row>
    <row r="513" spans="1:19" x14ac:dyDescent="0.25">
      <c r="A513" t="s">
        <v>605</v>
      </c>
      <c r="B513" s="5">
        <v>46082</v>
      </c>
      <c r="C513" t="s">
        <v>80</v>
      </c>
      <c r="D513" t="s">
        <v>21</v>
      </c>
      <c r="E513" t="s">
        <v>66</v>
      </c>
      <c r="F513" t="s">
        <v>46</v>
      </c>
      <c r="G513" t="s">
        <v>57</v>
      </c>
      <c r="H513">
        <v>274</v>
      </c>
      <c r="I513">
        <v>302</v>
      </c>
      <c r="J513">
        <v>9</v>
      </c>
      <c r="K513">
        <v>6.6</v>
      </c>
      <c r="L513">
        <v>90824.06</v>
      </c>
      <c r="M513">
        <v>5.87</v>
      </c>
      <c r="N513">
        <v>129.13999999999999</v>
      </c>
      <c r="O513">
        <v>361</v>
      </c>
      <c r="P513" s="5">
        <v>46088</v>
      </c>
      <c r="Q513" s="5">
        <v>46088</v>
      </c>
      <c r="R513" t="s">
        <v>25</v>
      </c>
      <c r="S513" t="s">
        <v>33</v>
      </c>
    </row>
    <row r="514" spans="1:19" x14ac:dyDescent="0.25">
      <c r="A514" t="s">
        <v>606</v>
      </c>
      <c r="B514" s="5">
        <v>46083</v>
      </c>
      <c r="C514" t="s">
        <v>53</v>
      </c>
      <c r="D514" t="s">
        <v>54</v>
      </c>
      <c r="E514" t="s">
        <v>131</v>
      </c>
      <c r="F514" t="s">
        <v>23</v>
      </c>
      <c r="G514" t="s">
        <v>57</v>
      </c>
      <c r="H514">
        <v>114</v>
      </c>
      <c r="I514">
        <v>95</v>
      </c>
      <c r="J514">
        <v>5</v>
      </c>
      <c r="K514">
        <v>6.8</v>
      </c>
      <c r="L514">
        <v>15423.52</v>
      </c>
      <c r="M514">
        <v>3.19</v>
      </c>
      <c r="N514">
        <v>70.180000000000007</v>
      </c>
      <c r="O514">
        <v>80</v>
      </c>
      <c r="P514" s="5">
        <v>46088</v>
      </c>
      <c r="Q514" s="5">
        <v>46089</v>
      </c>
      <c r="R514" t="s">
        <v>25</v>
      </c>
      <c r="S514" t="s">
        <v>26</v>
      </c>
    </row>
    <row r="515" spans="1:19" x14ac:dyDescent="0.25">
      <c r="A515" t="s">
        <v>607</v>
      </c>
      <c r="B515" s="5">
        <v>46036</v>
      </c>
      <c r="C515" t="s">
        <v>28</v>
      </c>
      <c r="D515" t="s">
        <v>29</v>
      </c>
      <c r="E515" t="s">
        <v>30</v>
      </c>
      <c r="F515" t="s">
        <v>31</v>
      </c>
      <c r="G515" t="s">
        <v>57</v>
      </c>
      <c r="H515">
        <v>258</v>
      </c>
      <c r="I515">
        <v>265</v>
      </c>
      <c r="J515">
        <v>15</v>
      </c>
      <c r="K515">
        <v>3.4</v>
      </c>
      <c r="L515">
        <v>55814.41</v>
      </c>
      <c r="M515">
        <v>4.8099999999999996</v>
      </c>
      <c r="N515">
        <v>115.44</v>
      </c>
      <c r="O515">
        <v>235</v>
      </c>
      <c r="P515" s="5">
        <v>46041</v>
      </c>
      <c r="Q515" s="5">
        <v>46039</v>
      </c>
      <c r="R515" t="s">
        <v>25</v>
      </c>
      <c r="S515" t="s">
        <v>33</v>
      </c>
    </row>
    <row r="516" spans="1:19" x14ac:dyDescent="0.25">
      <c r="A516" t="s">
        <v>608</v>
      </c>
      <c r="B516" s="5">
        <v>46067</v>
      </c>
      <c r="C516" t="s">
        <v>28</v>
      </c>
      <c r="D516" t="s">
        <v>29</v>
      </c>
      <c r="E516" t="s">
        <v>63</v>
      </c>
      <c r="F516" t="s">
        <v>122</v>
      </c>
      <c r="G516" t="s">
        <v>32</v>
      </c>
      <c r="H516">
        <v>209</v>
      </c>
      <c r="I516">
        <v>157</v>
      </c>
      <c r="J516">
        <v>11</v>
      </c>
      <c r="K516">
        <v>2.8</v>
      </c>
      <c r="L516">
        <v>36107.879999999997</v>
      </c>
      <c r="M516">
        <v>3.49</v>
      </c>
      <c r="N516">
        <v>69.8</v>
      </c>
      <c r="O516">
        <v>246</v>
      </c>
      <c r="P516" s="5">
        <v>46073</v>
      </c>
      <c r="Q516" s="5">
        <v>46077</v>
      </c>
      <c r="R516" t="s">
        <v>25</v>
      </c>
      <c r="S516" t="s">
        <v>33</v>
      </c>
    </row>
    <row r="517" spans="1:19" x14ac:dyDescent="0.25">
      <c r="A517" t="s">
        <v>609</v>
      </c>
      <c r="B517" s="5">
        <v>46115</v>
      </c>
      <c r="C517" t="s">
        <v>35</v>
      </c>
      <c r="D517" t="s">
        <v>36</v>
      </c>
      <c r="E517" t="s">
        <v>69</v>
      </c>
      <c r="F517" t="s">
        <v>197</v>
      </c>
      <c r="G517" t="s">
        <v>32</v>
      </c>
      <c r="H517">
        <v>122</v>
      </c>
      <c r="I517">
        <v>112</v>
      </c>
      <c r="J517">
        <v>4</v>
      </c>
      <c r="K517">
        <v>5.5</v>
      </c>
      <c r="L517">
        <v>9137.98</v>
      </c>
      <c r="M517">
        <v>4.58</v>
      </c>
      <c r="N517">
        <v>109.92</v>
      </c>
      <c r="O517">
        <v>87</v>
      </c>
      <c r="P517" s="5">
        <v>46123</v>
      </c>
      <c r="Q517" s="5">
        <v>46125</v>
      </c>
      <c r="R517" t="s">
        <v>25</v>
      </c>
      <c r="S517" t="s">
        <v>26</v>
      </c>
    </row>
    <row r="518" spans="1:19" x14ac:dyDescent="0.25">
      <c r="A518" t="s">
        <v>611</v>
      </c>
      <c r="B518" s="5">
        <v>46026</v>
      </c>
      <c r="C518" t="s">
        <v>48</v>
      </c>
      <c r="D518" t="s">
        <v>49</v>
      </c>
      <c r="E518" t="s">
        <v>76</v>
      </c>
      <c r="F518" t="s">
        <v>46</v>
      </c>
      <c r="G518" t="s">
        <v>24</v>
      </c>
      <c r="H518">
        <v>183</v>
      </c>
      <c r="I518">
        <v>204</v>
      </c>
      <c r="J518">
        <v>18</v>
      </c>
      <c r="K518">
        <v>8.6999999999999993</v>
      </c>
      <c r="L518">
        <v>38832.69</v>
      </c>
      <c r="M518">
        <v>6.81</v>
      </c>
      <c r="N518">
        <v>177.06</v>
      </c>
      <c r="O518">
        <v>161</v>
      </c>
      <c r="P518" s="5">
        <v>46034</v>
      </c>
      <c r="Q518" s="5">
        <v>46032</v>
      </c>
      <c r="R518" t="s">
        <v>25</v>
      </c>
      <c r="S518" t="s">
        <v>51</v>
      </c>
    </row>
    <row r="519" spans="1:19" x14ac:dyDescent="0.25">
      <c r="A519" t="s">
        <v>612</v>
      </c>
      <c r="B519" s="5">
        <v>46072</v>
      </c>
      <c r="C519" t="s">
        <v>35</v>
      </c>
      <c r="D519" t="s">
        <v>36</v>
      </c>
      <c r="E519" t="s">
        <v>69</v>
      </c>
      <c r="F519" t="s">
        <v>64</v>
      </c>
      <c r="G519" t="s">
        <v>32</v>
      </c>
      <c r="H519">
        <v>277</v>
      </c>
      <c r="I519">
        <v>308</v>
      </c>
      <c r="J519">
        <v>21</v>
      </c>
      <c r="K519">
        <v>4.5999999999999996</v>
      </c>
      <c r="L519">
        <v>29668.12</v>
      </c>
      <c r="M519">
        <v>10.69</v>
      </c>
      <c r="N519">
        <v>256.56</v>
      </c>
      <c r="O519">
        <v>345</v>
      </c>
      <c r="P519" s="5">
        <v>46077</v>
      </c>
      <c r="Q519" s="5">
        <v>46077</v>
      </c>
      <c r="R519" t="s">
        <v>100</v>
      </c>
      <c r="S519" t="s">
        <v>33</v>
      </c>
    </row>
    <row r="520" spans="1:19" x14ac:dyDescent="0.25">
      <c r="A520" t="s">
        <v>613</v>
      </c>
      <c r="B520" s="5">
        <v>46201</v>
      </c>
      <c r="C520" t="s">
        <v>43</v>
      </c>
      <c r="D520" t="s">
        <v>44</v>
      </c>
      <c r="E520" t="s">
        <v>161</v>
      </c>
      <c r="F520" t="s">
        <v>106</v>
      </c>
      <c r="G520" t="s">
        <v>24</v>
      </c>
      <c r="H520">
        <v>234</v>
      </c>
      <c r="I520">
        <v>214</v>
      </c>
      <c r="J520">
        <v>14</v>
      </c>
      <c r="K520">
        <v>2.2999999999999998</v>
      </c>
      <c r="L520">
        <v>29216.55</v>
      </c>
      <c r="M520">
        <v>8.17</v>
      </c>
      <c r="N520">
        <v>147.06</v>
      </c>
      <c r="O520">
        <v>223</v>
      </c>
      <c r="P520" s="5">
        <v>46204</v>
      </c>
      <c r="Q520" s="5">
        <v>46206</v>
      </c>
      <c r="R520" t="s">
        <v>100</v>
      </c>
      <c r="S520" t="s">
        <v>33</v>
      </c>
    </row>
    <row r="521" spans="1:19" x14ac:dyDescent="0.25">
      <c r="A521" t="s">
        <v>614</v>
      </c>
      <c r="B521" s="5">
        <v>46155</v>
      </c>
      <c r="C521" t="s">
        <v>28</v>
      </c>
      <c r="D521" t="s">
        <v>29</v>
      </c>
      <c r="E521" t="s">
        <v>95</v>
      </c>
      <c r="F521" t="s">
        <v>197</v>
      </c>
      <c r="G521" t="s">
        <v>32</v>
      </c>
      <c r="H521">
        <v>122</v>
      </c>
      <c r="I521">
        <v>131</v>
      </c>
      <c r="J521">
        <v>3</v>
      </c>
      <c r="K521">
        <v>2.7</v>
      </c>
      <c r="L521">
        <v>36473.129999999997</v>
      </c>
      <c r="M521">
        <v>3.56</v>
      </c>
      <c r="N521">
        <v>78.319999999999993</v>
      </c>
      <c r="O521">
        <v>187</v>
      </c>
      <c r="P521" s="5">
        <v>46158</v>
      </c>
      <c r="Q521" s="5">
        <v>46157</v>
      </c>
      <c r="R521" t="s">
        <v>39</v>
      </c>
      <c r="S521" t="s">
        <v>51</v>
      </c>
    </row>
    <row r="522" spans="1:19" x14ac:dyDescent="0.25">
      <c r="A522" t="s">
        <v>615</v>
      </c>
      <c r="B522" s="5">
        <v>46091</v>
      </c>
      <c r="C522" t="s">
        <v>28</v>
      </c>
      <c r="D522" t="s">
        <v>29</v>
      </c>
      <c r="E522" t="s">
        <v>30</v>
      </c>
      <c r="F522" t="s">
        <v>244</v>
      </c>
      <c r="G522" t="s">
        <v>57</v>
      </c>
      <c r="H522">
        <v>181</v>
      </c>
      <c r="I522">
        <v>184</v>
      </c>
      <c r="J522">
        <v>1</v>
      </c>
      <c r="K522">
        <v>1.5</v>
      </c>
      <c r="L522">
        <v>37411.040000000001</v>
      </c>
      <c r="M522">
        <v>6.73</v>
      </c>
      <c r="N522">
        <v>161.52000000000001</v>
      </c>
      <c r="O522">
        <v>275</v>
      </c>
      <c r="P522" s="5">
        <v>46099</v>
      </c>
      <c r="Q522" s="5">
        <v>46099</v>
      </c>
      <c r="R522" t="s">
        <v>100</v>
      </c>
      <c r="S522" t="s">
        <v>86</v>
      </c>
    </row>
    <row r="523" spans="1:19" x14ac:dyDescent="0.25">
      <c r="A523" t="s">
        <v>616</v>
      </c>
      <c r="B523" s="5">
        <v>46070</v>
      </c>
      <c r="C523" t="s">
        <v>43</v>
      </c>
      <c r="D523" t="s">
        <v>44</v>
      </c>
      <c r="E523" t="s">
        <v>93</v>
      </c>
      <c r="F523" t="s">
        <v>110</v>
      </c>
      <c r="G523" t="s">
        <v>24</v>
      </c>
      <c r="H523">
        <v>204</v>
      </c>
      <c r="I523">
        <v>162</v>
      </c>
      <c r="J523">
        <v>14</v>
      </c>
      <c r="K523">
        <v>4.0999999999999996</v>
      </c>
      <c r="L523">
        <v>19401.84</v>
      </c>
      <c r="M523">
        <v>3.15</v>
      </c>
      <c r="N523">
        <v>63</v>
      </c>
      <c r="O523">
        <v>213</v>
      </c>
      <c r="P523" s="5">
        <v>46076</v>
      </c>
      <c r="Q523" s="5">
        <v>46078</v>
      </c>
      <c r="R523" t="s">
        <v>100</v>
      </c>
      <c r="S523" t="s">
        <v>33</v>
      </c>
    </row>
    <row r="524" spans="1:19" x14ac:dyDescent="0.25">
      <c r="A524" t="s">
        <v>617</v>
      </c>
      <c r="B524" s="5">
        <v>46185</v>
      </c>
      <c r="C524" t="s">
        <v>43</v>
      </c>
      <c r="D524" t="s">
        <v>44</v>
      </c>
      <c r="E524" t="s">
        <v>93</v>
      </c>
      <c r="F524" t="s">
        <v>41</v>
      </c>
      <c r="G524" t="s">
        <v>24</v>
      </c>
      <c r="H524">
        <v>155</v>
      </c>
      <c r="I524">
        <v>117</v>
      </c>
      <c r="J524">
        <v>1</v>
      </c>
      <c r="K524">
        <v>0.6</v>
      </c>
      <c r="L524">
        <v>10606.67</v>
      </c>
      <c r="M524">
        <v>3.47</v>
      </c>
      <c r="N524">
        <v>62.46</v>
      </c>
      <c r="O524">
        <v>117</v>
      </c>
      <c r="P524" s="5">
        <v>46187</v>
      </c>
      <c r="Q524" s="5">
        <v>46187</v>
      </c>
      <c r="R524" t="s">
        <v>25</v>
      </c>
      <c r="S524" t="s">
        <v>33</v>
      </c>
    </row>
    <row r="525" spans="1:19" x14ac:dyDescent="0.25">
      <c r="A525" t="s">
        <v>618</v>
      </c>
      <c r="B525" s="5">
        <v>46047</v>
      </c>
      <c r="C525" t="s">
        <v>28</v>
      </c>
      <c r="D525" t="s">
        <v>29</v>
      </c>
      <c r="E525" t="s">
        <v>30</v>
      </c>
      <c r="F525" t="s">
        <v>96</v>
      </c>
      <c r="G525" t="s">
        <v>57</v>
      </c>
      <c r="H525">
        <v>282</v>
      </c>
      <c r="I525">
        <v>203</v>
      </c>
      <c r="J525">
        <v>12</v>
      </c>
      <c r="K525">
        <v>8.9</v>
      </c>
      <c r="L525">
        <v>56645.9</v>
      </c>
      <c r="M525">
        <v>5.96</v>
      </c>
      <c r="N525">
        <v>131.12</v>
      </c>
      <c r="O525">
        <v>351</v>
      </c>
      <c r="P525" s="5">
        <v>46054</v>
      </c>
      <c r="Q525" s="5">
        <v>46055</v>
      </c>
      <c r="R525" t="s">
        <v>25</v>
      </c>
      <c r="S525" t="s">
        <v>86</v>
      </c>
    </row>
    <row r="526" spans="1:19" x14ac:dyDescent="0.25">
      <c r="A526" t="s">
        <v>619</v>
      </c>
      <c r="B526" s="5">
        <v>46193</v>
      </c>
      <c r="C526" t="s">
        <v>35</v>
      </c>
      <c r="D526" t="s">
        <v>36</v>
      </c>
      <c r="E526" t="s">
        <v>69</v>
      </c>
      <c r="F526" t="s">
        <v>122</v>
      </c>
      <c r="G526" t="s">
        <v>24</v>
      </c>
      <c r="H526">
        <v>236</v>
      </c>
      <c r="I526">
        <v>175</v>
      </c>
      <c r="J526">
        <v>6</v>
      </c>
      <c r="K526">
        <v>3</v>
      </c>
      <c r="L526">
        <v>13634.77</v>
      </c>
      <c r="M526">
        <v>6.08</v>
      </c>
      <c r="N526">
        <v>121.6</v>
      </c>
      <c r="O526">
        <v>202</v>
      </c>
      <c r="P526" s="5">
        <v>46204</v>
      </c>
      <c r="Q526" s="5">
        <v>46203</v>
      </c>
      <c r="R526" t="s">
        <v>39</v>
      </c>
      <c r="S526" t="s">
        <v>51</v>
      </c>
    </row>
    <row r="527" spans="1:19" x14ac:dyDescent="0.25">
      <c r="A527" t="s">
        <v>620</v>
      </c>
      <c r="B527" s="5">
        <v>46117</v>
      </c>
      <c r="C527" t="s">
        <v>53</v>
      </c>
      <c r="D527" t="s">
        <v>54</v>
      </c>
      <c r="E527" t="s">
        <v>131</v>
      </c>
      <c r="F527" t="s">
        <v>104</v>
      </c>
      <c r="G527" t="s">
        <v>32</v>
      </c>
      <c r="H527">
        <v>211</v>
      </c>
      <c r="I527">
        <v>189</v>
      </c>
      <c r="J527">
        <v>4</v>
      </c>
      <c r="K527">
        <v>8.9</v>
      </c>
      <c r="L527">
        <v>34083.550000000003</v>
      </c>
      <c r="M527">
        <v>3.48</v>
      </c>
      <c r="N527">
        <v>76.56</v>
      </c>
      <c r="O527">
        <v>182</v>
      </c>
      <c r="P527" s="5">
        <v>46124</v>
      </c>
      <c r="Q527" s="5">
        <v>46128</v>
      </c>
      <c r="R527" t="s">
        <v>25</v>
      </c>
      <c r="S527" t="s">
        <v>72</v>
      </c>
    </row>
    <row r="528" spans="1:19" x14ac:dyDescent="0.25">
      <c r="A528" t="s">
        <v>621</v>
      </c>
      <c r="B528" s="5">
        <v>46179</v>
      </c>
      <c r="C528" t="s">
        <v>20</v>
      </c>
      <c r="D528" t="s">
        <v>21</v>
      </c>
      <c r="E528" t="s">
        <v>90</v>
      </c>
      <c r="F528" t="s">
        <v>56</v>
      </c>
      <c r="G528" t="s">
        <v>24</v>
      </c>
      <c r="H528">
        <v>189</v>
      </c>
      <c r="I528">
        <v>212</v>
      </c>
      <c r="J528">
        <v>19</v>
      </c>
      <c r="K528">
        <v>4.3</v>
      </c>
      <c r="L528">
        <v>76445.649999999994</v>
      </c>
      <c r="M528">
        <v>4.33</v>
      </c>
      <c r="N528">
        <v>103.92</v>
      </c>
      <c r="O528">
        <v>224</v>
      </c>
      <c r="P528" s="5">
        <v>46190</v>
      </c>
      <c r="Q528" s="5">
        <v>46190</v>
      </c>
      <c r="R528" t="s">
        <v>25</v>
      </c>
      <c r="S528" t="s">
        <v>26</v>
      </c>
    </row>
    <row r="529" spans="1:19" x14ac:dyDescent="0.25">
      <c r="A529" t="s">
        <v>622</v>
      </c>
      <c r="B529" s="5">
        <v>46152</v>
      </c>
      <c r="C529" t="s">
        <v>80</v>
      </c>
      <c r="D529" t="s">
        <v>21</v>
      </c>
      <c r="E529" t="s">
        <v>22</v>
      </c>
      <c r="F529" t="s">
        <v>31</v>
      </c>
      <c r="G529" t="s">
        <v>57</v>
      </c>
      <c r="H529">
        <v>207</v>
      </c>
      <c r="I529">
        <v>219</v>
      </c>
      <c r="J529">
        <v>7</v>
      </c>
      <c r="K529">
        <v>6.1</v>
      </c>
      <c r="L529">
        <v>65395.5</v>
      </c>
      <c r="M529">
        <v>4.83</v>
      </c>
      <c r="N529">
        <v>115.92</v>
      </c>
      <c r="O529">
        <v>196</v>
      </c>
      <c r="P529" s="5">
        <v>46161</v>
      </c>
      <c r="Q529" s="5">
        <v>46161</v>
      </c>
      <c r="R529" t="s">
        <v>25</v>
      </c>
      <c r="S529" t="s">
        <v>33</v>
      </c>
    </row>
    <row r="530" spans="1:19" x14ac:dyDescent="0.25">
      <c r="A530" t="s">
        <v>623</v>
      </c>
      <c r="B530" s="5">
        <v>46050</v>
      </c>
      <c r="C530" t="s">
        <v>35</v>
      </c>
      <c r="D530" t="s">
        <v>36</v>
      </c>
      <c r="E530" t="s">
        <v>37</v>
      </c>
      <c r="F530" t="s">
        <v>83</v>
      </c>
      <c r="G530" t="s">
        <v>24</v>
      </c>
      <c r="H530">
        <v>121</v>
      </c>
      <c r="I530">
        <v>135</v>
      </c>
      <c r="J530">
        <v>4</v>
      </c>
      <c r="K530">
        <v>3.5</v>
      </c>
      <c r="L530">
        <v>12118.95</v>
      </c>
      <c r="M530">
        <v>4.59</v>
      </c>
      <c r="N530">
        <v>82.62</v>
      </c>
      <c r="O530">
        <v>115</v>
      </c>
      <c r="P530" s="5">
        <v>46060</v>
      </c>
      <c r="Q530" s="5">
        <v>46064</v>
      </c>
      <c r="R530" t="s">
        <v>25</v>
      </c>
      <c r="S530" t="s">
        <v>86</v>
      </c>
    </row>
    <row r="531" spans="1:19" x14ac:dyDescent="0.25">
      <c r="A531" t="s">
        <v>624</v>
      </c>
      <c r="B531" s="5">
        <v>46080</v>
      </c>
      <c r="C531" t="s">
        <v>20</v>
      </c>
      <c r="D531" t="s">
        <v>21</v>
      </c>
      <c r="E531" t="s">
        <v>66</v>
      </c>
      <c r="F531" t="s">
        <v>125</v>
      </c>
      <c r="G531" t="s">
        <v>57</v>
      </c>
      <c r="H531">
        <v>167</v>
      </c>
      <c r="I531">
        <v>147</v>
      </c>
      <c r="J531">
        <v>10</v>
      </c>
      <c r="K531">
        <v>6.6</v>
      </c>
      <c r="L531">
        <v>47311.58</v>
      </c>
      <c r="M531">
        <v>4.63</v>
      </c>
      <c r="N531">
        <v>111.12</v>
      </c>
      <c r="O531">
        <v>186</v>
      </c>
      <c r="P531" s="5">
        <v>46085</v>
      </c>
      <c r="Q531" s="5">
        <v>46085</v>
      </c>
      <c r="R531" t="s">
        <v>25</v>
      </c>
      <c r="S531" t="s">
        <v>33</v>
      </c>
    </row>
    <row r="532" spans="1:19" x14ac:dyDescent="0.25">
      <c r="A532" t="s">
        <v>625</v>
      </c>
      <c r="B532" s="5">
        <v>46045</v>
      </c>
      <c r="C532" t="s">
        <v>48</v>
      </c>
      <c r="D532" t="s">
        <v>49</v>
      </c>
      <c r="E532" t="s">
        <v>60</v>
      </c>
      <c r="F532" t="s">
        <v>137</v>
      </c>
      <c r="G532" t="s">
        <v>57</v>
      </c>
      <c r="H532">
        <v>231</v>
      </c>
      <c r="I532">
        <v>259</v>
      </c>
      <c r="J532">
        <v>18</v>
      </c>
      <c r="K532">
        <v>1</v>
      </c>
      <c r="L532">
        <v>54006.89</v>
      </c>
      <c r="M532">
        <v>10.59</v>
      </c>
      <c r="N532">
        <v>275.33999999999997</v>
      </c>
      <c r="O532">
        <v>191</v>
      </c>
      <c r="P532" s="5">
        <v>46051</v>
      </c>
      <c r="Q532" s="5">
        <v>46049</v>
      </c>
      <c r="R532" t="s">
        <v>39</v>
      </c>
      <c r="S532" t="s">
        <v>72</v>
      </c>
    </row>
    <row r="533" spans="1:19" x14ac:dyDescent="0.25">
      <c r="A533" t="s">
        <v>626</v>
      </c>
      <c r="B533" s="5">
        <v>46131</v>
      </c>
      <c r="C533" t="s">
        <v>48</v>
      </c>
      <c r="D533" t="s">
        <v>49</v>
      </c>
      <c r="E533" t="s">
        <v>76</v>
      </c>
      <c r="F533" t="s">
        <v>61</v>
      </c>
      <c r="G533" t="s">
        <v>57</v>
      </c>
      <c r="H533">
        <v>284</v>
      </c>
      <c r="I533">
        <v>287</v>
      </c>
      <c r="J533">
        <v>22</v>
      </c>
      <c r="K533">
        <v>4.7</v>
      </c>
      <c r="L533">
        <v>55080.68</v>
      </c>
      <c r="M533">
        <v>7.89</v>
      </c>
      <c r="N533">
        <v>205.14</v>
      </c>
      <c r="O533">
        <v>361</v>
      </c>
      <c r="P533" s="5">
        <v>46138</v>
      </c>
      <c r="Q533" s="5">
        <v>46138</v>
      </c>
      <c r="R533" t="s">
        <v>25</v>
      </c>
      <c r="S533" t="s">
        <v>72</v>
      </c>
    </row>
    <row r="534" spans="1:19" x14ac:dyDescent="0.25">
      <c r="A534" t="s">
        <v>627</v>
      </c>
      <c r="B534" s="5">
        <v>46197</v>
      </c>
      <c r="C534" t="s">
        <v>53</v>
      </c>
      <c r="D534" t="s">
        <v>54</v>
      </c>
      <c r="E534" t="s">
        <v>55</v>
      </c>
      <c r="F534" t="s">
        <v>119</v>
      </c>
      <c r="G534" t="s">
        <v>32</v>
      </c>
      <c r="H534">
        <v>233</v>
      </c>
      <c r="I534">
        <v>196</v>
      </c>
      <c r="J534">
        <v>14</v>
      </c>
      <c r="K534">
        <v>7.6</v>
      </c>
      <c r="L534">
        <v>27404.71</v>
      </c>
      <c r="M534">
        <v>5.03</v>
      </c>
      <c r="N534">
        <v>130.78</v>
      </c>
      <c r="O534">
        <v>224</v>
      </c>
      <c r="P534" s="5">
        <v>46203</v>
      </c>
      <c r="Q534" s="5">
        <v>46207</v>
      </c>
      <c r="R534" t="s">
        <v>25</v>
      </c>
      <c r="S534" t="s">
        <v>72</v>
      </c>
    </row>
    <row r="535" spans="1:19" x14ac:dyDescent="0.25">
      <c r="A535" t="s">
        <v>628</v>
      </c>
      <c r="B535" s="5">
        <v>46038</v>
      </c>
      <c r="C535" t="s">
        <v>48</v>
      </c>
      <c r="D535" t="s">
        <v>49</v>
      </c>
      <c r="E535" t="s">
        <v>50</v>
      </c>
      <c r="F535" t="s">
        <v>135</v>
      </c>
      <c r="G535" t="s">
        <v>24</v>
      </c>
      <c r="H535">
        <v>291</v>
      </c>
      <c r="I535">
        <v>299</v>
      </c>
      <c r="J535">
        <v>24</v>
      </c>
      <c r="K535">
        <v>8.4</v>
      </c>
      <c r="L535">
        <v>57288.83</v>
      </c>
      <c r="M535">
        <v>12.01</v>
      </c>
      <c r="N535">
        <v>240.2</v>
      </c>
      <c r="O535">
        <v>375</v>
      </c>
      <c r="P535" s="5">
        <v>46046</v>
      </c>
      <c r="Q535" s="5">
        <v>46046</v>
      </c>
      <c r="R535" t="s">
        <v>25</v>
      </c>
      <c r="S535" t="s">
        <v>72</v>
      </c>
    </row>
    <row r="536" spans="1:19" x14ac:dyDescent="0.25">
      <c r="A536" t="s">
        <v>629</v>
      </c>
      <c r="B536" s="5">
        <v>46109</v>
      </c>
      <c r="C536" t="s">
        <v>35</v>
      </c>
      <c r="D536" t="s">
        <v>36</v>
      </c>
      <c r="E536" t="s">
        <v>69</v>
      </c>
      <c r="F536" t="s">
        <v>197</v>
      </c>
      <c r="G536" t="s">
        <v>24</v>
      </c>
      <c r="H536">
        <v>169</v>
      </c>
      <c r="I536">
        <v>176</v>
      </c>
      <c r="J536">
        <v>7</v>
      </c>
      <c r="K536">
        <v>4.8</v>
      </c>
      <c r="L536">
        <v>15724.9</v>
      </c>
      <c r="M536">
        <v>3.99</v>
      </c>
      <c r="N536">
        <v>103.74</v>
      </c>
      <c r="O536">
        <v>229</v>
      </c>
      <c r="P536" s="5">
        <v>46112</v>
      </c>
      <c r="Q536" s="5">
        <v>46112</v>
      </c>
      <c r="R536" t="s">
        <v>25</v>
      </c>
      <c r="S536" t="s">
        <v>33</v>
      </c>
    </row>
    <row r="537" spans="1:19" x14ac:dyDescent="0.25">
      <c r="A537" t="s">
        <v>630</v>
      </c>
      <c r="B537" s="5">
        <v>46100</v>
      </c>
      <c r="C537" t="s">
        <v>53</v>
      </c>
      <c r="D537" t="s">
        <v>54</v>
      </c>
      <c r="E537" t="s">
        <v>55</v>
      </c>
      <c r="F537" t="s">
        <v>46</v>
      </c>
      <c r="G537" t="s">
        <v>32</v>
      </c>
      <c r="H537">
        <v>227</v>
      </c>
      <c r="I537">
        <v>176</v>
      </c>
      <c r="J537">
        <v>11</v>
      </c>
      <c r="K537">
        <v>2.6</v>
      </c>
      <c r="L537">
        <v>20275.849999999999</v>
      </c>
      <c r="M537">
        <v>6.33</v>
      </c>
      <c r="N537">
        <v>113.94</v>
      </c>
      <c r="O537">
        <v>279</v>
      </c>
      <c r="P537" s="5">
        <v>46111</v>
      </c>
      <c r="Q537" s="5">
        <v>46110</v>
      </c>
      <c r="R537" t="s">
        <v>25</v>
      </c>
      <c r="S537" t="s">
        <v>51</v>
      </c>
    </row>
    <row r="538" spans="1:19" x14ac:dyDescent="0.25">
      <c r="A538" t="s">
        <v>631</v>
      </c>
      <c r="B538" s="5">
        <v>46037</v>
      </c>
      <c r="C538" t="s">
        <v>20</v>
      </c>
      <c r="D538" t="s">
        <v>21</v>
      </c>
      <c r="E538" t="s">
        <v>90</v>
      </c>
      <c r="F538" t="s">
        <v>46</v>
      </c>
      <c r="G538" t="s">
        <v>32</v>
      </c>
      <c r="H538">
        <v>201</v>
      </c>
      <c r="I538">
        <v>160</v>
      </c>
      <c r="J538">
        <v>1</v>
      </c>
      <c r="K538">
        <v>8.8000000000000007</v>
      </c>
      <c r="L538">
        <v>55981.43</v>
      </c>
      <c r="M538">
        <v>6.6</v>
      </c>
      <c r="N538">
        <v>158.4</v>
      </c>
      <c r="O538">
        <v>223</v>
      </c>
      <c r="P538" s="5">
        <v>46039</v>
      </c>
      <c r="Q538" s="5">
        <v>46038</v>
      </c>
      <c r="R538" t="s">
        <v>25</v>
      </c>
      <c r="S538" t="s">
        <v>86</v>
      </c>
    </row>
    <row r="539" spans="1:19" x14ac:dyDescent="0.25">
      <c r="A539" t="s">
        <v>632</v>
      </c>
      <c r="B539" s="5">
        <v>46199</v>
      </c>
      <c r="C539" t="s">
        <v>43</v>
      </c>
      <c r="D539" t="s">
        <v>44</v>
      </c>
      <c r="E539" t="s">
        <v>45</v>
      </c>
      <c r="F539" t="s">
        <v>135</v>
      </c>
      <c r="G539" t="s">
        <v>57</v>
      </c>
      <c r="H539">
        <v>270</v>
      </c>
      <c r="I539">
        <v>237</v>
      </c>
      <c r="J539">
        <v>15</v>
      </c>
      <c r="K539">
        <v>7.2</v>
      </c>
      <c r="L539">
        <v>31618.65</v>
      </c>
      <c r="M539">
        <v>9.19</v>
      </c>
      <c r="N539">
        <v>220.56</v>
      </c>
      <c r="O539">
        <v>300</v>
      </c>
      <c r="P539" s="5">
        <v>46211</v>
      </c>
      <c r="Q539" s="5">
        <v>46215</v>
      </c>
      <c r="R539" t="s">
        <v>25</v>
      </c>
      <c r="S539" t="s">
        <v>33</v>
      </c>
    </row>
    <row r="540" spans="1:19" x14ac:dyDescent="0.25">
      <c r="A540" t="s">
        <v>633</v>
      </c>
      <c r="B540" s="5">
        <v>46044</v>
      </c>
      <c r="C540" t="s">
        <v>20</v>
      </c>
      <c r="D540" t="s">
        <v>21</v>
      </c>
      <c r="E540" t="s">
        <v>90</v>
      </c>
      <c r="F540" t="s">
        <v>125</v>
      </c>
      <c r="G540" t="s">
        <v>24</v>
      </c>
      <c r="H540">
        <v>244</v>
      </c>
      <c r="I540">
        <v>245</v>
      </c>
      <c r="J540">
        <v>12</v>
      </c>
      <c r="K540">
        <v>0.2</v>
      </c>
      <c r="L540">
        <v>83011.19</v>
      </c>
      <c r="M540">
        <v>6.02</v>
      </c>
      <c r="N540">
        <v>108.36</v>
      </c>
      <c r="O540">
        <v>250</v>
      </c>
      <c r="P540" s="5">
        <v>46052</v>
      </c>
      <c r="Q540" s="5">
        <v>46056</v>
      </c>
      <c r="R540" t="s">
        <v>100</v>
      </c>
      <c r="S540" t="s">
        <v>51</v>
      </c>
    </row>
    <row r="541" spans="1:19" x14ac:dyDescent="0.25">
      <c r="A541" t="s">
        <v>634</v>
      </c>
      <c r="B541" s="5">
        <v>46048</v>
      </c>
      <c r="C541" t="s">
        <v>48</v>
      </c>
      <c r="D541" t="s">
        <v>49</v>
      </c>
      <c r="E541" t="s">
        <v>50</v>
      </c>
      <c r="F541" t="s">
        <v>61</v>
      </c>
      <c r="G541" t="s">
        <v>24</v>
      </c>
      <c r="H541">
        <v>262</v>
      </c>
      <c r="I541">
        <v>291</v>
      </c>
      <c r="J541">
        <v>22</v>
      </c>
      <c r="K541">
        <v>1.7</v>
      </c>
      <c r="L541">
        <v>56436.57</v>
      </c>
      <c r="M541">
        <v>9.1199999999999992</v>
      </c>
      <c r="N541">
        <v>237.12</v>
      </c>
      <c r="O541">
        <v>357</v>
      </c>
      <c r="P541" s="5">
        <v>46057</v>
      </c>
      <c r="Q541" s="5">
        <v>46056</v>
      </c>
      <c r="R541" t="s">
        <v>39</v>
      </c>
      <c r="S541" t="s">
        <v>26</v>
      </c>
    </row>
    <row r="542" spans="1:19" x14ac:dyDescent="0.25">
      <c r="A542" t="s">
        <v>635</v>
      </c>
      <c r="B542" s="5">
        <v>46189</v>
      </c>
      <c r="C542" t="s">
        <v>20</v>
      </c>
      <c r="D542" t="s">
        <v>21</v>
      </c>
      <c r="E542" t="s">
        <v>22</v>
      </c>
      <c r="F542" t="s">
        <v>88</v>
      </c>
      <c r="G542" t="s">
        <v>24</v>
      </c>
      <c r="H542">
        <v>248</v>
      </c>
      <c r="I542">
        <v>274</v>
      </c>
      <c r="J542">
        <v>5</v>
      </c>
      <c r="K542">
        <v>5.4</v>
      </c>
      <c r="L542">
        <v>79660.820000000007</v>
      </c>
      <c r="M542">
        <v>10.199999999999999</v>
      </c>
      <c r="N542">
        <v>183.6</v>
      </c>
      <c r="O542">
        <v>218</v>
      </c>
      <c r="P542" s="5">
        <v>46193</v>
      </c>
      <c r="Q542" s="5">
        <v>46193</v>
      </c>
      <c r="R542" t="s">
        <v>25</v>
      </c>
      <c r="S542" t="s">
        <v>86</v>
      </c>
    </row>
    <row r="543" spans="1:19" x14ac:dyDescent="0.25">
      <c r="A543" t="s">
        <v>636</v>
      </c>
      <c r="B543" s="5">
        <v>46031</v>
      </c>
      <c r="C543" t="s">
        <v>20</v>
      </c>
      <c r="D543" t="s">
        <v>21</v>
      </c>
      <c r="E543" t="s">
        <v>22</v>
      </c>
      <c r="F543" t="s">
        <v>114</v>
      </c>
      <c r="G543" t="s">
        <v>32</v>
      </c>
      <c r="H543">
        <v>209</v>
      </c>
      <c r="I543">
        <v>177</v>
      </c>
      <c r="J543">
        <v>16</v>
      </c>
      <c r="K543">
        <v>1.5</v>
      </c>
      <c r="L543">
        <v>70010.789999999994</v>
      </c>
      <c r="M543">
        <v>4.24</v>
      </c>
      <c r="N543">
        <v>76.319999999999993</v>
      </c>
      <c r="O543">
        <v>301</v>
      </c>
      <c r="P543" s="5">
        <v>46037</v>
      </c>
      <c r="Q543" s="5">
        <v>46041</v>
      </c>
      <c r="R543" t="s">
        <v>25</v>
      </c>
      <c r="S543" t="s">
        <v>86</v>
      </c>
    </row>
    <row r="544" spans="1:19" x14ac:dyDescent="0.25">
      <c r="A544" t="s">
        <v>637</v>
      </c>
      <c r="B544" s="5">
        <v>46156</v>
      </c>
      <c r="C544" t="s">
        <v>48</v>
      </c>
      <c r="D544" t="s">
        <v>49</v>
      </c>
      <c r="E544" t="s">
        <v>60</v>
      </c>
      <c r="F544" t="s">
        <v>91</v>
      </c>
      <c r="G544" t="s">
        <v>32</v>
      </c>
      <c r="H544">
        <v>217</v>
      </c>
      <c r="I544">
        <v>203</v>
      </c>
      <c r="J544">
        <v>13</v>
      </c>
      <c r="K544">
        <v>6</v>
      </c>
      <c r="L544">
        <v>29739.47</v>
      </c>
      <c r="M544">
        <v>4.34</v>
      </c>
      <c r="N544">
        <v>86.8</v>
      </c>
      <c r="O544">
        <v>211</v>
      </c>
      <c r="P544" s="5">
        <v>46167</v>
      </c>
      <c r="Q544" s="5">
        <v>46167</v>
      </c>
      <c r="R544" t="s">
        <v>39</v>
      </c>
      <c r="S544" t="s">
        <v>51</v>
      </c>
    </row>
    <row r="545" spans="1:19" x14ac:dyDescent="0.25">
      <c r="A545" t="s">
        <v>638</v>
      </c>
      <c r="B545" s="5">
        <v>46182</v>
      </c>
      <c r="C545" t="s">
        <v>35</v>
      </c>
      <c r="D545" t="s">
        <v>36</v>
      </c>
      <c r="E545" t="s">
        <v>37</v>
      </c>
      <c r="F545" t="s">
        <v>110</v>
      </c>
      <c r="G545" t="s">
        <v>24</v>
      </c>
      <c r="H545">
        <v>220</v>
      </c>
      <c r="I545">
        <v>182</v>
      </c>
      <c r="J545">
        <v>7</v>
      </c>
      <c r="K545">
        <v>8.1</v>
      </c>
      <c r="L545">
        <v>14352.35</v>
      </c>
      <c r="M545">
        <v>4.3899999999999997</v>
      </c>
      <c r="N545">
        <v>105.36</v>
      </c>
      <c r="O545">
        <v>216</v>
      </c>
      <c r="P545" s="5">
        <v>46192</v>
      </c>
      <c r="Q545" s="5">
        <v>46192</v>
      </c>
      <c r="R545" t="s">
        <v>25</v>
      </c>
      <c r="S545" t="s">
        <v>86</v>
      </c>
    </row>
    <row r="546" spans="1:19" x14ac:dyDescent="0.25">
      <c r="A546" t="s">
        <v>639</v>
      </c>
      <c r="B546" s="5">
        <v>46185</v>
      </c>
      <c r="C546" t="s">
        <v>28</v>
      </c>
      <c r="D546" t="s">
        <v>29</v>
      </c>
      <c r="E546" t="s">
        <v>30</v>
      </c>
      <c r="F546" t="s">
        <v>122</v>
      </c>
      <c r="G546" t="s">
        <v>57</v>
      </c>
      <c r="H546">
        <v>175</v>
      </c>
      <c r="I546">
        <v>168</v>
      </c>
      <c r="J546">
        <v>10</v>
      </c>
      <c r="K546">
        <v>4.5999999999999996</v>
      </c>
      <c r="L546">
        <v>36666.31</v>
      </c>
      <c r="M546">
        <v>4.3</v>
      </c>
      <c r="N546">
        <v>103.2</v>
      </c>
      <c r="O546">
        <v>232</v>
      </c>
      <c r="P546" s="5">
        <v>46187</v>
      </c>
      <c r="Q546" s="5">
        <v>46187</v>
      </c>
      <c r="R546" t="s">
        <v>25</v>
      </c>
      <c r="S546" t="s">
        <v>26</v>
      </c>
    </row>
    <row r="547" spans="1:19" x14ac:dyDescent="0.25">
      <c r="A547" t="s">
        <v>640</v>
      </c>
      <c r="B547" s="5">
        <v>46051</v>
      </c>
      <c r="C547" t="s">
        <v>35</v>
      </c>
      <c r="D547" t="s">
        <v>36</v>
      </c>
      <c r="E547" t="s">
        <v>37</v>
      </c>
      <c r="F547" t="s">
        <v>71</v>
      </c>
      <c r="G547" t="s">
        <v>57</v>
      </c>
      <c r="H547">
        <v>164</v>
      </c>
      <c r="I547">
        <v>163</v>
      </c>
      <c r="J547">
        <v>6</v>
      </c>
      <c r="K547">
        <v>3</v>
      </c>
      <c r="L547">
        <v>15144.18</v>
      </c>
      <c r="M547">
        <v>3.82</v>
      </c>
      <c r="N547">
        <v>68.760000000000005</v>
      </c>
      <c r="O547">
        <v>149</v>
      </c>
      <c r="P547" s="5">
        <v>46059</v>
      </c>
      <c r="Q547" s="5">
        <v>46059</v>
      </c>
      <c r="R547" t="s">
        <v>100</v>
      </c>
      <c r="S547" t="s">
        <v>51</v>
      </c>
    </row>
    <row r="548" spans="1:19" x14ac:dyDescent="0.25">
      <c r="A548" t="s">
        <v>641</v>
      </c>
      <c r="B548" s="5">
        <v>46157</v>
      </c>
      <c r="C548" t="s">
        <v>59</v>
      </c>
      <c r="D548" t="s">
        <v>49</v>
      </c>
      <c r="E548" t="s">
        <v>60</v>
      </c>
      <c r="F548" t="s">
        <v>244</v>
      </c>
      <c r="G548" t="s">
        <v>32</v>
      </c>
      <c r="H548">
        <v>290</v>
      </c>
      <c r="I548">
        <v>309</v>
      </c>
      <c r="J548">
        <v>4</v>
      </c>
      <c r="K548">
        <v>3.1</v>
      </c>
      <c r="L548">
        <v>52129.79</v>
      </c>
      <c r="M548">
        <v>7.57</v>
      </c>
      <c r="N548">
        <v>136.26</v>
      </c>
      <c r="O548">
        <v>262</v>
      </c>
      <c r="P548" s="5">
        <v>46161</v>
      </c>
      <c r="Q548" s="5">
        <v>46162</v>
      </c>
      <c r="R548" t="s">
        <v>100</v>
      </c>
      <c r="S548" t="s">
        <v>26</v>
      </c>
    </row>
    <row r="549" spans="1:19" x14ac:dyDescent="0.25">
      <c r="A549" t="s">
        <v>642</v>
      </c>
      <c r="B549" s="5">
        <v>46164</v>
      </c>
      <c r="C549" t="s">
        <v>35</v>
      </c>
      <c r="D549" t="s">
        <v>36</v>
      </c>
      <c r="E549" t="s">
        <v>69</v>
      </c>
      <c r="F549" t="s">
        <v>41</v>
      </c>
      <c r="G549" t="s">
        <v>24</v>
      </c>
      <c r="H549">
        <v>231</v>
      </c>
      <c r="I549">
        <v>178</v>
      </c>
      <c r="J549">
        <v>1</v>
      </c>
      <c r="K549">
        <v>4.5999999999999996</v>
      </c>
      <c r="L549">
        <v>12920.63</v>
      </c>
      <c r="M549">
        <v>4.82</v>
      </c>
      <c r="N549">
        <v>106.04</v>
      </c>
      <c r="O549">
        <v>204</v>
      </c>
      <c r="P549" s="5">
        <v>46176</v>
      </c>
      <c r="Q549" s="5">
        <v>46177</v>
      </c>
      <c r="R549" t="s">
        <v>25</v>
      </c>
      <c r="S549" t="s">
        <v>72</v>
      </c>
    </row>
    <row r="550" spans="1:19" x14ac:dyDescent="0.25">
      <c r="A550" t="s">
        <v>643</v>
      </c>
      <c r="B550" s="5">
        <v>46140</v>
      </c>
      <c r="C550" t="s">
        <v>43</v>
      </c>
      <c r="D550" t="s">
        <v>44</v>
      </c>
      <c r="E550" t="s">
        <v>161</v>
      </c>
      <c r="F550" t="s">
        <v>77</v>
      </c>
      <c r="G550" t="s">
        <v>32</v>
      </c>
      <c r="H550">
        <v>170</v>
      </c>
      <c r="I550">
        <v>180</v>
      </c>
      <c r="J550">
        <v>9</v>
      </c>
      <c r="K550">
        <v>2.5</v>
      </c>
      <c r="L550">
        <v>23030.93</v>
      </c>
      <c r="M550">
        <v>7.05</v>
      </c>
      <c r="N550">
        <v>141</v>
      </c>
      <c r="O550">
        <v>208</v>
      </c>
      <c r="P550" s="5">
        <v>46152</v>
      </c>
      <c r="Q550" s="5">
        <v>46151</v>
      </c>
      <c r="R550" t="s">
        <v>25</v>
      </c>
      <c r="S550" t="s">
        <v>33</v>
      </c>
    </row>
    <row r="551" spans="1:19" x14ac:dyDescent="0.25">
      <c r="A551" t="s">
        <v>644</v>
      </c>
      <c r="B551" s="5">
        <v>46185</v>
      </c>
      <c r="C551" t="s">
        <v>20</v>
      </c>
      <c r="D551" t="s">
        <v>21</v>
      </c>
      <c r="E551" t="s">
        <v>22</v>
      </c>
      <c r="F551" t="s">
        <v>119</v>
      </c>
      <c r="G551" t="s">
        <v>24</v>
      </c>
      <c r="H551">
        <v>266</v>
      </c>
      <c r="I551">
        <v>218</v>
      </c>
      <c r="J551">
        <v>2</v>
      </c>
      <c r="K551">
        <v>5.2</v>
      </c>
      <c r="L551">
        <v>56598.98</v>
      </c>
      <c r="M551">
        <v>8.7899999999999991</v>
      </c>
      <c r="N551">
        <v>158.22</v>
      </c>
      <c r="O551">
        <v>334</v>
      </c>
      <c r="P551" s="5">
        <v>46197</v>
      </c>
      <c r="Q551" s="5">
        <v>46197</v>
      </c>
      <c r="R551" t="s">
        <v>100</v>
      </c>
      <c r="S551" t="s">
        <v>26</v>
      </c>
    </row>
    <row r="552" spans="1:19" x14ac:dyDescent="0.25">
      <c r="A552" t="s">
        <v>645</v>
      </c>
      <c r="B552" s="5">
        <v>46201</v>
      </c>
      <c r="C552" t="s">
        <v>20</v>
      </c>
      <c r="D552" t="s">
        <v>21</v>
      </c>
      <c r="E552" t="s">
        <v>90</v>
      </c>
      <c r="F552" t="s">
        <v>41</v>
      </c>
      <c r="G552" t="s">
        <v>24</v>
      </c>
      <c r="H552">
        <v>83</v>
      </c>
      <c r="I552">
        <v>81</v>
      </c>
      <c r="J552">
        <v>7</v>
      </c>
      <c r="K552">
        <v>6.7</v>
      </c>
      <c r="L552">
        <v>29786.69</v>
      </c>
      <c r="M552">
        <v>2.92</v>
      </c>
      <c r="N552">
        <v>58.4</v>
      </c>
      <c r="O552">
        <v>60</v>
      </c>
      <c r="P552" s="5">
        <v>46212</v>
      </c>
      <c r="Q552" s="5">
        <v>46216</v>
      </c>
      <c r="R552" t="s">
        <v>25</v>
      </c>
      <c r="S552" t="s">
        <v>51</v>
      </c>
    </row>
    <row r="553" spans="1:19" x14ac:dyDescent="0.25">
      <c r="A553" t="s">
        <v>646</v>
      </c>
      <c r="B553" s="5">
        <v>46067</v>
      </c>
      <c r="C553" t="s">
        <v>20</v>
      </c>
      <c r="D553" t="s">
        <v>21</v>
      </c>
      <c r="E553" t="s">
        <v>90</v>
      </c>
      <c r="F553" t="s">
        <v>125</v>
      </c>
      <c r="G553" t="s">
        <v>32</v>
      </c>
      <c r="H553">
        <v>294</v>
      </c>
      <c r="I553">
        <v>228</v>
      </c>
      <c r="J553">
        <v>8</v>
      </c>
      <c r="K553">
        <v>0.5</v>
      </c>
      <c r="L553">
        <v>67215.179999999993</v>
      </c>
      <c r="M553">
        <v>9.41</v>
      </c>
      <c r="N553">
        <v>207.02</v>
      </c>
      <c r="O553">
        <v>317</v>
      </c>
      <c r="P553" s="5">
        <v>46077</v>
      </c>
      <c r="Q553" s="5">
        <v>46076</v>
      </c>
      <c r="R553" t="s">
        <v>25</v>
      </c>
      <c r="S553" t="s">
        <v>86</v>
      </c>
    </row>
    <row r="554" spans="1:19" x14ac:dyDescent="0.25">
      <c r="A554" t="s">
        <v>647</v>
      </c>
      <c r="B554" s="5">
        <v>46090</v>
      </c>
      <c r="C554" t="s">
        <v>28</v>
      </c>
      <c r="D554" t="s">
        <v>29</v>
      </c>
      <c r="E554" t="s">
        <v>63</v>
      </c>
      <c r="F554" t="s">
        <v>91</v>
      </c>
      <c r="G554" t="s">
        <v>57</v>
      </c>
      <c r="H554">
        <v>268</v>
      </c>
      <c r="I554">
        <v>265</v>
      </c>
      <c r="J554">
        <v>10</v>
      </c>
      <c r="K554">
        <v>8.3000000000000007</v>
      </c>
      <c r="L554">
        <v>78533.740000000005</v>
      </c>
      <c r="M554">
        <v>8.0500000000000007</v>
      </c>
      <c r="N554">
        <v>144.9</v>
      </c>
      <c r="O554">
        <v>346</v>
      </c>
      <c r="P554" s="5">
        <v>46101</v>
      </c>
      <c r="Q554" s="5">
        <v>46105</v>
      </c>
      <c r="R554" t="s">
        <v>25</v>
      </c>
      <c r="S554" t="s">
        <v>26</v>
      </c>
    </row>
    <row r="555" spans="1:19" x14ac:dyDescent="0.25">
      <c r="A555" t="s">
        <v>648</v>
      </c>
      <c r="B555" s="5">
        <v>46140</v>
      </c>
      <c r="C555" t="s">
        <v>48</v>
      </c>
      <c r="D555" t="s">
        <v>49</v>
      </c>
      <c r="E555" t="s">
        <v>76</v>
      </c>
      <c r="F555" t="s">
        <v>71</v>
      </c>
      <c r="G555" t="s">
        <v>32</v>
      </c>
      <c r="H555">
        <v>170</v>
      </c>
      <c r="I555">
        <v>130</v>
      </c>
      <c r="J555">
        <v>4</v>
      </c>
      <c r="K555">
        <v>6.5</v>
      </c>
      <c r="L555">
        <v>21787.99</v>
      </c>
      <c r="M555">
        <v>3.68</v>
      </c>
      <c r="N555">
        <v>73.599999999999994</v>
      </c>
      <c r="O555">
        <v>151</v>
      </c>
      <c r="P555" s="5">
        <v>46150</v>
      </c>
      <c r="Q555" s="5">
        <v>46150</v>
      </c>
      <c r="R555" t="s">
        <v>100</v>
      </c>
      <c r="S555" t="s">
        <v>33</v>
      </c>
    </row>
    <row r="556" spans="1:19" x14ac:dyDescent="0.25">
      <c r="A556" t="s">
        <v>649</v>
      </c>
      <c r="B556" s="5">
        <v>46062</v>
      </c>
      <c r="C556" t="s">
        <v>59</v>
      </c>
      <c r="D556" t="s">
        <v>49</v>
      </c>
      <c r="E556" t="s">
        <v>50</v>
      </c>
      <c r="F556" t="s">
        <v>112</v>
      </c>
      <c r="G556" t="s">
        <v>32</v>
      </c>
      <c r="H556">
        <v>200</v>
      </c>
      <c r="I556">
        <v>178</v>
      </c>
      <c r="J556">
        <v>5</v>
      </c>
      <c r="K556">
        <v>3.9</v>
      </c>
      <c r="L556">
        <v>29822.77</v>
      </c>
      <c r="M556">
        <v>3.67</v>
      </c>
      <c r="N556">
        <v>88.08</v>
      </c>
      <c r="O556">
        <v>272</v>
      </c>
      <c r="P556" s="5">
        <v>46066</v>
      </c>
      <c r="Q556" s="5">
        <v>46066</v>
      </c>
      <c r="R556" t="s">
        <v>25</v>
      </c>
      <c r="S556" t="s">
        <v>33</v>
      </c>
    </row>
    <row r="557" spans="1:19" x14ac:dyDescent="0.25">
      <c r="A557" t="s">
        <v>650</v>
      </c>
      <c r="B557" s="5">
        <v>46114</v>
      </c>
      <c r="C557" t="s">
        <v>28</v>
      </c>
      <c r="D557" t="s">
        <v>29</v>
      </c>
      <c r="E557" t="s">
        <v>63</v>
      </c>
      <c r="F557" t="s">
        <v>137</v>
      </c>
      <c r="G557" t="s">
        <v>32</v>
      </c>
      <c r="H557">
        <v>128</v>
      </c>
      <c r="I557">
        <v>107</v>
      </c>
      <c r="J557">
        <v>1</v>
      </c>
      <c r="K557">
        <v>3.8</v>
      </c>
      <c r="L557">
        <v>20093.07</v>
      </c>
      <c r="M557">
        <v>3.64</v>
      </c>
      <c r="N557">
        <v>87.36</v>
      </c>
      <c r="O557">
        <v>156</v>
      </c>
      <c r="P557" s="5">
        <v>46117</v>
      </c>
      <c r="Q557" s="5">
        <v>46119</v>
      </c>
      <c r="R557" t="s">
        <v>100</v>
      </c>
      <c r="S557" t="s">
        <v>51</v>
      </c>
    </row>
    <row r="558" spans="1:19" x14ac:dyDescent="0.25">
      <c r="A558" t="s">
        <v>651</v>
      </c>
      <c r="B558" s="5">
        <v>46106</v>
      </c>
      <c r="C558" t="s">
        <v>35</v>
      </c>
      <c r="D558" t="s">
        <v>36</v>
      </c>
      <c r="E558" t="s">
        <v>69</v>
      </c>
      <c r="F558" t="s">
        <v>104</v>
      </c>
      <c r="G558" t="s">
        <v>24</v>
      </c>
      <c r="H558">
        <v>113</v>
      </c>
      <c r="I558">
        <v>86</v>
      </c>
      <c r="J558">
        <v>1</v>
      </c>
      <c r="K558">
        <v>0.2</v>
      </c>
      <c r="L558">
        <v>6936.53</v>
      </c>
      <c r="M558">
        <v>3.13</v>
      </c>
      <c r="N558">
        <v>62.6</v>
      </c>
      <c r="O558">
        <v>86</v>
      </c>
      <c r="P558" s="5">
        <v>46118</v>
      </c>
      <c r="Q558" s="5">
        <v>46119</v>
      </c>
      <c r="R558" t="s">
        <v>100</v>
      </c>
      <c r="S558" t="s">
        <v>33</v>
      </c>
    </row>
    <row r="559" spans="1:19" x14ac:dyDescent="0.25">
      <c r="A559" t="s">
        <v>652</v>
      </c>
      <c r="B559" s="5">
        <v>46134</v>
      </c>
      <c r="C559" t="s">
        <v>53</v>
      </c>
      <c r="D559" t="s">
        <v>54</v>
      </c>
      <c r="E559" t="s">
        <v>131</v>
      </c>
      <c r="F559" t="s">
        <v>119</v>
      </c>
      <c r="G559" t="s">
        <v>24</v>
      </c>
      <c r="H559">
        <v>152</v>
      </c>
      <c r="I559">
        <v>141</v>
      </c>
      <c r="J559">
        <v>10</v>
      </c>
      <c r="K559">
        <v>2.2000000000000002</v>
      </c>
      <c r="L559">
        <v>17678.189999999999</v>
      </c>
      <c r="M559">
        <v>3.38</v>
      </c>
      <c r="N559">
        <v>60.84</v>
      </c>
      <c r="O559">
        <v>179</v>
      </c>
      <c r="P559" s="5">
        <v>46139</v>
      </c>
      <c r="Q559" s="5">
        <v>46141</v>
      </c>
      <c r="R559" t="s">
        <v>25</v>
      </c>
      <c r="S559" t="s">
        <v>33</v>
      </c>
    </row>
    <row r="560" spans="1:19" x14ac:dyDescent="0.25">
      <c r="A560" t="s">
        <v>653</v>
      </c>
      <c r="B560" s="5">
        <v>46202</v>
      </c>
      <c r="C560" t="s">
        <v>43</v>
      </c>
      <c r="D560" t="s">
        <v>44</v>
      </c>
      <c r="E560" t="s">
        <v>93</v>
      </c>
      <c r="F560" t="s">
        <v>56</v>
      </c>
      <c r="G560" t="s">
        <v>57</v>
      </c>
      <c r="H560">
        <v>298</v>
      </c>
      <c r="I560">
        <v>290</v>
      </c>
      <c r="J560">
        <v>18</v>
      </c>
      <c r="K560">
        <v>2.1</v>
      </c>
      <c r="L560">
        <v>25905.09</v>
      </c>
      <c r="M560">
        <v>12.11</v>
      </c>
      <c r="N560">
        <v>242.2</v>
      </c>
      <c r="O560">
        <v>367</v>
      </c>
      <c r="P560" s="5">
        <v>46204</v>
      </c>
      <c r="Q560" s="5">
        <v>46204</v>
      </c>
      <c r="R560" t="s">
        <v>25</v>
      </c>
      <c r="S560" t="s">
        <v>72</v>
      </c>
    </row>
    <row r="561" spans="1:19" x14ac:dyDescent="0.25">
      <c r="A561" t="s">
        <v>654</v>
      </c>
      <c r="B561" s="5">
        <v>46127</v>
      </c>
      <c r="C561" t="s">
        <v>59</v>
      </c>
      <c r="D561" t="s">
        <v>49</v>
      </c>
      <c r="E561" t="s">
        <v>60</v>
      </c>
      <c r="F561" t="s">
        <v>106</v>
      </c>
      <c r="G561" t="s">
        <v>32</v>
      </c>
      <c r="H561">
        <v>242</v>
      </c>
      <c r="I561">
        <v>276</v>
      </c>
      <c r="J561">
        <v>6</v>
      </c>
      <c r="K561">
        <v>3.8</v>
      </c>
      <c r="L561">
        <v>39793.21</v>
      </c>
      <c r="M561">
        <v>5.31</v>
      </c>
      <c r="N561">
        <v>95.58</v>
      </c>
      <c r="O561">
        <v>270</v>
      </c>
      <c r="P561" s="5">
        <v>46134</v>
      </c>
      <c r="Q561" s="5">
        <v>46134</v>
      </c>
      <c r="R561" t="s">
        <v>25</v>
      </c>
      <c r="S561" t="s">
        <v>51</v>
      </c>
    </row>
    <row r="562" spans="1:19" x14ac:dyDescent="0.25">
      <c r="A562" t="s">
        <v>655</v>
      </c>
      <c r="B562" s="5">
        <v>46104</v>
      </c>
      <c r="C562" t="s">
        <v>80</v>
      </c>
      <c r="D562" t="s">
        <v>21</v>
      </c>
      <c r="E562" t="s">
        <v>22</v>
      </c>
      <c r="F562" t="s">
        <v>96</v>
      </c>
      <c r="G562" t="s">
        <v>32</v>
      </c>
      <c r="H562">
        <v>90</v>
      </c>
      <c r="I562">
        <v>64</v>
      </c>
      <c r="J562">
        <v>4</v>
      </c>
      <c r="K562">
        <v>2.9</v>
      </c>
      <c r="L562">
        <v>14822.68</v>
      </c>
      <c r="M562">
        <v>2.08</v>
      </c>
      <c r="N562">
        <v>49.92</v>
      </c>
      <c r="O562">
        <v>97</v>
      </c>
      <c r="P562" s="5">
        <v>46110</v>
      </c>
      <c r="Q562" s="5">
        <v>46114</v>
      </c>
      <c r="R562" t="s">
        <v>25</v>
      </c>
      <c r="S562" t="s">
        <v>33</v>
      </c>
    </row>
    <row r="563" spans="1:19" x14ac:dyDescent="0.25">
      <c r="A563" t="s">
        <v>656</v>
      </c>
      <c r="B563" s="5">
        <v>46047</v>
      </c>
      <c r="C563" t="s">
        <v>80</v>
      </c>
      <c r="D563" t="s">
        <v>21</v>
      </c>
      <c r="E563" t="s">
        <v>66</v>
      </c>
      <c r="F563" t="s">
        <v>114</v>
      </c>
      <c r="G563" t="s">
        <v>32</v>
      </c>
      <c r="H563">
        <v>221</v>
      </c>
      <c r="I563">
        <v>232</v>
      </c>
      <c r="J563">
        <v>3</v>
      </c>
      <c r="K563">
        <v>3.2</v>
      </c>
      <c r="L563">
        <v>73253.63</v>
      </c>
      <c r="M563">
        <v>7.46</v>
      </c>
      <c r="N563">
        <v>193.96</v>
      </c>
      <c r="O563">
        <v>276</v>
      </c>
      <c r="P563" s="5">
        <v>46052</v>
      </c>
      <c r="Q563" s="5">
        <v>46052</v>
      </c>
      <c r="R563" t="s">
        <v>25</v>
      </c>
      <c r="S563" t="s">
        <v>33</v>
      </c>
    </row>
    <row r="564" spans="1:19" x14ac:dyDescent="0.25">
      <c r="A564" t="s">
        <v>657</v>
      </c>
      <c r="B564" s="5">
        <v>46050</v>
      </c>
      <c r="C564" t="s">
        <v>43</v>
      </c>
      <c r="D564" t="s">
        <v>44</v>
      </c>
      <c r="E564" t="s">
        <v>45</v>
      </c>
      <c r="F564" t="s">
        <v>112</v>
      </c>
      <c r="G564" t="s">
        <v>32</v>
      </c>
      <c r="H564">
        <v>270</v>
      </c>
      <c r="I564">
        <v>264</v>
      </c>
      <c r="J564">
        <v>2</v>
      </c>
      <c r="K564">
        <v>8.6999999999999993</v>
      </c>
      <c r="L564">
        <v>38300.89</v>
      </c>
      <c r="M564">
        <v>5.97</v>
      </c>
      <c r="N564">
        <v>143.28</v>
      </c>
      <c r="O564">
        <v>255</v>
      </c>
      <c r="P564" s="5">
        <v>46053</v>
      </c>
      <c r="Q564" s="5">
        <v>46054</v>
      </c>
      <c r="R564" t="s">
        <v>25</v>
      </c>
      <c r="S564" t="s">
        <v>51</v>
      </c>
    </row>
    <row r="565" spans="1:19" x14ac:dyDescent="0.25">
      <c r="A565" t="s">
        <v>658</v>
      </c>
      <c r="B565" s="5">
        <v>46159</v>
      </c>
      <c r="C565" t="s">
        <v>43</v>
      </c>
      <c r="D565" t="s">
        <v>44</v>
      </c>
      <c r="E565" t="s">
        <v>93</v>
      </c>
      <c r="F565" t="s">
        <v>88</v>
      </c>
      <c r="G565" t="s">
        <v>32</v>
      </c>
      <c r="H565">
        <v>112</v>
      </c>
      <c r="I565">
        <v>89</v>
      </c>
      <c r="J565">
        <v>4</v>
      </c>
      <c r="K565">
        <v>2.2999999999999998</v>
      </c>
      <c r="L565">
        <v>12998.13</v>
      </c>
      <c r="M565">
        <v>3.54</v>
      </c>
      <c r="N565">
        <v>77.88</v>
      </c>
      <c r="O565">
        <v>165</v>
      </c>
      <c r="P565" s="5">
        <v>46168</v>
      </c>
      <c r="Q565" s="5">
        <v>46167</v>
      </c>
      <c r="R565" t="s">
        <v>100</v>
      </c>
      <c r="S565" t="s">
        <v>72</v>
      </c>
    </row>
    <row r="566" spans="1:19" x14ac:dyDescent="0.25">
      <c r="A566" t="s">
        <v>659</v>
      </c>
      <c r="B566" s="5">
        <v>46157</v>
      </c>
      <c r="C566" t="s">
        <v>80</v>
      </c>
      <c r="D566" t="s">
        <v>21</v>
      </c>
      <c r="E566" t="s">
        <v>22</v>
      </c>
      <c r="F566" t="s">
        <v>74</v>
      </c>
      <c r="G566" t="s">
        <v>24</v>
      </c>
      <c r="H566">
        <v>233</v>
      </c>
      <c r="I566">
        <v>195</v>
      </c>
      <c r="J566">
        <v>17</v>
      </c>
      <c r="K566">
        <v>2.6</v>
      </c>
      <c r="L566">
        <v>53421.71</v>
      </c>
      <c r="M566">
        <v>8.06</v>
      </c>
      <c r="N566">
        <v>161.19999999999999</v>
      </c>
      <c r="O566">
        <v>294</v>
      </c>
      <c r="P566" s="5">
        <v>46166</v>
      </c>
      <c r="Q566" s="5">
        <v>46165</v>
      </c>
      <c r="R566" t="s">
        <v>25</v>
      </c>
      <c r="S566" t="s">
        <v>72</v>
      </c>
    </row>
    <row r="567" spans="1:19" x14ac:dyDescent="0.25">
      <c r="A567" t="s">
        <v>660</v>
      </c>
      <c r="B567" s="5">
        <v>46166</v>
      </c>
      <c r="C567" t="s">
        <v>35</v>
      </c>
      <c r="D567" t="s">
        <v>36</v>
      </c>
      <c r="E567" t="s">
        <v>69</v>
      </c>
      <c r="F567" t="s">
        <v>56</v>
      </c>
      <c r="G567" t="s">
        <v>406</v>
      </c>
      <c r="H567">
        <v>235</v>
      </c>
      <c r="I567">
        <v>196</v>
      </c>
      <c r="J567">
        <v>4</v>
      </c>
      <c r="K567">
        <v>1.4</v>
      </c>
      <c r="L567">
        <v>17067.240000000002</v>
      </c>
      <c r="M567">
        <v>7.66</v>
      </c>
      <c r="N567">
        <v>199.16</v>
      </c>
      <c r="O567">
        <v>311</v>
      </c>
      <c r="P567" s="5">
        <v>46176</v>
      </c>
      <c r="Q567" s="5">
        <v>46176</v>
      </c>
      <c r="R567" t="s">
        <v>25</v>
      </c>
      <c r="S567" t="s">
        <v>86</v>
      </c>
    </row>
    <row r="568" spans="1:19" x14ac:dyDescent="0.25">
      <c r="A568" t="s">
        <v>661</v>
      </c>
      <c r="B568" s="5">
        <v>46091</v>
      </c>
      <c r="C568" t="s">
        <v>20</v>
      </c>
      <c r="D568" t="s">
        <v>21</v>
      </c>
      <c r="E568" t="s">
        <v>22</v>
      </c>
      <c r="F568" t="s">
        <v>137</v>
      </c>
      <c r="G568" t="s">
        <v>57</v>
      </c>
      <c r="H568">
        <v>137</v>
      </c>
      <c r="I568">
        <v>101</v>
      </c>
      <c r="J568">
        <v>2</v>
      </c>
      <c r="K568">
        <v>0.4</v>
      </c>
      <c r="L568">
        <v>31499.22</v>
      </c>
      <c r="M568">
        <v>4.07</v>
      </c>
      <c r="N568">
        <v>89.54</v>
      </c>
      <c r="O568">
        <v>110</v>
      </c>
      <c r="P568" s="5">
        <v>46103</v>
      </c>
      <c r="Q568" s="5">
        <v>46103</v>
      </c>
      <c r="R568" t="s">
        <v>25</v>
      </c>
      <c r="S568" t="s">
        <v>33</v>
      </c>
    </row>
    <row r="569" spans="1:19" x14ac:dyDescent="0.25">
      <c r="A569" t="s">
        <v>662</v>
      </c>
      <c r="B569" s="5">
        <v>46189</v>
      </c>
      <c r="C569" t="s">
        <v>48</v>
      </c>
      <c r="D569" t="s">
        <v>49</v>
      </c>
      <c r="E569" t="s">
        <v>60</v>
      </c>
      <c r="F569" t="s">
        <v>61</v>
      </c>
      <c r="G569" t="s">
        <v>32</v>
      </c>
      <c r="H569">
        <v>234</v>
      </c>
      <c r="I569">
        <v>266</v>
      </c>
      <c r="J569">
        <v>9</v>
      </c>
      <c r="K569">
        <v>8.5</v>
      </c>
      <c r="L569">
        <v>56735.94</v>
      </c>
      <c r="M569">
        <v>5.64</v>
      </c>
      <c r="N569">
        <v>146.63999999999999</v>
      </c>
      <c r="O569">
        <v>269</v>
      </c>
      <c r="P569" s="5">
        <v>46196</v>
      </c>
      <c r="Q569" s="5">
        <v>46194</v>
      </c>
      <c r="R569" t="s">
        <v>25</v>
      </c>
      <c r="S569" t="s">
        <v>51</v>
      </c>
    </row>
    <row r="570" spans="1:19" x14ac:dyDescent="0.25">
      <c r="A570" t="s">
        <v>663</v>
      </c>
      <c r="B570" s="5">
        <v>46094</v>
      </c>
      <c r="C570" t="s">
        <v>43</v>
      </c>
      <c r="D570" t="s">
        <v>44</v>
      </c>
      <c r="E570" t="s">
        <v>161</v>
      </c>
      <c r="F570" t="s">
        <v>23</v>
      </c>
      <c r="G570" t="s">
        <v>32</v>
      </c>
      <c r="H570">
        <v>84</v>
      </c>
      <c r="I570">
        <v>79</v>
      </c>
      <c r="J570">
        <v>7</v>
      </c>
      <c r="K570">
        <v>7</v>
      </c>
      <c r="L570">
        <v>9141.16</v>
      </c>
      <c r="M570">
        <v>2.84</v>
      </c>
      <c r="N570">
        <v>68.16</v>
      </c>
      <c r="O570">
        <v>115</v>
      </c>
      <c r="P570" s="5">
        <v>46106</v>
      </c>
      <c r="Q570" s="5">
        <v>46106</v>
      </c>
      <c r="R570" t="s">
        <v>100</v>
      </c>
      <c r="S570" t="s">
        <v>86</v>
      </c>
    </row>
    <row r="571" spans="1:19" x14ac:dyDescent="0.25">
      <c r="A571" t="s">
        <v>664</v>
      </c>
      <c r="B571" s="5">
        <v>46075</v>
      </c>
      <c r="C571" t="s">
        <v>35</v>
      </c>
      <c r="D571" t="s">
        <v>36</v>
      </c>
      <c r="E571" t="s">
        <v>37</v>
      </c>
      <c r="F571" t="s">
        <v>110</v>
      </c>
      <c r="G571" t="s">
        <v>32</v>
      </c>
      <c r="H571">
        <v>194</v>
      </c>
      <c r="I571">
        <v>159</v>
      </c>
      <c r="J571">
        <v>11</v>
      </c>
      <c r="K571">
        <v>3.3</v>
      </c>
      <c r="L571">
        <v>14936.48</v>
      </c>
      <c r="M571">
        <v>3.55</v>
      </c>
      <c r="N571">
        <v>71</v>
      </c>
      <c r="O571">
        <v>199</v>
      </c>
      <c r="P571" s="5">
        <v>46080</v>
      </c>
      <c r="Q571" s="5">
        <v>46084</v>
      </c>
      <c r="R571" t="s">
        <v>25</v>
      </c>
      <c r="S571" t="s">
        <v>33</v>
      </c>
    </row>
    <row r="572" spans="1:19" x14ac:dyDescent="0.25">
      <c r="A572" t="s">
        <v>665</v>
      </c>
      <c r="B572" s="5">
        <v>46102</v>
      </c>
      <c r="C572" t="s">
        <v>43</v>
      </c>
      <c r="D572" t="s">
        <v>44</v>
      </c>
      <c r="E572" t="s">
        <v>93</v>
      </c>
      <c r="F572" t="s">
        <v>104</v>
      </c>
      <c r="G572" t="s">
        <v>57</v>
      </c>
      <c r="H572">
        <v>289</v>
      </c>
      <c r="I572">
        <v>257</v>
      </c>
      <c r="J572">
        <v>15</v>
      </c>
      <c r="K572">
        <v>0.6</v>
      </c>
      <c r="L572">
        <v>23797.96</v>
      </c>
      <c r="M572">
        <v>10.23</v>
      </c>
      <c r="N572">
        <v>245.52</v>
      </c>
      <c r="O572">
        <v>274</v>
      </c>
      <c r="P572" s="5">
        <v>46112</v>
      </c>
      <c r="Q572" s="5">
        <v>46112</v>
      </c>
      <c r="R572" t="s">
        <v>25</v>
      </c>
      <c r="S572" t="s">
        <v>72</v>
      </c>
    </row>
    <row r="573" spans="1:19" x14ac:dyDescent="0.25">
      <c r="A573" t="s">
        <v>666</v>
      </c>
      <c r="B573" s="5">
        <v>46121</v>
      </c>
      <c r="C573" t="s">
        <v>80</v>
      </c>
      <c r="D573" t="s">
        <v>21</v>
      </c>
      <c r="E573" t="s">
        <v>22</v>
      </c>
      <c r="F573" t="s">
        <v>112</v>
      </c>
      <c r="G573" t="s">
        <v>32</v>
      </c>
      <c r="H573">
        <v>291</v>
      </c>
      <c r="I573">
        <v>211</v>
      </c>
      <c r="J573">
        <v>16</v>
      </c>
      <c r="K573">
        <v>8.4</v>
      </c>
      <c r="L573">
        <v>52352.76</v>
      </c>
      <c r="M573">
        <v>5.15</v>
      </c>
      <c r="N573">
        <v>133.9</v>
      </c>
      <c r="O573">
        <v>254</v>
      </c>
      <c r="P573" s="5">
        <v>46123</v>
      </c>
      <c r="Q573" s="5">
        <v>46122</v>
      </c>
      <c r="R573" t="s">
        <v>39</v>
      </c>
      <c r="S573" t="s">
        <v>33</v>
      </c>
    </row>
    <row r="574" spans="1:19" x14ac:dyDescent="0.25">
      <c r="A574" t="s">
        <v>667</v>
      </c>
      <c r="B574" s="5">
        <v>46074</v>
      </c>
      <c r="C574" t="s">
        <v>43</v>
      </c>
      <c r="D574" t="s">
        <v>44</v>
      </c>
      <c r="E574" t="s">
        <v>161</v>
      </c>
      <c r="F574" t="s">
        <v>71</v>
      </c>
      <c r="G574" t="s">
        <v>24</v>
      </c>
      <c r="H574">
        <v>274</v>
      </c>
      <c r="I574">
        <v>263</v>
      </c>
      <c r="J574">
        <v>11</v>
      </c>
      <c r="K574">
        <v>1.5</v>
      </c>
      <c r="L574">
        <v>26340.07</v>
      </c>
      <c r="M574">
        <v>5.09</v>
      </c>
      <c r="N574">
        <v>111.98</v>
      </c>
      <c r="O574">
        <v>373</v>
      </c>
      <c r="P574" s="5">
        <v>46077</v>
      </c>
      <c r="Q574" s="5">
        <v>46075</v>
      </c>
      <c r="R574" t="s">
        <v>25</v>
      </c>
      <c r="S574" t="s">
        <v>86</v>
      </c>
    </row>
    <row r="575" spans="1:19" x14ac:dyDescent="0.25">
      <c r="A575" t="s">
        <v>668</v>
      </c>
      <c r="B575" s="5">
        <v>46049</v>
      </c>
      <c r="C575" t="s">
        <v>35</v>
      </c>
      <c r="D575" t="s">
        <v>36</v>
      </c>
      <c r="E575" t="s">
        <v>37</v>
      </c>
      <c r="F575" t="s">
        <v>23</v>
      </c>
      <c r="G575" t="s">
        <v>57</v>
      </c>
      <c r="H575">
        <v>80</v>
      </c>
      <c r="I575">
        <v>88</v>
      </c>
      <c r="J575">
        <v>0</v>
      </c>
      <c r="K575">
        <v>3.8</v>
      </c>
      <c r="L575">
        <v>7368.25</v>
      </c>
      <c r="M575">
        <v>2.06</v>
      </c>
      <c r="N575">
        <v>49.44</v>
      </c>
      <c r="O575">
        <v>78</v>
      </c>
      <c r="P575" s="5">
        <v>46058</v>
      </c>
      <c r="Q575" s="5">
        <v>46058</v>
      </c>
      <c r="R575" t="s">
        <v>1302</v>
      </c>
      <c r="S575" t="s">
        <v>86</v>
      </c>
    </row>
    <row r="576" spans="1:19" x14ac:dyDescent="0.25">
      <c r="A576" t="s">
        <v>669</v>
      </c>
      <c r="B576" s="5">
        <v>46114</v>
      </c>
      <c r="C576" t="s">
        <v>20</v>
      </c>
      <c r="D576" t="s">
        <v>21</v>
      </c>
      <c r="E576" t="s">
        <v>66</v>
      </c>
      <c r="F576" t="s">
        <v>170</v>
      </c>
      <c r="G576" t="s">
        <v>24</v>
      </c>
      <c r="H576">
        <v>165</v>
      </c>
      <c r="I576">
        <v>127</v>
      </c>
      <c r="J576">
        <v>11</v>
      </c>
      <c r="K576">
        <v>8.3000000000000007</v>
      </c>
      <c r="L576">
        <v>48300.75</v>
      </c>
      <c r="M576">
        <v>2.83</v>
      </c>
      <c r="N576">
        <v>73.58</v>
      </c>
      <c r="O576">
        <v>210</v>
      </c>
      <c r="P576" s="5">
        <v>46125</v>
      </c>
      <c r="Q576" s="5">
        <v>46125</v>
      </c>
      <c r="R576" t="s">
        <v>100</v>
      </c>
      <c r="S576" t="s">
        <v>86</v>
      </c>
    </row>
    <row r="577" spans="1:19" x14ac:dyDescent="0.25">
      <c r="A577" t="s">
        <v>670</v>
      </c>
      <c r="B577" s="5">
        <v>46182</v>
      </c>
      <c r="C577" t="s">
        <v>59</v>
      </c>
      <c r="D577" t="s">
        <v>49</v>
      </c>
      <c r="E577" t="s">
        <v>76</v>
      </c>
      <c r="F577" t="s">
        <v>170</v>
      </c>
      <c r="G577" t="s">
        <v>32</v>
      </c>
      <c r="H577">
        <v>304</v>
      </c>
      <c r="I577">
        <v>232</v>
      </c>
      <c r="J577">
        <v>20</v>
      </c>
      <c r="K577">
        <v>6</v>
      </c>
      <c r="L577">
        <v>50721.69</v>
      </c>
      <c r="M577">
        <v>8.14</v>
      </c>
      <c r="N577">
        <v>146.52000000000001</v>
      </c>
      <c r="O577">
        <v>264</v>
      </c>
      <c r="P577" s="5">
        <v>46186</v>
      </c>
      <c r="Q577" s="5">
        <v>46186</v>
      </c>
      <c r="R577" t="s">
        <v>25</v>
      </c>
      <c r="S577" t="s">
        <v>72</v>
      </c>
    </row>
    <row r="578" spans="1:19" x14ac:dyDescent="0.25">
      <c r="A578" t="s">
        <v>671</v>
      </c>
      <c r="B578" s="5">
        <v>46145</v>
      </c>
      <c r="C578" t="s">
        <v>20</v>
      </c>
      <c r="D578" t="s">
        <v>21</v>
      </c>
      <c r="E578" t="s">
        <v>22</v>
      </c>
      <c r="F578" t="s">
        <v>106</v>
      </c>
      <c r="G578" t="s">
        <v>32</v>
      </c>
      <c r="H578">
        <v>227</v>
      </c>
      <c r="I578">
        <v>205</v>
      </c>
      <c r="J578">
        <v>14</v>
      </c>
      <c r="K578">
        <v>1.3</v>
      </c>
      <c r="L578">
        <v>55961.91</v>
      </c>
      <c r="M578">
        <v>7.47</v>
      </c>
      <c r="N578">
        <v>164.34</v>
      </c>
      <c r="O578">
        <v>268</v>
      </c>
      <c r="P578" s="5">
        <v>46154</v>
      </c>
      <c r="Q578" s="5">
        <v>46156</v>
      </c>
      <c r="R578" t="s">
        <v>100</v>
      </c>
      <c r="S578" t="s">
        <v>26</v>
      </c>
    </row>
    <row r="579" spans="1:19" x14ac:dyDescent="0.25">
      <c r="A579" t="s">
        <v>672</v>
      </c>
      <c r="B579" s="5">
        <v>46185</v>
      </c>
      <c r="C579" t="s">
        <v>48</v>
      </c>
      <c r="D579" t="s">
        <v>49</v>
      </c>
      <c r="E579" t="s">
        <v>50</v>
      </c>
      <c r="F579" t="s">
        <v>106</v>
      </c>
      <c r="G579" t="s">
        <v>32</v>
      </c>
      <c r="H579">
        <v>285</v>
      </c>
      <c r="I579">
        <v>320</v>
      </c>
      <c r="J579">
        <v>28</v>
      </c>
      <c r="K579">
        <v>3.4</v>
      </c>
      <c r="L579">
        <v>65820.679999999993</v>
      </c>
      <c r="M579">
        <v>9.5399999999999991</v>
      </c>
      <c r="N579">
        <v>248.04</v>
      </c>
      <c r="O579">
        <v>303</v>
      </c>
      <c r="P579" s="5">
        <v>46193</v>
      </c>
      <c r="Q579" s="5">
        <v>46192</v>
      </c>
      <c r="R579" t="s">
        <v>39</v>
      </c>
      <c r="S579" t="s">
        <v>26</v>
      </c>
    </row>
    <row r="580" spans="1:19" x14ac:dyDescent="0.25">
      <c r="A580" t="s">
        <v>673</v>
      </c>
      <c r="B580" s="5">
        <v>46170</v>
      </c>
      <c r="C580" t="s">
        <v>28</v>
      </c>
      <c r="D580" t="s">
        <v>29</v>
      </c>
      <c r="E580" t="s">
        <v>30</v>
      </c>
      <c r="F580" t="s">
        <v>125</v>
      </c>
      <c r="G580" t="s">
        <v>32</v>
      </c>
      <c r="H580">
        <v>102</v>
      </c>
      <c r="I580">
        <v>83</v>
      </c>
      <c r="J580">
        <v>0</v>
      </c>
      <c r="K580">
        <v>8.9</v>
      </c>
      <c r="L580">
        <v>15920.67</v>
      </c>
      <c r="M580">
        <v>3.4</v>
      </c>
      <c r="N580">
        <v>61.2</v>
      </c>
      <c r="O580">
        <v>77</v>
      </c>
      <c r="P580" s="5">
        <v>46177</v>
      </c>
      <c r="Q580" s="5">
        <v>46178</v>
      </c>
      <c r="R580" t="s">
        <v>25</v>
      </c>
      <c r="S580" t="s">
        <v>51</v>
      </c>
    </row>
    <row r="581" spans="1:19" x14ac:dyDescent="0.25">
      <c r="A581" t="s">
        <v>675</v>
      </c>
      <c r="B581" s="5">
        <v>46145</v>
      </c>
      <c r="C581" t="s">
        <v>43</v>
      </c>
      <c r="D581" t="s">
        <v>44</v>
      </c>
      <c r="E581" t="s">
        <v>93</v>
      </c>
      <c r="F581" t="s">
        <v>77</v>
      </c>
      <c r="G581" t="s">
        <v>24</v>
      </c>
      <c r="H581">
        <v>117</v>
      </c>
      <c r="I581">
        <v>102</v>
      </c>
      <c r="J581">
        <v>1</v>
      </c>
      <c r="K581">
        <v>0.7</v>
      </c>
      <c r="L581">
        <v>13312.3</v>
      </c>
      <c r="M581">
        <v>2.2000000000000002</v>
      </c>
      <c r="N581">
        <v>44</v>
      </c>
      <c r="O581">
        <v>197</v>
      </c>
      <c r="P581" s="5">
        <v>46149</v>
      </c>
      <c r="Q581" s="5">
        <v>46149</v>
      </c>
      <c r="R581" t="s">
        <v>100</v>
      </c>
      <c r="S581" t="s">
        <v>86</v>
      </c>
    </row>
    <row r="582" spans="1:19" x14ac:dyDescent="0.25">
      <c r="A582" t="s">
        <v>676</v>
      </c>
      <c r="B582" s="5">
        <v>46136</v>
      </c>
      <c r="C582" t="s">
        <v>80</v>
      </c>
      <c r="D582" t="s">
        <v>21</v>
      </c>
      <c r="E582" t="s">
        <v>90</v>
      </c>
      <c r="F582" t="s">
        <v>85</v>
      </c>
      <c r="G582" t="s">
        <v>32</v>
      </c>
      <c r="H582">
        <v>108</v>
      </c>
      <c r="I582">
        <v>84</v>
      </c>
      <c r="J582">
        <v>7</v>
      </c>
      <c r="K582">
        <v>0.3</v>
      </c>
      <c r="L582">
        <v>24449.74</v>
      </c>
      <c r="M582">
        <v>1.53</v>
      </c>
      <c r="N582">
        <v>36.72</v>
      </c>
      <c r="O582">
        <v>184</v>
      </c>
      <c r="P582" s="5">
        <v>46146</v>
      </c>
      <c r="Q582" s="5">
        <v>46146</v>
      </c>
      <c r="R582" t="s">
        <v>39</v>
      </c>
      <c r="S582" t="s">
        <v>51</v>
      </c>
    </row>
    <row r="583" spans="1:19" x14ac:dyDescent="0.25">
      <c r="A583" t="s">
        <v>677</v>
      </c>
      <c r="B583" s="5">
        <v>46131</v>
      </c>
      <c r="C583" t="s">
        <v>43</v>
      </c>
      <c r="D583" t="s">
        <v>44</v>
      </c>
      <c r="E583" t="s">
        <v>161</v>
      </c>
      <c r="F583" t="s">
        <v>110</v>
      </c>
      <c r="G583" t="s">
        <v>24</v>
      </c>
      <c r="H583">
        <v>103</v>
      </c>
      <c r="I583">
        <v>97</v>
      </c>
      <c r="J583">
        <v>9</v>
      </c>
      <c r="K583">
        <v>1.1000000000000001</v>
      </c>
      <c r="L583">
        <v>10538.57</v>
      </c>
      <c r="M583">
        <v>2.2599999999999998</v>
      </c>
      <c r="N583">
        <v>45.2</v>
      </c>
      <c r="O583">
        <v>82</v>
      </c>
      <c r="P583" s="5">
        <v>46140</v>
      </c>
      <c r="Q583" s="5">
        <v>46144</v>
      </c>
      <c r="R583" t="s">
        <v>25</v>
      </c>
      <c r="S583" t="s">
        <v>72</v>
      </c>
    </row>
    <row r="584" spans="1:19" x14ac:dyDescent="0.25">
      <c r="A584" t="s">
        <v>678</v>
      </c>
      <c r="B584" s="5">
        <v>46120</v>
      </c>
      <c r="C584" t="s">
        <v>43</v>
      </c>
      <c r="D584" t="s">
        <v>44</v>
      </c>
      <c r="E584" t="s">
        <v>93</v>
      </c>
      <c r="F584" t="s">
        <v>137</v>
      </c>
      <c r="G584" t="s">
        <v>57</v>
      </c>
      <c r="H584">
        <v>285</v>
      </c>
      <c r="I584">
        <v>250</v>
      </c>
      <c r="J584">
        <v>10</v>
      </c>
      <c r="K584">
        <v>2.4</v>
      </c>
      <c r="L584">
        <v>24260.400000000001</v>
      </c>
      <c r="M584">
        <v>9.17</v>
      </c>
      <c r="N584">
        <v>201.74</v>
      </c>
      <c r="O584">
        <v>252</v>
      </c>
      <c r="P584" s="5">
        <v>46125</v>
      </c>
      <c r="Q584" s="5">
        <v>46125</v>
      </c>
      <c r="R584" t="s">
        <v>25</v>
      </c>
      <c r="S584" t="s">
        <v>33</v>
      </c>
    </row>
    <row r="585" spans="1:19" x14ac:dyDescent="0.25">
      <c r="A585" t="s">
        <v>679</v>
      </c>
      <c r="B585" s="5">
        <v>46077</v>
      </c>
      <c r="C585" t="s">
        <v>80</v>
      </c>
      <c r="D585" t="s">
        <v>21</v>
      </c>
      <c r="E585" t="s">
        <v>90</v>
      </c>
      <c r="F585" t="s">
        <v>88</v>
      </c>
      <c r="G585" t="s">
        <v>32</v>
      </c>
      <c r="H585">
        <v>128</v>
      </c>
      <c r="I585">
        <v>122</v>
      </c>
      <c r="J585">
        <v>7</v>
      </c>
      <c r="K585">
        <v>0.3</v>
      </c>
      <c r="L585">
        <v>33640.639999999999</v>
      </c>
      <c r="M585">
        <v>3.85</v>
      </c>
      <c r="N585">
        <v>100.1</v>
      </c>
      <c r="O585">
        <v>211</v>
      </c>
      <c r="P585" s="5">
        <v>46079</v>
      </c>
      <c r="Q585" s="5">
        <v>46077</v>
      </c>
      <c r="R585" t="s">
        <v>25</v>
      </c>
      <c r="S585" t="s">
        <v>33</v>
      </c>
    </row>
    <row r="586" spans="1:19" x14ac:dyDescent="0.25">
      <c r="A586" t="s">
        <v>680</v>
      </c>
      <c r="B586" s="5">
        <v>46114</v>
      </c>
      <c r="C586" t="s">
        <v>59</v>
      </c>
      <c r="D586" t="s">
        <v>49</v>
      </c>
      <c r="E586" t="s">
        <v>76</v>
      </c>
      <c r="F586" t="s">
        <v>114</v>
      </c>
      <c r="G586" t="s">
        <v>32</v>
      </c>
      <c r="H586">
        <v>208</v>
      </c>
      <c r="I586">
        <v>167</v>
      </c>
      <c r="J586">
        <v>12</v>
      </c>
      <c r="K586">
        <v>6.5</v>
      </c>
      <c r="L586">
        <v>35989.17</v>
      </c>
      <c r="M586">
        <v>3.4</v>
      </c>
      <c r="N586">
        <v>81.599999999999994</v>
      </c>
      <c r="O586">
        <v>296</v>
      </c>
      <c r="P586" s="5">
        <v>46117</v>
      </c>
      <c r="Q586" s="5">
        <v>46117</v>
      </c>
      <c r="R586" t="s">
        <v>25</v>
      </c>
      <c r="S586" t="s">
        <v>72</v>
      </c>
    </row>
    <row r="587" spans="1:19" x14ac:dyDescent="0.25">
      <c r="A587" t="s">
        <v>681</v>
      </c>
      <c r="B587" s="5">
        <v>46173</v>
      </c>
      <c r="C587" t="s">
        <v>80</v>
      </c>
      <c r="D587" t="s">
        <v>21</v>
      </c>
      <c r="E587" t="s">
        <v>90</v>
      </c>
      <c r="F587" t="s">
        <v>83</v>
      </c>
      <c r="G587" t="s">
        <v>57</v>
      </c>
      <c r="H587">
        <v>121</v>
      </c>
      <c r="I587">
        <v>95</v>
      </c>
      <c r="J587">
        <v>4</v>
      </c>
      <c r="K587">
        <v>8</v>
      </c>
      <c r="L587">
        <v>22891.72</v>
      </c>
      <c r="M587">
        <v>3.73</v>
      </c>
      <c r="N587">
        <v>74.599999999999994</v>
      </c>
      <c r="O587">
        <v>122</v>
      </c>
      <c r="P587" s="5">
        <v>46183</v>
      </c>
      <c r="Q587" s="5">
        <v>46184</v>
      </c>
      <c r="R587" t="s">
        <v>100</v>
      </c>
      <c r="S587" t="s">
        <v>86</v>
      </c>
    </row>
    <row r="588" spans="1:19" x14ac:dyDescent="0.25">
      <c r="A588" t="s">
        <v>682</v>
      </c>
      <c r="B588" s="5">
        <v>46097</v>
      </c>
      <c r="C588" t="s">
        <v>48</v>
      </c>
      <c r="D588" t="s">
        <v>49</v>
      </c>
      <c r="E588" t="s">
        <v>60</v>
      </c>
      <c r="F588" t="s">
        <v>83</v>
      </c>
      <c r="G588" t="s">
        <v>57</v>
      </c>
      <c r="H588">
        <v>299</v>
      </c>
      <c r="I588">
        <v>336</v>
      </c>
      <c r="J588">
        <v>2</v>
      </c>
      <c r="K588">
        <v>6.4</v>
      </c>
      <c r="L588">
        <v>66629.86</v>
      </c>
      <c r="M588">
        <v>14.09</v>
      </c>
      <c r="N588">
        <v>366.34</v>
      </c>
      <c r="O588">
        <v>278</v>
      </c>
      <c r="P588" s="5">
        <v>46101</v>
      </c>
      <c r="Q588" s="5">
        <v>46105</v>
      </c>
      <c r="R588" t="s">
        <v>25</v>
      </c>
      <c r="S588" t="s">
        <v>51</v>
      </c>
    </row>
    <row r="589" spans="1:19" x14ac:dyDescent="0.25">
      <c r="A589" t="s">
        <v>683</v>
      </c>
      <c r="B589" s="5">
        <v>46102</v>
      </c>
      <c r="C589" t="s">
        <v>20</v>
      </c>
      <c r="D589" t="s">
        <v>21</v>
      </c>
      <c r="E589" t="s">
        <v>90</v>
      </c>
      <c r="F589" t="s">
        <v>122</v>
      </c>
      <c r="G589" t="s">
        <v>32</v>
      </c>
      <c r="H589">
        <v>104</v>
      </c>
      <c r="I589">
        <v>95</v>
      </c>
      <c r="J589">
        <v>1</v>
      </c>
      <c r="K589">
        <v>2.7</v>
      </c>
      <c r="L589">
        <v>26515.07</v>
      </c>
      <c r="M589">
        <v>2.52</v>
      </c>
      <c r="N589">
        <v>45.36</v>
      </c>
      <c r="O589">
        <v>109</v>
      </c>
      <c r="P589" s="5">
        <v>46111</v>
      </c>
      <c r="Q589" s="5">
        <v>46111</v>
      </c>
      <c r="R589" t="s">
        <v>100</v>
      </c>
      <c r="S589" t="s">
        <v>51</v>
      </c>
    </row>
    <row r="590" spans="1:19" x14ac:dyDescent="0.25">
      <c r="A590" t="s">
        <v>684</v>
      </c>
      <c r="B590" s="5">
        <v>46054</v>
      </c>
      <c r="C590" t="s">
        <v>53</v>
      </c>
      <c r="D590" t="s">
        <v>54</v>
      </c>
      <c r="E590" t="s">
        <v>55</v>
      </c>
      <c r="F590" t="s">
        <v>85</v>
      </c>
      <c r="G590" t="s">
        <v>32</v>
      </c>
      <c r="H590">
        <v>173</v>
      </c>
      <c r="I590">
        <v>188</v>
      </c>
      <c r="J590">
        <v>7</v>
      </c>
      <c r="K590">
        <v>7.7</v>
      </c>
      <c r="L590">
        <v>27825.53</v>
      </c>
      <c r="M590">
        <v>5.04</v>
      </c>
      <c r="N590">
        <v>131.04</v>
      </c>
      <c r="O590">
        <v>213</v>
      </c>
      <c r="P590" s="5">
        <v>46061</v>
      </c>
      <c r="Q590" s="5">
        <v>46060</v>
      </c>
      <c r="R590" t="s">
        <v>100</v>
      </c>
      <c r="S590" t="s">
        <v>86</v>
      </c>
    </row>
    <row r="591" spans="1:19" x14ac:dyDescent="0.25">
      <c r="A591" t="s">
        <v>685</v>
      </c>
      <c r="B591" s="5">
        <v>46197</v>
      </c>
      <c r="C591" t="s">
        <v>80</v>
      </c>
      <c r="D591" t="s">
        <v>21</v>
      </c>
      <c r="E591" t="s">
        <v>66</v>
      </c>
      <c r="F591" t="s">
        <v>23</v>
      </c>
      <c r="G591" t="s">
        <v>32</v>
      </c>
      <c r="H591">
        <v>244</v>
      </c>
      <c r="I591">
        <v>181</v>
      </c>
      <c r="J591">
        <v>13</v>
      </c>
      <c r="K591">
        <v>6.3</v>
      </c>
      <c r="L591">
        <v>44767.360000000001</v>
      </c>
      <c r="M591">
        <v>3.72</v>
      </c>
      <c r="N591">
        <v>89.28</v>
      </c>
      <c r="O591">
        <v>244</v>
      </c>
      <c r="P591" s="5">
        <v>46208</v>
      </c>
      <c r="Q591" s="5">
        <v>46210</v>
      </c>
      <c r="R591" t="s">
        <v>25</v>
      </c>
      <c r="S591" t="s">
        <v>72</v>
      </c>
    </row>
    <row r="592" spans="1:19" x14ac:dyDescent="0.25">
      <c r="A592" t="s">
        <v>686</v>
      </c>
      <c r="B592" s="5">
        <v>46194</v>
      </c>
      <c r="C592" t="s">
        <v>20</v>
      </c>
      <c r="D592" t="s">
        <v>21</v>
      </c>
      <c r="E592" t="s">
        <v>90</v>
      </c>
      <c r="F592" t="s">
        <v>88</v>
      </c>
      <c r="G592" t="s">
        <v>32</v>
      </c>
      <c r="H592">
        <v>199</v>
      </c>
      <c r="I592">
        <v>183</v>
      </c>
      <c r="J592">
        <v>9</v>
      </c>
      <c r="K592">
        <v>7.4</v>
      </c>
      <c r="L592">
        <v>46566.03</v>
      </c>
      <c r="M592">
        <v>3.77</v>
      </c>
      <c r="N592">
        <v>90.48</v>
      </c>
      <c r="O592">
        <v>269</v>
      </c>
      <c r="P592" s="5">
        <v>46199</v>
      </c>
      <c r="Q592" s="5">
        <v>46201</v>
      </c>
      <c r="R592" t="s">
        <v>25</v>
      </c>
      <c r="S592" t="s">
        <v>86</v>
      </c>
    </row>
    <row r="593" spans="1:19" x14ac:dyDescent="0.25">
      <c r="A593" t="s">
        <v>687</v>
      </c>
      <c r="B593" s="5">
        <v>46177</v>
      </c>
      <c r="C593" t="s">
        <v>53</v>
      </c>
      <c r="D593" t="s">
        <v>54</v>
      </c>
      <c r="E593" t="s">
        <v>55</v>
      </c>
      <c r="F593" t="s">
        <v>197</v>
      </c>
      <c r="G593" t="s">
        <v>32</v>
      </c>
      <c r="H593">
        <v>259</v>
      </c>
      <c r="I593">
        <v>269</v>
      </c>
      <c r="J593">
        <v>4</v>
      </c>
      <c r="K593">
        <v>4.0999999999999996</v>
      </c>
      <c r="L593">
        <v>43747.09</v>
      </c>
      <c r="M593">
        <v>5.78</v>
      </c>
      <c r="N593">
        <v>115.6</v>
      </c>
      <c r="O593">
        <v>300</v>
      </c>
      <c r="P593" s="5">
        <v>46188</v>
      </c>
      <c r="Q593" s="5">
        <v>46186</v>
      </c>
      <c r="R593" t="s">
        <v>39</v>
      </c>
      <c r="S593" t="s">
        <v>33</v>
      </c>
    </row>
    <row r="594" spans="1:19" x14ac:dyDescent="0.25">
      <c r="A594" t="s">
        <v>688</v>
      </c>
      <c r="B594" s="5">
        <v>46115</v>
      </c>
      <c r="C594" t="s">
        <v>35</v>
      </c>
      <c r="D594" t="s">
        <v>36</v>
      </c>
      <c r="E594" t="s">
        <v>69</v>
      </c>
      <c r="F594" t="s">
        <v>88</v>
      </c>
      <c r="G594" t="s">
        <v>32</v>
      </c>
      <c r="H594">
        <v>134</v>
      </c>
      <c r="I594">
        <v>99</v>
      </c>
      <c r="J594">
        <v>8</v>
      </c>
      <c r="K594">
        <v>8.6</v>
      </c>
      <c r="L594">
        <v>9119.36</v>
      </c>
      <c r="M594">
        <v>3.29</v>
      </c>
      <c r="N594">
        <v>59.22</v>
      </c>
      <c r="O594">
        <v>130</v>
      </c>
      <c r="P594" s="5">
        <v>46118</v>
      </c>
      <c r="Q594" s="5">
        <v>46118</v>
      </c>
      <c r="R594" t="s">
        <v>100</v>
      </c>
      <c r="S594" t="s">
        <v>72</v>
      </c>
    </row>
    <row r="595" spans="1:19" x14ac:dyDescent="0.25">
      <c r="A595" t="s">
        <v>689</v>
      </c>
      <c r="B595" s="5">
        <v>46130</v>
      </c>
      <c r="C595" t="s">
        <v>28</v>
      </c>
      <c r="D595" t="s">
        <v>29</v>
      </c>
      <c r="E595" t="s">
        <v>30</v>
      </c>
      <c r="F595" t="s">
        <v>119</v>
      </c>
      <c r="G595" t="s">
        <v>24</v>
      </c>
      <c r="H595">
        <v>308</v>
      </c>
      <c r="I595">
        <v>256</v>
      </c>
      <c r="J595">
        <v>20</v>
      </c>
      <c r="K595">
        <v>0.8</v>
      </c>
      <c r="L595">
        <v>64150.3</v>
      </c>
      <c r="M595">
        <v>9.24</v>
      </c>
      <c r="N595">
        <v>184.8</v>
      </c>
      <c r="O595">
        <v>318</v>
      </c>
      <c r="P595" s="5">
        <v>46137</v>
      </c>
      <c r="Q595" s="5">
        <v>46139</v>
      </c>
      <c r="R595" t="s">
        <v>100</v>
      </c>
      <c r="S595" t="s">
        <v>51</v>
      </c>
    </row>
    <row r="596" spans="1:19" x14ac:dyDescent="0.25">
      <c r="A596" t="s">
        <v>690</v>
      </c>
      <c r="B596" s="5">
        <v>46201</v>
      </c>
      <c r="C596" t="s">
        <v>35</v>
      </c>
      <c r="D596" t="s">
        <v>36</v>
      </c>
      <c r="E596" t="s">
        <v>69</v>
      </c>
      <c r="F596" t="s">
        <v>170</v>
      </c>
      <c r="G596" t="s">
        <v>32</v>
      </c>
      <c r="H596">
        <v>313</v>
      </c>
      <c r="I596">
        <v>318</v>
      </c>
      <c r="J596">
        <v>12</v>
      </c>
      <c r="K596">
        <v>0.1</v>
      </c>
      <c r="L596">
        <v>33102.589999999997</v>
      </c>
      <c r="M596">
        <v>6.32</v>
      </c>
      <c r="N596">
        <v>164.32</v>
      </c>
      <c r="O596">
        <v>310</v>
      </c>
      <c r="P596" s="5">
        <v>46208</v>
      </c>
      <c r="Q596" s="5">
        <v>46209</v>
      </c>
      <c r="R596" t="s">
        <v>25</v>
      </c>
      <c r="S596" t="s">
        <v>51</v>
      </c>
    </row>
    <row r="597" spans="1:19" x14ac:dyDescent="0.25">
      <c r="A597" t="s">
        <v>691</v>
      </c>
      <c r="B597" s="5">
        <v>46150</v>
      </c>
      <c r="C597" t="s">
        <v>48</v>
      </c>
      <c r="D597" t="s">
        <v>49</v>
      </c>
      <c r="E597" t="s">
        <v>50</v>
      </c>
      <c r="F597" t="s">
        <v>31</v>
      </c>
      <c r="G597" t="s">
        <v>24</v>
      </c>
      <c r="H597">
        <v>282</v>
      </c>
      <c r="I597">
        <v>320</v>
      </c>
      <c r="J597">
        <v>13</v>
      </c>
      <c r="K597">
        <v>4.7</v>
      </c>
      <c r="L597">
        <v>51875.44</v>
      </c>
      <c r="M597">
        <v>12.15</v>
      </c>
      <c r="N597">
        <v>243</v>
      </c>
      <c r="O597">
        <v>357</v>
      </c>
      <c r="P597" s="5">
        <v>46162</v>
      </c>
      <c r="Q597" s="5">
        <v>46161</v>
      </c>
      <c r="R597" t="s">
        <v>25</v>
      </c>
      <c r="S597" t="s">
        <v>51</v>
      </c>
    </row>
    <row r="598" spans="1:19" x14ac:dyDescent="0.25">
      <c r="A598" t="s">
        <v>692</v>
      </c>
      <c r="B598" s="5">
        <v>46130</v>
      </c>
      <c r="C598" t="s">
        <v>43</v>
      </c>
      <c r="D598" t="s">
        <v>44</v>
      </c>
      <c r="E598" t="s">
        <v>45</v>
      </c>
      <c r="F598" t="s">
        <v>61</v>
      </c>
      <c r="G598" t="s">
        <v>57</v>
      </c>
      <c r="H598">
        <v>176</v>
      </c>
      <c r="I598">
        <v>143</v>
      </c>
      <c r="J598">
        <v>3</v>
      </c>
      <c r="K598">
        <v>1.7</v>
      </c>
      <c r="L598">
        <v>20064.37</v>
      </c>
      <c r="M598">
        <v>3.84</v>
      </c>
      <c r="N598">
        <v>84.48</v>
      </c>
      <c r="O598">
        <v>140</v>
      </c>
      <c r="P598" s="5">
        <v>46136</v>
      </c>
      <c r="Q598" s="5">
        <v>46136</v>
      </c>
      <c r="R598" t="s">
        <v>39</v>
      </c>
      <c r="S598" t="s">
        <v>72</v>
      </c>
    </row>
    <row r="599" spans="1:19" x14ac:dyDescent="0.25">
      <c r="A599" t="s">
        <v>693</v>
      </c>
      <c r="B599" s="5">
        <v>46189</v>
      </c>
      <c r="C599" t="s">
        <v>53</v>
      </c>
      <c r="D599" t="s">
        <v>54</v>
      </c>
      <c r="E599" t="s">
        <v>131</v>
      </c>
      <c r="F599" t="s">
        <v>104</v>
      </c>
      <c r="G599" t="s">
        <v>57</v>
      </c>
      <c r="H599">
        <v>185</v>
      </c>
      <c r="I599">
        <v>161</v>
      </c>
      <c r="J599">
        <v>12</v>
      </c>
      <c r="K599">
        <v>3.8</v>
      </c>
      <c r="L599">
        <v>25745.1</v>
      </c>
      <c r="M599">
        <v>6.48</v>
      </c>
      <c r="N599">
        <v>155.52000000000001</v>
      </c>
      <c r="O599">
        <v>254</v>
      </c>
      <c r="P599" s="5">
        <v>46196</v>
      </c>
      <c r="Q599" s="5">
        <v>46196</v>
      </c>
      <c r="R599" t="s">
        <v>39</v>
      </c>
      <c r="S599" t="s">
        <v>26</v>
      </c>
    </row>
    <row r="600" spans="1:19" x14ac:dyDescent="0.25">
      <c r="A600" t="s">
        <v>694</v>
      </c>
      <c r="B600" s="5">
        <v>46134</v>
      </c>
      <c r="C600" t="s">
        <v>35</v>
      </c>
      <c r="D600" t="s">
        <v>36</v>
      </c>
      <c r="E600" t="s">
        <v>69</v>
      </c>
      <c r="F600" t="s">
        <v>104</v>
      </c>
      <c r="G600" t="s">
        <v>32</v>
      </c>
      <c r="H600">
        <v>296</v>
      </c>
      <c r="I600">
        <v>297</v>
      </c>
      <c r="J600">
        <v>19</v>
      </c>
      <c r="K600">
        <v>5.7</v>
      </c>
      <c r="L600">
        <v>32774.949999999997</v>
      </c>
      <c r="M600">
        <v>11.8</v>
      </c>
      <c r="N600">
        <v>212.4</v>
      </c>
      <c r="O600">
        <v>278</v>
      </c>
      <c r="P600" s="5">
        <v>46137</v>
      </c>
      <c r="Q600" s="5">
        <v>46136</v>
      </c>
      <c r="R600" t="s">
        <v>25</v>
      </c>
      <c r="S600" t="s">
        <v>33</v>
      </c>
    </row>
    <row r="601" spans="1:19" x14ac:dyDescent="0.25">
      <c r="A601" t="s">
        <v>695</v>
      </c>
      <c r="B601" s="5">
        <v>46150</v>
      </c>
      <c r="C601" t="s">
        <v>20</v>
      </c>
      <c r="D601" t="s">
        <v>21</v>
      </c>
      <c r="E601" t="s">
        <v>66</v>
      </c>
      <c r="F601" t="s">
        <v>71</v>
      </c>
      <c r="G601" t="s">
        <v>32</v>
      </c>
      <c r="H601">
        <v>193</v>
      </c>
      <c r="I601">
        <v>180</v>
      </c>
      <c r="J601">
        <v>13</v>
      </c>
      <c r="K601">
        <v>6</v>
      </c>
      <c r="L601">
        <v>60607.839999999997</v>
      </c>
      <c r="M601">
        <v>6.6</v>
      </c>
      <c r="N601">
        <v>171.6</v>
      </c>
      <c r="O601">
        <v>250</v>
      </c>
      <c r="P601" s="5">
        <v>46153</v>
      </c>
      <c r="Q601" s="5">
        <v>46153</v>
      </c>
      <c r="R601" t="s">
        <v>100</v>
      </c>
      <c r="S601" t="s">
        <v>72</v>
      </c>
    </row>
    <row r="602" spans="1:19" x14ac:dyDescent="0.25">
      <c r="A602" t="s">
        <v>696</v>
      </c>
      <c r="B602" s="5">
        <v>46128</v>
      </c>
      <c r="C602" t="s">
        <v>35</v>
      </c>
      <c r="D602" t="s">
        <v>36</v>
      </c>
      <c r="E602" t="s">
        <v>37</v>
      </c>
      <c r="F602" t="s">
        <v>135</v>
      </c>
      <c r="G602" t="s">
        <v>57</v>
      </c>
      <c r="H602">
        <v>320</v>
      </c>
      <c r="I602">
        <v>281</v>
      </c>
      <c r="J602">
        <v>7</v>
      </c>
      <c r="K602">
        <v>2.6</v>
      </c>
      <c r="L602">
        <v>27554.7</v>
      </c>
      <c r="M602">
        <v>10.71</v>
      </c>
      <c r="N602">
        <v>257.04000000000002</v>
      </c>
      <c r="O602">
        <v>341</v>
      </c>
      <c r="P602" s="5">
        <v>46130</v>
      </c>
      <c r="Q602" s="5">
        <v>46132</v>
      </c>
      <c r="R602" t="s">
        <v>25</v>
      </c>
      <c r="S602" t="s">
        <v>51</v>
      </c>
    </row>
    <row r="603" spans="1:19" x14ac:dyDescent="0.25">
      <c r="A603" t="s">
        <v>697</v>
      </c>
      <c r="B603" s="5">
        <v>46118</v>
      </c>
      <c r="C603" t="s">
        <v>48</v>
      </c>
      <c r="D603" t="s">
        <v>49</v>
      </c>
      <c r="E603" t="s">
        <v>76</v>
      </c>
      <c r="F603" t="s">
        <v>46</v>
      </c>
      <c r="G603" t="s">
        <v>32</v>
      </c>
      <c r="H603">
        <v>123</v>
      </c>
      <c r="I603">
        <v>139</v>
      </c>
      <c r="J603">
        <v>13</v>
      </c>
      <c r="K603">
        <v>2.2000000000000002</v>
      </c>
      <c r="L603">
        <v>29865.14</v>
      </c>
      <c r="M603">
        <v>4.6500000000000004</v>
      </c>
      <c r="N603">
        <v>83.7</v>
      </c>
      <c r="O603">
        <v>192</v>
      </c>
      <c r="P603" s="5">
        <v>46122</v>
      </c>
      <c r="Q603" s="5">
        <v>46124</v>
      </c>
      <c r="R603" t="s">
        <v>25</v>
      </c>
      <c r="S603" t="s">
        <v>26</v>
      </c>
    </row>
    <row r="604" spans="1:19" x14ac:dyDescent="0.25">
      <c r="A604" t="s">
        <v>698</v>
      </c>
      <c r="B604" s="5">
        <v>46063</v>
      </c>
      <c r="C604" t="s">
        <v>35</v>
      </c>
      <c r="D604" t="s">
        <v>36</v>
      </c>
      <c r="E604" t="s">
        <v>37</v>
      </c>
      <c r="G604" t="s">
        <v>57</v>
      </c>
      <c r="H604">
        <v>105</v>
      </c>
      <c r="I604">
        <v>107</v>
      </c>
      <c r="J604">
        <v>1</v>
      </c>
      <c r="K604">
        <v>1.1000000000000001</v>
      </c>
      <c r="L604">
        <v>9832.18</v>
      </c>
      <c r="M604">
        <v>3.88</v>
      </c>
      <c r="N604">
        <v>85.36</v>
      </c>
      <c r="O604">
        <v>105</v>
      </c>
      <c r="P604" s="5">
        <v>46070</v>
      </c>
      <c r="Q604" s="5">
        <v>46070</v>
      </c>
      <c r="R604" t="s">
        <v>25</v>
      </c>
      <c r="S604" t="s">
        <v>72</v>
      </c>
    </row>
    <row r="605" spans="1:19" x14ac:dyDescent="0.25">
      <c r="A605" t="s">
        <v>699</v>
      </c>
      <c r="B605" s="5">
        <v>46025</v>
      </c>
      <c r="C605" t="s">
        <v>43</v>
      </c>
      <c r="D605" t="s">
        <v>44</v>
      </c>
      <c r="E605" t="s">
        <v>93</v>
      </c>
      <c r="F605" t="s">
        <v>125</v>
      </c>
      <c r="G605" t="s">
        <v>57</v>
      </c>
      <c r="H605">
        <v>238</v>
      </c>
      <c r="I605">
        <v>243</v>
      </c>
      <c r="J605">
        <v>21</v>
      </c>
      <c r="K605">
        <v>0.7</v>
      </c>
      <c r="L605">
        <v>29111.57</v>
      </c>
      <c r="M605">
        <v>5.14</v>
      </c>
      <c r="N605">
        <v>123.36</v>
      </c>
      <c r="O605">
        <v>289</v>
      </c>
      <c r="P605" s="5">
        <v>46029</v>
      </c>
      <c r="Q605" s="5">
        <v>46029</v>
      </c>
      <c r="R605" t="s">
        <v>25</v>
      </c>
      <c r="S605" t="s">
        <v>26</v>
      </c>
    </row>
    <row r="606" spans="1:19" x14ac:dyDescent="0.25">
      <c r="A606" t="s">
        <v>700</v>
      </c>
      <c r="B606" s="5">
        <v>46085</v>
      </c>
      <c r="C606" t="s">
        <v>35</v>
      </c>
      <c r="D606" t="s">
        <v>36</v>
      </c>
      <c r="E606" t="s">
        <v>69</v>
      </c>
      <c r="F606" t="s">
        <v>170</v>
      </c>
      <c r="G606" t="s">
        <v>32</v>
      </c>
      <c r="H606">
        <v>248</v>
      </c>
      <c r="I606">
        <v>184</v>
      </c>
      <c r="J606">
        <v>2</v>
      </c>
      <c r="K606">
        <v>1.3</v>
      </c>
      <c r="L606">
        <v>15854.79</v>
      </c>
      <c r="M606">
        <v>7.14</v>
      </c>
      <c r="N606">
        <v>128.52000000000001</v>
      </c>
      <c r="O606">
        <v>325</v>
      </c>
      <c r="P606" s="5">
        <v>46096</v>
      </c>
      <c r="Q606" s="5">
        <v>46095</v>
      </c>
      <c r="R606" t="s">
        <v>25</v>
      </c>
      <c r="S606" t="s">
        <v>86</v>
      </c>
    </row>
    <row r="607" spans="1:19" x14ac:dyDescent="0.25">
      <c r="A607" t="s">
        <v>701</v>
      </c>
      <c r="B607" s="5">
        <v>46069</v>
      </c>
      <c r="C607" t="s">
        <v>20</v>
      </c>
      <c r="D607" t="s">
        <v>21</v>
      </c>
      <c r="E607" t="s">
        <v>22</v>
      </c>
      <c r="F607" t="s">
        <v>38</v>
      </c>
      <c r="G607" t="s">
        <v>32</v>
      </c>
      <c r="H607">
        <v>206</v>
      </c>
      <c r="I607">
        <v>223</v>
      </c>
      <c r="J607">
        <v>19</v>
      </c>
      <c r="K607">
        <v>1.9</v>
      </c>
      <c r="L607">
        <v>66727.48</v>
      </c>
      <c r="M607">
        <v>6.23</v>
      </c>
      <c r="N607">
        <v>149.52000000000001</v>
      </c>
      <c r="O607">
        <v>185</v>
      </c>
      <c r="P607" s="5">
        <v>46074</v>
      </c>
      <c r="Q607" s="5">
        <v>46076</v>
      </c>
      <c r="R607" t="s">
        <v>100</v>
      </c>
      <c r="S607" t="s">
        <v>72</v>
      </c>
    </row>
    <row r="608" spans="1:19" x14ac:dyDescent="0.25">
      <c r="A608" t="s">
        <v>702</v>
      </c>
      <c r="B608" s="5">
        <v>46064</v>
      </c>
      <c r="C608" t="s">
        <v>43</v>
      </c>
      <c r="D608" t="s">
        <v>44</v>
      </c>
      <c r="E608" t="s">
        <v>161</v>
      </c>
      <c r="F608" t="s">
        <v>85</v>
      </c>
      <c r="G608" t="s">
        <v>24</v>
      </c>
      <c r="H608">
        <v>82</v>
      </c>
      <c r="I608">
        <v>90</v>
      </c>
      <c r="J608">
        <v>5</v>
      </c>
      <c r="K608">
        <v>5.7</v>
      </c>
      <c r="L608">
        <v>10701.33</v>
      </c>
      <c r="M608">
        <v>2.36</v>
      </c>
      <c r="N608">
        <v>51.92</v>
      </c>
      <c r="O608">
        <v>173</v>
      </c>
      <c r="P608" s="5">
        <v>46075</v>
      </c>
      <c r="Q608" s="5">
        <v>46073</v>
      </c>
      <c r="R608" t="s">
        <v>25</v>
      </c>
      <c r="S608" t="s">
        <v>86</v>
      </c>
    </row>
    <row r="609" spans="1:19" x14ac:dyDescent="0.25">
      <c r="A609" t="s">
        <v>703</v>
      </c>
      <c r="B609" s="5">
        <v>46054</v>
      </c>
      <c r="C609" t="s">
        <v>28</v>
      </c>
      <c r="D609" t="s">
        <v>29</v>
      </c>
      <c r="E609" t="s">
        <v>30</v>
      </c>
      <c r="F609" t="s">
        <v>112</v>
      </c>
      <c r="G609" t="s">
        <v>24</v>
      </c>
      <c r="H609">
        <v>87</v>
      </c>
      <c r="I609">
        <v>82</v>
      </c>
      <c r="J609">
        <v>4</v>
      </c>
      <c r="K609">
        <v>6.8</v>
      </c>
      <c r="L609">
        <v>16221.97</v>
      </c>
      <c r="M609">
        <v>3.24</v>
      </c>
      <c r="N609">
        <v>58.32</v>
      </c>
      <c r="O609">
        <v>133</v>
      </c>
      <c r="P609" s="5">
        <v>46058</v>
      </c>
      <c r="Q609" s="5">
        <v>46058</v>
      </c>
      <c r="R609" t="s">
        <v>25</v>
      </c>
      <c r="S609" t="s">
        <v>51</v>
      </c>
    </row>
    <row r="610" spans="1:19" x14ac:dyDescent="0.25">
      <c r="A610" t="s">
        <v>704</v>
      </c>
      <c r="B610" s="5">
        <v>46091</v>
      </c>
      <c r="C610" t="s">
        <v>59</v>
      </c>
      <c r="D610" t="s">
        <v>49</v>
      </c>
      <c r="E610" t="s">
        <v>76</v>
      </c>
      <c r="F610" t="s">
        <v>31</v>
      </c>
      <c r="G610" t="s">
        <v>24</v>
      </c>
      <c r="H610">
        <v>131</v>
      </c>
      <c r="I610">
        <v>148</v>
      </c>
      <c r="J610">
        <v>5</v>
      </c>
      <c r="K610">
        <v>5</v>
      </c>
      <c r="L610">
        <v>25501.74</v>
      </c>
      <c r="M610">
        <v>4.43</v>
      </c>
      <c r="N610">
        <v>115.18</v>
      </c>
      <c r="O610">
        <v>193</v>
      </c>
      <c r="P610" s="5">
        <v>46096</v>
      </c>
      <c r="Q610" s="5">
        <v>46096</v>
      </c>
      <c r="R610" t="s">
        <v>25</v>
      </c>
      <c r="S610" t="s">
        <v>86</v>
      </c>
    </row>
    <row r="611" spans="1:19" x14ac:dyDescent="0.25">
      <c r="A611" t="s">
        <v>705</v>
      </c>
      <c r="B611" s="5">
        <v>46123</v>
      </c>
      <c r="C611" t="s">
        <v>20</v>
      </c>
      <c r="D611" t="s">
        <v>21</v>
      </c>
      <c r="E611" t="s">
        <v>66</v>
      </c>
      <c r="F611" t="s">
        <v>46</v>
      </c>
      <c r="G611" t="s">
        <v>32</v>
      </c>
      <c r="H611">
        <v>283</v>
      </c>
      <c r="I611">
        <v>297</v>
      </c>
      <c r="J611">
        <v>9</v>
      </c>
      <c r="K611">
        <v>7.1</v>
      </c>
      <c r="L611">
        <v>111530.92</v>
      </c>
      <c r="M611">
        <v>11.64</v>
      </c>
      <c r="N611">
        <v>279.36</v>
      </c>
      <c r="O611">
        <v>312</v>
      </c>
      <c r="P611" s="5">
        <v>46130</v>
      </c>
      <c r="Q611" s="5">
        <v>46129</v>
      </c>
      <c r="R611" t="s">
        <v>39</v>
      </c>
      <c r="S611" t="s">
        <v>51</v>
      </c>
    </row>
    <row r="612" spans="1:19" x14ac:dyDescent="0.25">
      <c r="A612" t="s">
        <v>706</v>
      </c>
      <c r="B612" s="5">
        <v>46168</v>
      </c>
      <c r="C612" t="s">
        <v>48</v>
      </c>
      <c r="D612" t="s">
        <v>49</v>
      </c>
      <c r="E612" t="s">
        <v>76</v>
      </c>
      <c r="F612" t="s">
        <v>71</v>
      </c>
      <c r="G612" t="s">
        <v>57</v>
      </c>
      <c r="H612">
        <v>309</v>
      </c>
      <c r="I612">
        <v>306</v>
      </c>
      <c r="J612">
        <v>3</v>
      </c>
      <c r="K612">
        <v>1.5</v>
      </c>
      <c r="L612">
        <v>51089.03</v>
      </c>
      <c r="M612">
        <v>9.82</v>
      </c>
      <c r="N612">
        <v>216.04</v>
      </c>
      <c r="O612">
        <v>404</v>
      </c>
      <c r="P612" s="5">
        <v>46175</v>
      </c>
      <c r="Q612" s="5">
        <v>46177</v>
      </c>
      <c r="R612" t="s">
        <v>25</v>
      </c>
      <c r="S612" t="s">
        <v>86</v>
      </c>
    </row>
    <row r="613" spans="1:19" x14ac:dyDescent="0.25">
      <c r="A613" t="s">
        <v>707</v>
      </c>
      <c r="B613" s="5">
        <v>46132</v>
      </c>
      <c r="C613" t="s">
        <v>43</v>
      </c>
      <c r="D613" t="s">
        <v>44</v>
      </c>
      <c r="E613" t="s">
        <v>161</v>
      </c>
      <c r="F613" t="s">
        <v>83</v>
      </c>
      <c r="G613" t="s">
        <v>32</v>
      </c>
      <c r="H613">
        <v>142</v>
      </c>
      <c r="I613">
        <v>106</v>
      </c>
      <c r="J613">
        <v>6</v>
      </c>
      <c r="K613">
        <v>3.3</v>
      </c>
      <c r="L613">
        <v>12319.54</v>
      </c>
      <c r="M613">
        <v>2.72</v>
      </c>
      <c r="N613">
        <v>48.96</v>
      </c>
      <c r="O613">
        <v>186</v>
      </c>
      <c r="P613" s="5">
        <v>46137</v>
      </c>
      <c r="Q613" s="5">
        <v>46141</v>
      </c>
      <c r="R613" t="s">
        <v>39</v>
      </c>
      <c r="S613" t="s">
        <v>51</v>
      </c>
    </row>
    <row r="614" spans="1:19" x14ac:dyDescent="0.25">
      <c r="A614" t="s">
        <v>708</v>
      </c>
      <c r="B614" s="5">
        <v>46166</v>
      </c>
      <c r="C614" t="s">
        <v>20</v>
      </c>
      <c r="D614" t="s">
        <v>21</v>
      </c>
      <c r="E614" t="s">
        <v>90</v>
      </c>
      <c r="F614" t="s">
        <v>61</v>
      </c>
      <c r="G614" t="s">
        <v>32</v>
      </c>
      <c r="H614">
        <v>152</v>
      </c>
      <c r="I614">
        <v>148</v>
      </c>
      <c r="J614">
        <v>7</v>
      </c>
      <c r="K614">
        <v>0.9</v>
      </c>
      <c r="L614">
        <v>45374.04</v>
      </c>
      <c r="M614">
        <v>5.8</v>
      </c>
      <c r="N614">
        <v>104.4</v>
      </c>
      <c r="O614">
        <v>219</v>
      </c>
      <c r="P614" s="5">
        <v>46178</v>
      </c>
      <c r="Q614" s="5">
        <v>46180</v>
      </c>
      <c r="R614" t="s">
        <v>25</v>
      </c>
      <c r="S614" t="s">
        <v>51</v>
      </c>
    </row>
    <row r="615" spans="1:19" x14ac:dyDescent="0.25">
      <c r="A615" t="s">
        <v>709</v>
      </c>
      <c r="B615" s="5">
        <v>46073</v>
      </c>
      <c r="C615" t="s">
        <v>80</v>
      </c>
      <c r="D615" t="s">
        <v>21</v>
      </c>
      <c r="E615" t="s">
        <v>90</v>
      </c>
      <c r="F615" t="s">
        <v>135</v>
      </c>
      <c r="G615" t="s">
        <v>32</v>
      </c>
      <c r="H615">
        <v>207</v>
      </c>
      <c r="I615">
        <v>153</v>
      </c>
      <c r="J615">
        <v>4</v>
      </c>
      <c r="K615">
        <v>1.1000000000000001</v>
      </c>
      <c r="L615">
        <v>41200.74</v>
      </c>
      <c r="M615">
        <v>4.92</v>
      </c>
      <c r="N615">
        <v>98.4</v>
      </c>
      <c r="O615">
        <v>172</v>
      </c>
      <c r="P615" s="5">
        <v>46079</v>
      </c>
      <c r="Q615" s="5">
        <v>46077</v>
      </c>
      <c r="R615" t="s">
        <v>39</v>
      </c>
      <c r="S615" t="s">
        <v>86</v>
      </c>
    </row>
    <row r="616" spans="1:19" x14ac:dyDescent="0.25">
      <c r="A616" t="s">
        <v>710</v>
      </c>
      <c r="B616" s="5">
        <v>46056</v>
      </c>
      <c r="C616" t="s">
        <v>35</v>
      </c>
      <c r="D616" t="s">
        <v>36</v>
      </c>
      <c r="E616" t="s">
        <v>37</v>
      </c>
      <c r="F616" t="s">
        <v>46</v>
      </c>
      <c r="G616" t="s">
        <v>57</v>
      </c>
      <c r="H616">
        <v>309</v>
      </c>
      <c r="I616">
        <v>293</v>
      </c>
      <c r="J616">
        <v>15</v>
      </c>
      <c r="K616">
        <v>3</v>
      </c>
      <c r="L616">
        <v>22100.400000000001</v>
      </c>
      <c r="M616">
        <v>11.11</v>
      </c>
      <c r="N616">
        <v>266.64</v>
      </c>
      <c r="O616">
        <v>346</v>
      </c>
      <c r="P616" s="5">
        <v>46062</v>
      </c>
      <c r="Q616" s="5">
        <v>46063</v>
      </c>
      <c r="R616" t="s">
        <v>25</v>
      </c>
      <c r="S616" t="s">
        <v>26</v>
      </c>
    </row>
    <row r="617" spans="1:19" x14ac:dyDescent="0.25">
      <c r="A617" t="s">
        <v>711</v>
      </c>
      <c r="B617" s="5">
        <v>46103</v>
      </c>
      <c r="C617" t="s">
        <v>53</v>
      </c>
      <c r="D617" t="s">
        <v>54</v>
      </c>
      <c r="E617" t="s">
        <v>55</v>
      </c>
      <c r="F617" t="s">
        <v>61</v>
      </c>
      <c r="G617" t="s">
        <v>57</v>
      </c>
      <c r="H617">
        <v>180</v>
      </c>
      <c r="I617">
        <v>152</v>
      </c>
      <c r="J617">
        <v>14</v>
      </c>
      <c r="K617">
        <v>4.4000000000000004</v>
      </c>
      <c r="L617">
        <v>25327.82</v>
      </c>
      <c r="M617">
        <v>5.81</v>
      </c>
      <c r="N617">
        <v>151.06</v>
      </c>
      <c r="O617">
        <v>166</v>
      </c>
      <c r="P617" s="5">
        <v>46105</v>
      </c>
      <c r="Q617" s="5">
        <v>46105</v>
      </c>
      <c r="R617" t="s">
        <v>25</v>
      </c>
      <c r="S617" t="s">
        <v>51</v>
      </c>
    </row>
    <row r="618" spans="1:19" x14ac:dyDescent="0.25">
      <c r="A618" t="s">
        <v>712</v>
      </c>
      <c r="B618" s="5">
        <v>46049</v>
      </c>
      <c r="C618" t="s">
        <v>48</v>
      </c>
      <c r="D618" t="s">
        <v>49</v>
      </c>
      <c r="E618" t="s">
        <v>60</v>
      </c>
      <c r="F618" t="s">
        <v>64</v>
      </c>
      <c r="G618" t="s">
        <v>32</v>
      </c>
      <c r="H618">
        <v>265</v>
      </c>
      <c r="I618">
        <v>240</v>
      </c>
      <c r="J618">
        <v>4</v>
      </c>
      <c r="K618">
        <v>1.7</v>
      </c>
      <c r="L618">
        <v>53029</v>
      </c>
      <c r="M618">
        <v>9.52</v>
      </c>
      <c r="N618">
        <v>171.36</v>
      </c>
      <c r="O618">
        <v>238</v>
      </c>
      <c r="P618" s="5">
        <v>46055</v>
      </c>
      <c r="Q618" s="5">
        <v>46053</v>
      </c>
      <c r="R618" t="s">
        <v>25</v>
      </c>
      <c r="S618" t="s">
        <v>33</v>
      </c>
    </row>
    <row r="619" spans="1:19" x14ac:dyDescent="0.25">
      <c r="A619" t="s">
        <v>713</v>
      </c>
      <c r="B619" s="5">
        <v>46090</v>
      </c>
      <c r="C619" t="s">
        <v>48</v>
      </c>
      <c r="D619" t="s">
        <v>49</v>
      </c>
      <c r="E619" t="s">
        <v>60</v>
      </c>
      <c r="F619" t="s">
        <v>41</v>
      </c>
      <c r="G619" t="s">
        <v>57</v>
      </c>
      <c r="H619">
        <v>236</v>
      </c>
      <c r="I619">
        <v>250</v>
      </c>
      <c r="J619">
        <v>9</v>
      </c>
      <c r="K619">
        <v>6.3</v>
      </c>
      <c r="L619">
        <v>58942.77</v>
      </c>
      <c r="M619">
        <v>5.22</v>
      </c>
      <c r="N619">
        <v>114.84</v>
      </c>
      <c r="O619">
        <v>233</v>
      </c>
      <c r="P619" s="5">
        <v>46101</v>
      </c>
      <c r="Q619" s="5">
        <v>46103</v>
      </c>
      <c r="R619" t="s">
        <v>100</v>
      </c>
      <c r="S619" t="s">
        <v>26</v>
      </c>
    </row>
    <row r="620" spans="1:19" x14ac:dyDescent="0.25">
      <c r="A620" t="s">
        <v>714</v>
      </c>
      <c r="B620" s="5">
        <v>46158</v>
      </c>
      <c r="C620" t="s">
        <v>28</v>
      </c>
      <c r="D620" t="s">
        <v>29</v>
      </c>
      <c r="E620" t="s">
        <v>30</v>
      </c>
      <c r="F620" t="s">
        <v>106</v>
      </c>
      <c r="G620" t="s">
        <v>57</v>
      </c>
      <c r="H620">
        <v>202</v>
      </c>
      <c r="I620">
        <v>202</v>
      </c>
      <c r="J620">
        <v>18</v>
      </c>
      <c r="K620">
        <v>2.9</v>
      </c>
      <c r="L620">
        <v>46343.96</v>
      </c>
      <c r="M620">
        <v>4.91</v>
      </c>
      <c r="N620">
        <v>108.02</v>
      </c>
      <c r="O620">
        <v>183</v>
      </c>
      <c r="P620" s="5">
        <v>46165</v>
      </c>
      <c r="Q620" s="5">
        <v>46165</v>
      </c>
      <c r="R620" t="s">
        <v>25</v>
      </c>
      <c r="S620" t="s">
        <v>33</v>
      </c>
    </row>
    <row r="621" spans="1:19" x14ac:dyDescent="0.25">
      <c r="A621" t="s">
        <v>715</v>
      </c>
      <c r="B621" s="5">
        <v>46149</v>
      </c>
      <c r="C621" t="s">
        <v>80</v>
      </c>
      <c r="D621" t="s">
        <v>21</v>
      </c>
      <c r="E621" t="s">
        <v>22</v>
      </c>
      <c r="F621" t="s">
        <v>110</v>
      </c>
      <c r="G621" t="s">
        <v>57</v>
      </c>
      <c r="H621">
        <v>83</v>
      </c>
      <c r="I621">
        <v>83</v>
      </c>
      <c r="J621">
        <v>3</v>
      </c>
      <c r="K621">
        <v>3.5</v>
      </c>
      <c r="L621">
        <v>21096.33</v>
      </c>
      <c r="M621">
        <v>3.12</v>
      </c>
      <c r="N621">
        <v>81.12</v>
      </c>
      <c r="O621">
        <v>181</v>
      </c>
      <c r="P621" s="5">
        <v>46156</v>
      </c>
      <c r="Q621" s="5">
        <v>46156</v>
      </c>
      <c r="R621" t="s">
        <v>100</v>
      </c>
      <c r="S621" t="s">
        <v>26</v>
      </c>
    </row>
    <row r="622" spans="1:19" x14ac:dyDescent="0.25">
      <c r="A622" t="s">
        <v>716</v>
      </c>
      <c r="B622" s="5">
        <v>46050</v>
      </c>
      <c r="C622" t="s">
        <v>43</v>
      </c>
      <c r="D622" t="s">
        <v>44</v>
      </c>
      <c r="E622" t="s">
        <v>93</v>
      </c>
      <c r="F622" t="s">
        <v>110</v>
      </c>
      <c r="G622" t="s">
        <v>57</v>
      </c>
      <c r="H622">
        <v>314</v>
      </c>
      <c r="I622">
        <v>275</v>
      </c>
      <c r="J622">
        <v>25</v>
      </c>
      <c r="K622">
        <v>7.8</v>
      </c>
      <c r="L622">
        <v>34895.78</v>
      </c>
      <c r="M622">
        <v>6.19</v>
      </c>
      <c r="N622">
        <v>136.18</v>
      </c>
      <c r="O622">
        <v>382</v>
      </c>
      <c r="P622" s="5">
        <v>46054</v>
      </c>
      <c r="Q622" s="5">
        <v>46054</v>
      </c>
      <c r="R622" t="s">
        <v>39</v>
      </c>
      <c r="S622" t="s">
        <v>51</v>
      </c>
    </row>
    <row r="623" spans="1:19" x14ac:dyDescent="0.25">
      <c r="A623" t="s">
        <v>717</v>
      </c>
      <c r="B623" s="5">
        <v>46141</v>
      </c>
      <c r="C623" t="s">
        <v>20</v>
      </c>
      <c r="D623" t="s">
        <v>21</v>
      </c>
      <c r="E623" t="s">
        <v>66</v>
      </c>
      <c r="F623" t="s">
        <v>77</v>
      </c>
      <c r="G623" t="s">
        <v>57</v>
      </c>
      <c r="H623">
        <v>108</v>
      </c>
      <c r="I623">
        <v>88</v>
      </c>
      <c r="J623">
        <v>7</v>
      </c>
      <c r="K623">
        <v>1.7</v>
      </c>
      <c r="L623">
        <v>24687.81</v>
      </c>
      <c r="M623">
        <v>2.54</v>
      </c>
      <c r="N623">
        <v>55.88</v>
      </c>
      <c r="O623">
        <v>98</v>
      </c>
      <c r="P623" s="5">
        <v>46151</v>
      </c>
      <c r="Q623" s="5">
        <v>46150</v>
      </c>
      <c r="R623" t="s">
        <v>25</v>
      </c>
    </row>
    <row r="624" spans="1:19" x14ac:dyDescent="0.25">
      <c r="A624" t="s">
        <v>718</v>
      </c>
      <c r="B624" s="5">
        <v>46124</v>
      </c>
      <c r="C624" t="s">
        <v>35</v>
      </c>
      <c r="D624" t="s">
        <v>36</v>
      </c>
      <c r="E624" t="s">
        <v>69</v>
      </c>
      <c r="F624" t="s">
        <v>104</v>
      </c>
      <c r="G624" t="s">
        <v>32</v>
      </c>
      <c r="H624">
        <v>93</v>
      </c>
      <c r="I624">
        <v>84</v>
      </c>
      <c r="J624">
        <v>3</v>
      </c>
      <c r="K624">
        <v>0.4</v>
      </c>
      <c r="L624">
        <v>8255.98</v>
      </c>
      <c r="M624">
        <v>1.9</v>
      </c>
      <c r="N624">
        <v>38</v>
      </c>
      <c r="O624">
        <v>156</v>
      </c>
      <c r="P624" s="5">
        <v>46128</v>
      </c>
      <c r="Q624" s="5">
        <v>46128</v>
      </c>
      <c r="R624" t="s">
        <v>39</v>
      </c>
      <c r="S624" t="s">
        <v>26</v>
      </c>
    </row>
    <row r="625" spans="1:19" x14ac:dyDescent="0.25">
      <c r="A625" t="s">
        <v>719</v>
      </c>
      <c r="B625" s="5">
        <v>46133</v>
      </c>
      <c r="C625" t="s">
        <v>20</v>
      </c>
      <c r="D625" t="s">
        <v>21</v>
      </c>
      <c r="E625" t="s">
        <v>66</v>
      </c>
      <c r="F625" t="s">
        <v>38</v>
      </c>
      <c r="G625" t="s">
        <v>24</v>
      </c>
      <c r="H625">
        <v>92</v>
      </c>
      <c r="I625">
        <v>91</v>
      </c>
      <c r="J625">
        <v>8</v>
      </c>
      <c r="K625">
        <v>2</v>
      </c>
      <c r="L625">
        <v>21655.47</v>
      </c>
      <c r="M625">
        <v>2.2200000000000002</v>
      </c>
      <c r="N625">
        <v>39.96</v>
      </c>
      <c r="O625">
        <v>188</v>
      </c>
      <c r="P625" s="5">
        <v>46136</v>
      </c>
      <c r="Q625" s="5">
        <v>46136</v>
      </c>
      <c r="R625" t="s">
        <v>25</v>
      </c>
      <c r="S625" t="s">
        <v>72</v>
      </c>
    </row>
    <row r="626" spans="1:19" x14ac:dyDescent="0.25">
      <c r="A626" t="s">
        <v>720</v>
      </c>
      <c r="B626" s="5">
        <v>46123</v>
      </c>
      <c r="C626" t="s">
        <v>35</v>
      </c>
      <c r="D626" t="s">
        <v>36</v>
      </c>
      <c r="E626" t="s">
        <v>37</v>
      </c>
      <c r="F626" t="s">
        <v>85</v>
      </c>
      <c r="G626" t="s">
        <v>24</v>
      </c>
      <c r="H626">
        <v>136</v>
      </c>
      <c r="I626">
        <v>140</v>
      </c>
      <c r="J626">
        <v>11</v>
      </c>
      <c r="K626">
        <v>2.4</v>
      </c>
      <c r="L626">
        <v>12406.38</v>
      </c>
      <c r="M626">
        <v>3.69</v>
      </c>
      <c r="N626">
        <v>81.180000000000007</v>
      </c>
      <c r="O626">
        <v>169</v>
      </c>
      <c r="P626" s="5">
        <v>46125</v>
      </c>
      <c r="Q626" s="5">
        <v>46124</v>
      </c>
      <c r="R626" t="s">
        <v>25</v>
      </c>
      <c r="S626" t="s">
        <v>26</v>
      </c>
    </row>
    <row r="627" spans="1:19" x14ac:dyDescent="0.25">
      <c r="A627" t="s">
        <v>721</v>
      </c>
      <c r="B627" s="5">
        <v>46145</v>
      </c>
      <c r="C627" t="s">
        <v>59</v>
      </c>
      <c r="D627" t="s">
        <v>49</v>
      </c>
      <c r="E627" t="s">
        <v>60</v>
      </c>
      <c r="F627" t="s">
        <v>122</v>
      </c>
      <c r="G627" t="s">
        <v>57</v>
      </c>
      <c r="H627">
        <v>141</v>
      </c>
      <c r="I627">
        <v>111</v>
      </c>
      <c r="J627">
        <v>7</v>
      </c>
      <c r="K627">
        <v>1.5</v>
      </c>
      <c r="L627">
        <v>17993.8</v>
      </c>
      <c r="M627">
        <v>4.5599999999999996</v>
      </c>
      <c r="N627">
        <v>109.44</v>
      </c>
      <c r="O627">
        <v>210</v>
      </c>
      <c r="P627" s="5">
        <v>46152</v>
      </c>
      <c r="Q627" s="5">
        <v>46150</v>
      </c>
      <c r="R627" t="s">
        <v>25</v>
      </c>
      <c r="S627" t="s">
        <v>51</v>
      </c>
    </row>
    <row r="628" spans="1:19" x14ac:dyDescent="0.25">
      <c r="A628" t="s">
        <v>722</v>
      </c>
      <c r="B628" s="5">
        <v>46196</v>
      </c>
      <c r="C628" t="s">
        <v>80</v>
      </c>
      <c r="D628" t="s">
        <v>21</v>
      </c>
      <c r="E628" t="s">
        <v>66</v>
      </c>
      <c r="F628" t="s">
        <v>197</v>
      </c>
      <c r="G628" t="s">
        <v>57</v>
      </c>
      <c r="H628">
        <v>170</v>
      </c>
      <c r="I628">
        <v>193</v>
      </c>
      <c r="J628">
        <v>11</v>
      </c>
      <c r="K628">
        <v>4.4000000000000004</v>
      </c>
      <c r="L628">
        <v>41900.92</v>
      </c>
      <c r="M628">
        <v>7.27</v>
      </c>
      <c r="N628">
        <v>189.02</v>
      </c>
      <c r="O628">
        <v>204</v>
      </c>
      <c r="P628" s="5">
        <v>46201</v>
      </c>
      <c r="Q628" s="5">
        <v>46201</v>
      </c>
      <c r="R628" t="s">
        <v>25</v>
      </c>
      <c r="S628" t="s">
        <v>33</v>
      </c>
    </row>
    <row r="629" spans="1:19" x14ac:dyDescent="0.25">
      <c r="A629" t="s">
        <v>723</v>
      </c>
      <c r="B629" s="5">
        <v>46100</v>
      </c>
      <c r="C629" t="s">
        <v>48</v>
      </c>
      <c r="D629" t="s">
        <v>49</v>
      </c>
      <c r="E629" t="s">
        <v>76</v>
      </c>
      <c r="F629" t="s">
        <v>122</v>
      </c>
      <c r="G629" t="s">
        <v>24</v>
      </c>
      <c r="H629">
        <v>205</v>
      </c>
      <c r="I629">
        <v>212</v>
      </c>
      <c r="J629">
        <v>19</v>
      </c>
      <c r="K629">
        <v>2.2999999999999998</v>
      </c>
      <c r="L629">
        <v>40665.93</v>
      </c>
      <c r="M629">
        <v>3.88</v>
      </c>
      <c r="N629">
        <v>85.36</v>
      </c>
      <c r="O629">
        <v>242</v>
      </c>
      <c r="P629" s="5">
        <v>46107</v>
      </c>
      <c r="Q629" s="5">
        <v>46111</v>
      </c>
      <c r="R629" t="s">
        <v>25</v>
      </c>
      <c r="S629" t="s">
        <v>26</v>
      </c>
    </row>
    <row r="630" spans="1:19" x14ac:dyDescent="0.25">
      <c r="A630" t="s">
        <v>724</v>
      </c>
      <c r="B630" s="5">
        <v>46186</v>
      </c>
      <c r="C630" t="s">
        <v>80</v>
      </c>
      <c r="D630" t="s">
        <v>21</v>
      </c>
      <c r="E630" t="s">
        <v>22</v>
      </c>
      <c r="F630" t="s">
        <v>67</v>
      </c>
      <c r="G630" t="s">
        <v>32</v>
      </c>
      <c r="H630">
        <v>185</v>
      </c>
      <c r="I630">
        <v>201</v>
      </c>
      <c r="J630">
        <v>12</v>
      </c>
      <c r="K630">
        <v>1.3</v>
      </c>
      <c r="L630">
        <v>49899.05</v>
      </c>
      <c r="M630">
        <v>7.19</v>
      </c>
      <c r="N630">
        <v>172.56</v>
      </c>
      <c r="O630">
        <v>237</v>
      </c>
      <c r="P630" s="5">
        <v>46191</v>
      </c>
      <c r="Q630" s="5">
        <v>46190</v>
      </c>
      <c r="R630" t="s">
        <v>25</v>
      </c>
      <c r="S630" t="s">
        <v>33</v>
      </c>
    </row>
    <row r="631" spans="1:19" x14ac:dyDescent="0.25">
      <c r="A631" t="s">
        <v>725</v>
      </c>
      <c r="B631" s="5">
        <v>46093</v>
      </c>
      <c r="C631" t="s">
        <v>53</v>
      </c>
      <c r="D631" t="s">
        <v>54</v>
      </c>
      <c r="E631" t="s">
        <v>55</v>
      </c>
      <c r="F631" t="s">
        <v>71</v>
      </c>
      <c r="G631" t="s">
        <v>32</v>
      </c>
      <c r="H631">
        <v>147</v>
      </c>
      <c r="I631">
        <v>163</v>
      </c>
      <c r="J631">
        <v>5</v>
      </c>
      <c r="K631">
        <v>3</v>
      </c>
      <c r="L631">
        <v>26901.25</v>
      </c>
      <c r="M631">
        <v>4.01</v>
      </c>
      <c r="N631">
        <v>80.2</v>
      </c>
      <c r="O631">
        <v>117</v>
      </c>
      <c r="P631" s="5">
        <v>46104</v>
      </c>
      <c r="Q631" s="5">
        <v>46105</v>
      </c>
      <c r="R631" t="s">
        <v>39</v>
      </c>
      <c r="S631" t="s">
        <v>72</v>
      </c>
    </row>
    <row r="632" spans="1:19" x14ac:dyDescent="0.25">
      <c r="A632" t="s">
        <v>726</v>
      </c>
      <c r="B632" s="5">
        <v>46168</v>
      </c>
      <c r="C632" t="s">
        <v>48</v>
      </c>
      <c r="D632" t="s">
        <v>49</v>
      </c>
      <c r="E632" t="s">
        <v>76</v>
      </c>
      <c r="F632" t="s">
        <v>88</v>
      </c>
      <c r="G632" t="s">
        <v>32</v>
      </c>
      <c r="H632">
        <v>108</v>
      </c>
      <c r="I632">
        <v>122</v>
      </c>
      <c r="J632">
        <v>6</v>
      </c>
      <c r="K632">
        <v>6.2</v>
      </c>
      <c r="L632">
        <v>21849.759999999998</v>
      </c>
      <c r="M632">
        <v>5.03</v>
      </c>
      <c r="N632">
        <v>130.78</v>
      </c>
      <c r="O632">
        <v>109</v>
      </c>
      <c r="P632" s="5">
        <v>46174</v>
      </c>
      <c r="Q632" s="5">
        <v>46178</v>
      </c>
      <c r="R632" t="s">
        <v>25</v>
      </c>
      <c r="S632" t="s">
        <v>33</v>
      </c>
    </row>
    <row r="633" spans="1:19" x14ac:dyDescent="0.25">
      <c r="A633" t="s">
        <v>727</v>
      </c>
      <c r="B633" s="5">
        <v>46139</v>
      </c>
      <c r="C633" t="s">
        <v>80</v>
      </c>
      <c r="D633" t="s">
        <v>21</v>
      </c>
      <c r="E633" t="s">
        <v>22</v>
      </c>
      <c r="F633" t="s">
        <v>83</v>
      </c>
      <c r="G633" t="s">
        <v>24</v>
      </c>
      <c r="H633">
        <v>152</v>
      </c>
      <c r="I633">
        <v>163</v>
      </c>
      <c r="J633">
        <v>2</v>
      </c>
      <c r="K633">
        <v>4.4000000000000004</v>
      </c>
      <c r="L633">
        <v>34313.660000000003</v>
      </c>
      <c r="M633">
        <v>6.2</v>
      </c>
      <c r="N633">
        <v>111.6</v>
      </c>
      <c r="O633">
        <v>176</v>
      </c>
      <c r="P633" s="5">
        <v>46143</v>
      </c>
      <c r="Q633" s="5">
        <v>46144</v>
      </c>
      <c r="R633" t="s">
        <v>25</v>
      </c>
      <c r="S633" t="s">
        <v>26</v>
      </c>
    </row>
    <row r="634" spans="1:19" x14ac:dyDescent="0.25">
      <c r="A634" t="s">
        <v>728</v>
      </c>
      <c r="B634" s="5">
        <v>46062</v>
      </c>
      <c r="C634" t="s">
        <v>20</v>
      </c>
      <c r="D634" t="s">
        <v>21</v>
      </c>
      <c r="E634" t="s">
        <v>66</v>
      </c>
      <c r="F634" t="s">
        <v>46</v>
      </c>
      <c r="G634" t="s">
        <v>57</v>
      </c>
      <c r="H634">
        <v>149</v>
      </c>
      <c r="I634">
        <v>116</v>
      </c>
      <c r="J634">
        <v>8</v>
      </c>
      <c r="K634">
        <v>3.9</v>
      </c>
      <c r="L634">
        <v>40802.39</v>
      </c>
      <c r="M634">
        <v>2.1800000000000002</v>
      </c>
      <c r="N634">
        <v>47.96</v>
      </c>
      <c r="O634">
        <v>172</v>
      </c>
      <c r="P634" s="5">
        <v>46074</v>
      </c>
      <c r="Q634" s="5">
        <v>46076</v>
      </c>
      <c r="R634" t="s">
        <v>100</v>
      </c>
      <c r="S634" t="s">
        <v>86</v>
      </c>
    </row>
    <row r="635" spans="1:19" x14ac:dyDescent="0.25">
      <c r="A635" t="s">
        <v>729</v>
      </c>
      <c r="B635" s="5">
        <v>46100</v>
      </c>
      <c r="C635" t="s">
        <v>59</v>
      </c>
      <c r="D635" t="s">
        <v>49</v>
      </c>
      <c r="E635" t="s">
        <v>50</v>
      </c>
      <c r="F635" t="s">
        <v>125</v>
      </c>
      <c r="G635" t="s">
        <v>24</v>
      </c>
      <c r="H635">
        <v>224</v>
      </c>
      <c r="I635">
        <v>203</v>
      </c>
      <c r="J635">
        <v>17</v>
      </c>
      <c r="K635">
        <v>7.2</v>
      </c>
      <c r="L635">
        <v>33054.400000000001</v>
      </c>
      <c r="M635">
        <v>4.87</v>
      </c>
      <c r="N635">
        <v>116.88</v>
      </c>
      <c r="O635">
        <v>235</v>
      </c>
      <c r="P635" s="5">
        <v>46106</v>
      </c>
      <c r="Q635" s="5">
        <v>46106</v>
      </c>
      <c r="R635" t="s">
        <v>25</v>
      </c>
      <c r="S635" t="s">
        <v>72</v>
      </c>
    </row>
    <row r="636" spans="1:19" x14ac:dyDescent="0.25">
      <c r="A636" t="s">
        <v>730</v>
      </c>
      <c r="B636" s="5">
        <v>46162</v>
      </c>
      <c r="C636" t="s">
        <v>43</v>
      </c>
      <c r="D636" t="s">
        <v>44</v>
      </c>
      <c r="E636" t="s">
        <v>161</v>
      </c>
      <c r="F636" t="s">
        <v>77</v>
      </c>
      <c r="G636" t="s">
        <v>32</v>
      </c>
      <c r="H636">
        <v>280</v>
      </c>
      <c r="I636">
        <v>307</v>
      </c>
      <c r="J636">
        <v>13</v>
      </c>
      <c r="K636">
        <v>1.2</v>
      </c>
      <c r="L636">
        <v>33545.22</v>
      </c>
      <c r="M636">
        <v>12.41</v>
      </c>
      <c r="N636">
        <v>273.02</v>
      </c>
      <c r="O636">
        <v>359</v>
      </c>
      <c r="P636" s="5">
        <v>46169</v>
      </c>
      <c r="Q636" s="5">
        <v>46171</v>
      </c>
      <c r="R636" t="s">
        <v>100</v>
      </c>
      <c r="S636" t="s">
        <v>72</v>
      </c>
    </row>
    <row r="637" spans="1:19" x14ac:dyDescent="0.25">
      <c r="A637" t="s">
        <v>731</v>
      </c>
      <c r="B637" s="5">
        <v>46030</v>
      </c>
      <c r="C637" t="s">
        <v>80</v>
      </c>
      <c r="D637" t="s">
        <v>21</v>
      </c>
      <c r="E637" t="s">
        <v>90</v>
      </c>
      <c r="F637" t="s">
        <v>46</v>
      </c>
      <c r="G637" t="s">
        <v>24</v>
      </c>
      <c r="H637">
        <v>102</v>
      </c>
      <c r="I637">
        <v>106</v>
      </c>
      <c r="J637">
        <v>6</v>
      </c>
      <c r="K637">
        <v>2.7</v>
      </c>
      <c r="L637">
        <v>25734.86</v>
      </c>
      <c r="M637">
        <v>2.23</v>
      </c>
      <c r="N637">
        <v>57.98</v>
      </c>
      <c r="O637">
        <v>137</v>
      </c>
      <c r="P637" s="5">
        <v>46032</v>
      </c>
      <c r="Q637" s="5">
        <v>46034</v>
      </c>
      <c r="R637" t="s">
        <v>25</v>
      </c>
      <c r="S637" t="s">
        <v>33</v>
      </c>
    </row>
    <row r="638" spans="1:19" x14ac:dyDescent="0.25">
      <c r="A638" t="s">
        <v>732</v>
      </c>
      <c r="B638" s="5">
        <v>46141</v>
      </c>
      <c r="C638" t="s">
        <v>53</v>
      </c>
      <c r="D638" t="s">
        <v>54</v>
      </c>
      <c r="E638" t="s">
        <v>55</v>
      </c>
      <c r="F638" t="s">
        <v>41</v>
      </c>
      <c r="G638" t="s">
        <v>24</v>
      </c>
      <c r="H638">
        <v>101</v>
      </c>
      <c r="I638">
        <v>75</v>
      </c>
      <c r="J638">
        <v>5</v>
      </c>
      <c r="K638">
        <v>5.8</v>
      </c>
      <c r="L638">
        <v>8987.5400000000009</v>
      </c>
      <c r="M638">
        <v>1.87</v>
      </c>
      <c r="N638">
        <v>44.88</v>
      </c>
      <c r="O638">
        <v>145</v>
      </c>
      <c r="P638" s="5">
        <v>46143</v>
      </c>
      <c r="Q638" s="5">
        <v>46142</v>
      </c>
      <c r="R638" t="s">
        <v>39</v>
      </c>
      <c r="S638" t="s">
        <v>33</v>
      </c>
    </row>
    <row r="639" spans="1:19" x14ac:dyDescent="0.25">
      <c r="A639" t="s">
        <v>733</v>
      </c>
      <c r="B639" s="5">
        <v>46202</v>
      </c>
      <c r="C639" t="s">
        <v>28</v>
      </c>
      <c r="D639" t="s">
        <v>29</v>
      </c>
      <c r="E639" t="s">
        <v>30</v>
      </c>
      <c r="F639" t="s">
        <v>88</v>
      </c>
      <c r="G639" t="s">
        <v>57</v>
      </c>
      <c r="H639">
        <v>116</v>
      </c>
      <c r="I639">
        <v>111</v>
      </c>
      <c r="J639">
        <v>10</v>
      </c>
      <c r="K639">
        <v>1.2</v>
      </c>
      <c r="L639">
        <v>30067.08</v>
      </c>
      <c r="M639">
        <v>2.41</v>
      </c>
      <c r="N639">
        <v>53.02</v>
      </c>
      <c r="O639">
        <v>77</v>
      </c>
      <c r="P639" s="5">
        <v>46211</v>
      </c>
      <c r="Q639" s="5">
        <v>46211</v>
      </c>
      <c r="R639" t="s">
        <v>25</v>
      </c>
      <c r="S639" t="s">
        <v>51</v>
      </c>
    </row>
    <row r="640" spans="1:19" x14ac:dyDescent="0.25">
      <c r="A640" t="s">
        <v>734</v>
      </c>
      <c r="B640" s="5">
        <v>46177</v>
      </c>
      <c r="C640" t="s">
        <v>20</v>
      </c>
      <c r="D640" t="s">
        <v>21</v>
      </c>
      <c r="E640" t="s">
        <v>66</v>
      </c>
      <c r="F640" t="s">
        <v>61</v>
      </c>
      <c r="G640" t="s">
        <v>24</v>
      </c>
      <c r="H640">
        <v>104</v>
      </c>
      <c r="I640">
        <v>85</v>
      </c>
      <c r="J640">
        <v>1</v>
      </c>
      <c r="K640">
        <v>0.2</v>
      </c>
      <c r="L640">
        <v>26777.7</v>
      </c>
      <c r="M640">
        <v>3.42</v>
      </c>
      <c r="N640">
        <v>75.239999999999995</v>
      </c>
      <c r="O640">
        <v>167</v>
      </c>
      <c r="P640" s="5">
        <v>46186</v>
      </c>
      <c r="Q640" s="5">
        <v>46186</v>
      </c>
      <c r="R640" t="s">
        <v>25</v>
      </c>
      <c r="S640" t="s">
        <v>86</v>
      </c>
    </row>
    <row r="641" spans="1:19" x14ac:dyDescent="0.25">
      <c r="A641" t="s">
        <v>735</v>
      </c>
      <c r="B641" s="5">
        <v>46179</v>
      </c>
      <c r="C641" t="s">
        <v>53</v>
      </c>
      <c r="D641" t="s">
        <v>54</v>
      </c>
      <c r="E641" t="s">
        <v>55</v>
      </c>
      <c r="F641" t="s">
        <v>125</v>
      </c>
      <c r="G641" t="s">
        <v>24</v>
      </c>
      <c r="H641">
        <v>190</v>
      </c>
      <c r="I641">
        <v>148</v>
      </c>
      <c r="J641">
        <v>1</v>
      </c>
      <c r="K641">
        <v>1.3</v>
      </c>
      <c r="L641">
        <v>21410.21</v>
      </c>
      <c r="M641">
        <v>4.4800000000000004</v>
      </c>
      <c r="N641">
        <v>116.48</v>
      </c>
      <c r="O641">
        <v>201</v>
      </c>
      <c r="P641" s="5">
        <v>46188</v>
      </c>
      <c r="Q641" s="5">
        <v>46192</v>
      </c>
      <c r="R641" t="s">
        <v>25</v>
      </c>
      <c r="S641" t="s">
        <v>33</v>
      </c>
    </row>
    <row r="642" spans="1:19" x14ac:dyDescent="0.25">
      <c r="A642" t="s">
        <v>736</v>
      </c>
      <c r="B642" s="5">
        <v>46173</v>
      </c>
      <c r="C642" t="s">
        <v>53</v>
      </c>
      <c r="D642" t="s">
        <v>54</v>
      </c>
      <c r="E642" t="s">
        <v>131</v>
      </c>
      <c r="F642" t="s">
        <v>114</v>
      </c>
      <c r="G642" t="s">
        <v>32</v>
      </c>
      <c r="H642">
        <v>250</v>
      </c>
      <c r="I642">
        <v>209</v>
      </c>
      <c r="J642">
        <v>8</v>
      </c>
      <c r="K642">
        <v>7.2</v>
      </c>
      <c r="L642">
        <v>31947.119999999999</v>
      </c>
      <c r="M642">
        <v>4.51</v>
      </c>
      <c r="N642">
        <v>99.22</v>
      </c>
      <c r="O642">
        <v>327</v>
      </c>
      <c r="P642" s="5">
        <v>46176</v>
      </c>
      <c r="Q642" s="5">
        <v>46178</v>
      </c>
      <c r="R642" t="s">
        <v>25</v>
      </c>
      <c r="S642" t="s">
        <v>33</v>
      </c>
    </row>
    <row r="643" spans="1:19" x14ac:dyDescent="0.25">
      <c r="A643" t="s">
        <v>737</v>
      </c>
      <c r="B643" s="5">
        <v>46188</v>
      </c>
      <c r="C643" t="s">
        <v>53</v>
      </c>
      <c r="D643" t="s">
        <v>54</v>
      </c>
      <c r="E643" t="s">
        <v>55</v>
      </c>
      <c r="F643" t="s">
        <v>38</v>
      </c>
      <c r="G643" t="s">
        <v>24</v>
      </c>
      <c r="H643">
        <v>312</v>
      </c>
      <c r="I643">
        <v>346</v>
      </c>
      <c r="J643">
        <v>31</v>
      </c>
      <c r="K643">
        <v>4.2</v>
      </c>
      <c r="L643">
        <v>50214.87</v>
      </c>
      <c r="M643">
        <v>14.38</v>
      </c>
      <c r="N643">
        <v>316.36</v>
      </c>
      <c r="O643">
        <v>400</v>
      </c>
      <c r="P643" s="5">
        <v>46198</v>
      </c>
      <c r="Q643" s="5">
        <v>46198</v>
      </c>
      <c r="R643" t="s">
        <v>25</v>
      </c>
      <c r="S643" t="s">
        <v>26</v>
      </c>
    </row>
    <row r="644" spans="1:19" x14ac:dyDescent="0.25">
      <c r="A644" t="s">
        <v>738</v>
      </c>
      <c r="B644" s="5">
        <v>46122</v>
      </c>
      <c r="C644" t="s">
        <v>20</v>
      </c>
      <c r="D644" t="s">
        <v>21</v>
      </c>
      <c r="E644" t="s">
        <v>22</v>
      </c>
      <c r="F644" t="s">
        <v>119</v>
      </c>
      <c r="G644" t="s">
        <v>24</v>
      </c>
      <c r="H644">
        <v>247</v>
      </c>
      <c r="I644">
        <v>193</v>
      </c>
      <c r="J644">
        <v>12</v>
      </c>
      <c r="K644">
        <v>5.0999999999999996</v>
      </c>
      <c r="L644">
        <v>67505.36</v>
      </c>
      <c r="M644">
        <v>4.12</v>
      </c>
      <c r="N644">
        <v>90.64</v>
      </c>
      <c r="O644">
        <v>307</v>
      </c>
      <c r="P644" s="5">
        <v>46125</v>
      </c>
      <c r="Q644" s="5">
        <v>46129</v>
      </c>
      <c r="R644" t="s">
        <v>100</v>
      </c>
      <c r="S644" t="s">
        <v>51</v>
      </c>
    </row>
    <row r="645" spans="1:19" x14ac:dyDescent="0.25">
      <c r="A645" t="s">
        <v>739</v>
      </c>
      <c r="B645" s="5">
        <v>46170</v>
      </c>
      <c r="C645" t="s">
        <v>59</v>
      </c>
      <c r="D645" t="s">
        <v>49</v>
      </c>
      <c r="E645" t="s">
        <v>50</v>
      </c>
      <c r="F645" t="s">
        <v>67</v>
      </c>
      <c r="G645" t="s">
        <v>24</v>
      </c>
      <c r="H645">
        <v>258</v>
      </c>
      <c r="I645">
        <v>221</v>
      </c>
      <c r="J645">
        <v>20</v>
      </c>
      <c r="K645">
        <v>3.1</v>
      </c>
      <c r="L645">
        <v>39188</v>
      </c>
      <c r="M645">
        <v>4.22</v>
      </c>
      <c r="N645">
        <v>84.4</v>
      </c>
      <c r="O645">
        <v>277</v>
      </c>
      <c r="P645" s="5">
        <v>46173</v>
      </c>
      <c r="Q645" s="5">
        <v>46172</v>
      </c>
      <c r="R645" t="s">
        <v>100</v>
      </c>
      <c r="S645" t="s">
        <v>72</v>
      </c>
    </row>
    <row r="646" spans="1:19" x14ac:dyDescent="0.25">
      <c r="A646" t="s">
        <v>740</v>
      </c>
      <c r="B646" s="5">
        <v>46105</v>
      </c>
      <c r="C646" t="s">
        <v>28</v>
      </c>
      <c r="D646" t="s">
        <v>29</v>
      </c>
      <c r="E646" t="s">
        <v>30</v>
      </c>
      <c r="F646" t="s">
        <v>64</v>
      </c>
      <c r="G646" t="s">
        <v>24</v>
      </c>
      <c r="H646">
        <v>283</v>
      </c>
      <c r="I646">
        <v>232</v>
      </c>
      <c r="J646">
        <v>19</v>
      </c>
      <c r="K646">
        <v>1.6</v>
      </c>
      <c r="L646">
        <v>64673.89</v>
      </c>
      <c r="M646">
        <v>6.51</v>
      </c>
      <c r="N646">
        <v>117.18</v>
      </c>
      <c r="O646">
        <v>258</v>
      </c>
      <c r="P646" s="5">
        <v>46116</v>
      </c>
      <c r="Q646" s="5">
        <v>46116</v>
      </c>
      <c r="R646" t="s">
        <v>25</v>
      </c>
      <c r="S646" t="s">
        <v>33</v>
      </c>
    </row>
    <row r="647" spans="1:19" x14ac:dyDescent="0.25">
      <c r="A647" t="s">
        <v>741</v>
      </c>
      <c r="B647" s="5">
        <v>46136</v>
      </c>
      <c r="C647" t="s">
        <v>48</v>
      </c>
      <c r="D647" t="s">
        <v>49</v>
      </c>
      <c r="E647" t="s">
        <v>60</v>
      </c>
      <c r="F647" t="s">
        <v>74</v>
      </c>
      <c r="G647" t="s">
        <v>24</v>
      </c>
      <c r="H647">
        <v>241</v>
      </c>
      <c r="I647">
        <v>260</v>
      </c>
      <c r="J647">
        <v>22</v>
      </c>
      <c r="K647">
        <v>2.9</v>
      </c>
      <c r="L647">
        <v>53901.45</v>
      </c>
      <c r="M647">
        <v>10.85</v>
      </c>
      <c r="N647">
        <v>282.10000000000002</v>
      </c>
      <c r="O647">
        <v>252</v>
      </c>
      <c r="P647" s="5">
        <v>46141</v>
      </c>
      <c r="Q647" s="5">
        <v>46141</v>
      </c>
      <c r="R647" t="s">
        <v>100</v>
      </c>
      <c r="S647" t="s">
        <v>86</v>
      </c>
    </row>
    <row r="648" spans="1:19" x14ac:dyDescent="0.25">
      <c r="A648" t="s">
        <v>742</v>
      </c>
      <c r="B648" s="5">
        <v>46080</v>
      </c>
      <c r="C648" t="s">
        <v>28</v>
      </c>
      <c r="D648" t="s">
        <v>29</v>
      </c>
      <c r="E648" t="s">
        <v>30</v>
      </c>
      <c r="F648" t="s">
        <v>91</v>
      </c>
      <c r="G648" t="s">
        <v>32</v>
      </c>
      <c r="H648">
        <v>121</v>
      </c>
      <c r="I648">
        <v>109</v>
      </c>
      <c r="J648">
        <v>5</v>
      </c>
      <c r="K648">
        <v>7.1</v>
      </c>
      <c r="L648">
        <v>18503.18</v>
      </c>
      <c r="M648">
        <v>4.47</v>
      </c>
      <c r="N648">
        <v>80.459999999999994</v>
      </c>
      <c r="O648">
        <v>133</v>
      </c>
      <c r="P648" s="5">
        <v>46082</v>
      </c>
      <c r="Q648" s="5">
        <v>46082</v>
      </c>
      <c r="R648" t="s">
        <v>25</v>
      </c>
      <c r="S648" t="s">
        <v>26</v>
      </c>
    </row>
    <row r="649" spans="1:19" x14ac:dyDescent="0.25">
      <c r="A649" t="s">
        <v>743</v>
      </c>
      <c r="B649" s="5">
        <v>46162</v>
      </c>
      <c r="C649" t="s">
        <v>20</v>
      </c>
      <c r="D649" t="s">
        <v>21</v>
      </c>
      <c r="E649" t="s">
        <v>90</v>
      </c>
      <c r="F649" t="s">
        <v>38</v>
      </c>
      <c r="G649" t="s">
        <v>24</v>
      </c>
      <c r="H649">
        <v>127</v>
      </c>
      <c r="I649">
        <v>128</v>
      </c>
      <c r="J649">
        <v>11</v>
      </c>
      <c r="K649">
        <v>6.6</v>
      </c>
      <c r="L649">
        <v>38399.360000000001</v>
      </c>
      <c r="M649">
        <v>2.94</v>
      </c>
      <c r="N649">
        <v>70.56</v>
      </c>
      <c r="O649">
        <v>215</v>
      </c>
      <c r="P649" s="5">
        <v>46169</v>
      </c>
      <c r="Q649" s="5">
        <v>46170</v>
      </c>
      <c r="R649" t="s">
        <v>39</v>
      </c>
      <c r="S649" t="s">
        <v>51</v>
      </c>
    </row>
    <row r="650" spans="1:19" x14ac:dyDescent="0.25">
      <c r="A650" t="s">
        <v>744</v>
      </c>
      <c r="B650" s="5">
        <v>46040</v>
      </c>
      <c r="C650" t="s">
        <v>53</v>
      </c>
      <c r="D650" t="s">
        <v>54</v>
      </c>
      <c r="E650" t="s">
        <v>131</v>
      </c>
      <c r="F650" t="s">
        <v>23</v>
      </c>
      <c r="G650" t="s">
        <v>32</v>
      </c>
      <c r="H650">
        <v>240</v>
      </c>
      <c r="I650">
        <v>211</v>
      </c>
      <c r="J650">
        <v>2</v>
      </c>
      <c r="K650">
        <v>0.7</v>
      </c>
      <c r="L650">
        <v>31417.31</v>
      </c>
      <c r="M650">
        <v>4.4000000000000004</v>
      </c>
      <c r="N650">
        <v>88</v>
      </c>
      <c r="O650">
        <v>213</v>
      </c>
      <c r="P650" s="5">
        <v>46051</v>
      </c>
      <c r="Q650" s="5">
        <v>46052</v>
      </c>
      <c r="R650" t="s">
        <v>25</v>
      </c>
      <c r="S650" t="s">
        <v>86</v>
      </c>
    </row>
    <row r="651" spans="1:19" x14ac:dyDescent="0.25">
      <c r="A651" t="s">
        <v>745</v>
      </c>
      <c r="B651" s="5">
        <v>46122</v>
      </c>
      <c r="C651" t="s">
        <v>48</v>
      </c>
      <c r="D651" t="s">
        <v>49</v>
      </c>
      <c r="E651" t="s">
        <v>50</v>
      </c>
      <c r="F651" t="s">
        <v>106</v>
      </c>
      <c r="G651" t="s">
        <v>57</v>
      </c>
      <c r="H651">
        <v>303</v>
      </c>
      <c r="I651">
        <v>331</v>
      </c>
      <c r="J651">
        <v>30</v>
      </c>
      <c r="K651">
        <v>0.7</v>
      </c>
      <c r="L651">
        <v>74434.62</v>
      </c>
      <c r="M651">
        <v>13.36</v>
      </c>
      <c r="N651">
        <v>347.36</v>
      </c>
      <c r="O651">
        <v>342</v>
      </c>
      <c r="P651" s="5">
        <v>46130</v>
      </c>
      <c r="Q651" s="5">
        <v>46128</v>
      </c>
      <c r="R651" t="s">
        <v>39</v>
      </c>
      <c r="S651" t="s">
        <v>26</v>
      </c>
    </row>
    <row r="652" spans="1:19" x14ac:dyDescent="0.25">
      <c r="A652" t="s">
        <v>746</v>
      </c>
      <c r="B652" s="5">
        <v>46143</v>
      </c>
      <c r="C652" t="s">
        <v>59</v>
      </c>
      <c r="D652" t="s">
        <v>49</v>
      </c>
      <c r="E652" t="s">
        <v>60</v>
      </c>
      <c r="F652" t="s">
        <v>83</v>
      </c>
      <c r="G652" t="s">
        <v>24</v>
      </c>
      <c r="H652">
        <v>87</v>
      </c>
      <c r="I652">
        <v>63</v>
      </c>
      <c r="J652">
        <v>2</v>
      </c>
      <c r="K652">
        <v>1.8</v>
      </c>
      <c r="L652">
        <v>11059.18</v>
      </c>
      <c r="M652">
        <v>1.44</v>
      </c>
      <c r="N652">
        <v>31.68</v>
      </c>
      <c r="O652">
        <v>65</v>
      </c>
      <c r="P652" s="5">
        <v>46148</v>
      </c>
      <c r="Q652" s="5">
        <v>46152</v>
      </c>
      <c r="R652" t="s">
        <v>25</v>
      </c>
      <c r="S652" t="s">
        <v>26</v>
      </c>
    </row>
    <row r="653" spans="1:19" x14ac:dyDescent="0.25">
      <c r="A653" t="s">
        <v>747</v>
      </c>
      <c r="B653" s="5">
        <v>46202</v>
      </c>
      <c r="C653" t="s">
        <v>80</v>
      </c>
      <c r="D653" t="s">
        <v>21</v>
      </c>
      <c r="E653" t="s">
        <v>90</v>
      </c>
      <c r="F653" t="s">
        <v>85</v>
      </c>
      <c r="G653" t="s">
        <v>57</v>
      </c>
      <c r="H653">
        <v>98</v>
      </c>
      <c r="I653">
        <v>110</v>
      </c>
      <c r="J653">
        <v>6</v>
      </c>
      <c r="K653">
        <v>5.5</v>
      </c>
      <c r="L653">
        <v>25250.43</v>
      </c>
      <c r="M653">
        <v>4.4800000000000004</v>
      </c>
      <c r="N653">
        <v>98.56</v>
      </c>
      <c r="O653">
        <v>68</v>
      </c>
      <c r="P653" s="5">
        <v>46205</v>
      </c>
      <c r="Q653" s="5">
        <v>46203</v>
      </c>
      <c r="R653" t="s">
        <v>100</v>
      </c>
      <c r="S653" t="s">
        <v>86</v>
      </c>
    </row>
    <row r="654" spans="1:19" x14ac:dyDescent="0.25">
      <c r="A654" t="s">
        <v>748</v>
      </c>
      <c r="B654" s="5">
        <v>46133</v>
      </c>
      <c r="C654" t="s">
        <v>53</v>
      </c>
      <c r="D654" t="s">
        <v>54</v>
      </c>
      <c r="E654" t="s">
        <v>131</v>
      </c>
      <c r="F654" t="s">
        <v>119</v>
      </c>
      <c r="G654" t="s">
        <v>57</v>
      </c>
      <c r="H654">
        <v>280</v>
      </c>
      <c r="I654">
        <v>303</v>
      </c>
      <c r="J654">
        <v>28</v>
      </c>
      <c r="K654">
        <v>0.2</v>
      </c>
      <c r="L654">
        <v>39024.949999999997</v>
      </c>
      <c r="M654">
        <v>11.35</v>
      </c>
      <c r="N654">
        <v>295.10000000000002</v>
      </c>
      <c r="O654">
        <v>337</v>
      </c>
      <c r="P654" s="5">
        <v>46145</v>
      </c>
      <c r="Q654" s="5">
        <v>46143</v>
      </c>
      <c r="R654" t="s">
        <v>39</v>
      </c>
      <c r="S654" t="s">
        <v>72</v>
      </c>
    </row>
    <row r="655" spans="1:19" x14ac:dyDescent="0.25">
      <c r="A655" t="s">
        <v>749</v>
      </c>
      <c r="B655" s="5">
        <v>46119</v>
      </c>
      <c r="C655" t="s">
        <v>43</v>
      </c>
      <c r="D655" t="s">
        <v>44</v>
      </c>
      <c r="E655" t="s">
        <v>161</v>
      </c>
      <c r="F655" t="s">
        <v>23</v>
      </c>
      <c r="G655" t="s">
        <v>57</v>
      </c>
      <c r="H655">
        <v>259</v>
      </c>
      <c r="I655">
        <v>234</v>
      </c>
      <c r="J655">
        <v>4</v>
      </c>
      <c r="K655">
        <v>3.9</v>
      </c>
      <c r="L655">
        <v>35478.18</v>
      </c>
      <c r="M655">
        <v>6.28</v>
      </c>
      <c r="N655">
        <v>125.6</v>
      </c>
      <c r="O655">
        <v>306</v>
      </c>
      <c r="P655" s="5">
        <v>46127</v>
      </c>
      <c r="Q655" s="5">
        <v>46125</v>
      </c>
      <c r="R655" t="s">
        <v>25</v>
      </c>
      <c r="S655" t="s">
        <v>26</v>
      </c>
    </row>
    <row r="656" spans="1:19" x14ac:dyDescent="0.25">
      <c r="A656" t="s">
        <v>750</v>
      </c>
      <c r="B656" s="5">
        <v>46025</v>
      </c>
      <c r="C656" t="s">
        <v>28</v>
      </c>
      <c r="D656" t="s">
        <v>29</v>
      </c>
      <c r="E656" t="s">
        <v>95</v>
      </c>
      <c r="F656" t="s">
        <v>74</v>
      </c>
      <c r="G656" t="s">
        <v>57</v>
      </c>
      <c r="H656">
        <v>271</v>
      </c>
      <c r="I656">
        <v>282</v>
      </c>
      <c r="J656">
        <v>21</v>
      </c>
      <c r="K656">
        <v>4.8</v>
      </c>
      <c r="L656">
        <v>58280.3</v>
      </c>
      <c r="M656">
        <v>10.99</v>
      </c>
      <c r="N656">
        <v>219.8</v>
      </c>
      <c r="O656">
        <v>245</v>
      </c>
      <c r="P656" s="5">
        <v>46028</v>
      </c>
      <c r="Q656" s="5">
        <v>46026</v>
      </c>
      <c r="R656" t="s">
        <v>25</v>
      </c>
      <c r="S656" t="s">
        <v>86</v>
      </c>
    </row>
    <row r="657" spans="1:19" x14ac:dyDescent="0.25">
      <c r="A657" t="s">
        <v>751</v>
      </c>
      <c r="B657" s="5">
        <v>46034</v>
      </c>
      <c r="C657" t="s">
        <v>48</v>
      </c>
      <c r="D657" t="s">
        <v>49</v>
      </c>
      <c r="E657" t="s">
        <v>76</v>
      </c>
      <c r="F657" t="s">
        <v>106</v>
      </c>
      <c r="G657" t="s">
        <v>24</v>
      </c>
      <c r="H657">
        <v>234</v>
      </c>
      <c r="I657">
        <v>234</v>
      </c>
      <c r="J657">
        <v>6</v>
      </c>
      <c r="K657">
        <v>2.6</v>
      </c>
      <c r="L657">
        <v>48316.959999999999</v>
      </c>
      <c r="M657">
        <v>4.9000000000000004</v>
      </c>
      <c r="N657">
        <v>88.2</v>
      </c>
      <c r="O657">
        <v>213</v>
      </c>
      <c r="P657" s="5">
        <v>46040</v>
      </c>
      <c r="Q657" s="5">
        <v>46040</v>
      </c>
      <c r="R657" t="s">
        <v>100</v>
      </c>
      <c r="S657" t="s">
        <v>86</v>
      </c>
    </row>
    <row r="658" spans="1:19" x14ac:dyDescent="0.25">
      <c r="A658" t="s">
        <v>752</v>
      </c>
      <c r="B658" s="5">
        <v>46079</v>
      </c>
      <c r="C658" t="s">
        <v>53</v>
      </c>
      <c r="D658" t="s">
        <v>54</v>
      </c>
      <c r="E658" t="s">
        <v>131</v>
      </c>
      <c r="F658" t="s">
        <v>106</v>
      </c>
      <c r="G658" t="s">
        <v>24</v>
      </c>
      <c r="H658">
        <v>173</v>
      </c>
      <c r="I658">
        <v>182</v>
      </c>
      <c r="J658">
        <v>5</v>
      </c>
      <c r="K658">
        <v>5.9</v>
      </c>
      <c r="L658">
        <v>24620.6</v>
      </c>
      <c r="M658">
        <v>6.32</v>
      </c>
      <c r="N658">
        <v>164.32</v>
      </c>
      <c r="O658">
        <v>159</v>
      </c>
      <c r="P658" s="5">
        <v>46081</v>
      </c>
      <c r="Q658" s="5">
        <v>46082</v>
      </c>
      <c r="R658" t="s">
        <v>100</v>
      </c>
      <c r="S658" t="s">
        <v>72</v>
      </c>
    </row>
    <row r="659" spans="1:19" x14ac:dyDescent="0.25">
      <c r="A659" t="s">
        <v>753</v>
      </c>
      <c r="B659" s="5">
        <v>46094</v>
      </c>
      <c r="C659" t="s">
        <v>20</v>
      </c>
      <c r="D659" t="s">
        <v>21</v>
      </c>
      <c r="E659" t="s">
        <v>22</v>
      </c>
      <c r="F659" t="s">
        <v>71</v>
      </c>
      <c r="G659" t="s">
        <v>57</v>
      </c>
      <c r="H659">
        <v>313</v>
      </c>
      <c r="I659">
        <v>243</v>
      </c>
      <c r="J659">
        <v>22</v>
      </c>
      <c r="K659">
        <v>2.1</v>
      </c>
      <c r="L659">
        <v>78924.72</v>
      </c>
      <c r="M659">
        <v>6.55</v>
      </c>
      <c r="N659">
        <v>131</v>
      </c>
      <c r="O659">
        <v>282</v>
      </c>
      <c r="P659" s="5">
        <v>46099</v>
      </c>
      <c r="Q659" s="5">
        <v>46103</v>
      </c>
      <c r="R659" t="s">
        <v>100</v>
      </c>
      <c r="S659" t="s">
        <v>72</v>
      </c>
    </row>
    <row r="660" spans="1:19" x14ac:dyDescent="0.25">
      <c r="A660" t="s">
        <v>754</v>
      </c>
      <c r="B660" s="5">
        <v>46031</v>
      </c>
      <c r="C660" t="s">
        <v>59</v>
      </c>
      <c r="D660" t="s">
        <v>49</v>
      </c>
      <c r="E660" t="s">
        <v>76</v>
      </c>
      <c r="F660" t="s">
        <v>31</v>
      </c>
      <c r="G660" t="s">
        <v>32</v>
      </c>
      <c r="H660">
        <v>230</v>
      </c>
      <c r="I660">
        <v>203</v>
      </c>
      <c r="J660">
        <v>16</v>
      </c>
      <c r="K660">
        <v>0.8</v>
      </c>
      <c r="L660">
        <v>33588.449999999997</v>
      </c>
      <c r="M660">
        <v>6.07</v>
      </c>
      <c r="N660">
        <v>145.68</v>
      </c>
      <c r="O660">
        <v>288</v>
      </c>
      <c r="P660" s="5">
        <v>46040</v>
      </c>
      <c r="Q660" s="5">
        <v>46038</v>
      </c>
      <c r="R660" t="s">
        <v>25</v>
      </c>
      <c r="S660" t="s">
        <v>51</v>
      </c>
    </row>
    <row r="661" spans="1:19" x14ac:dyDescent="0.25">
      <c r="A661" t="s">
        <v>755</v>
      </c>
      <c r="B661" s="5">
        <v>46191</v>
      </c>
      <c r="C661" t="s">
        <v>35</v>
      </c>
      <c r="D661" t="s">
        <v>36</v>
      </c>
      <c r="E661" t="s">
        <v>37</v>
      </c>
      <c r="F661" t="s">
        <v>77</v>
      </c>
      <c r="G661" t="s">
        <v>32</v>
      </c>
      <c r="H661">
        <v>249</v>
      </c>
      <c r="I661">
        <v>211</v>
      </c>
      <c r="J661">
        <v>11</v>
      </c>
      <c r="K661">
        <v>3.1</v>
      </c>
      <c r="L661">
        <v>16581.66</v>
      </c>
      <c r="M661">
        <v>8.32</v>
      </c>
      <c r="N661">
        <v>183.04</v>
      </c>
      <c r="O661">
        <v>264</v>
      </c>
      <c r="P661" s="5">
        <v>46193</v>
      </c>
      <c r="Q661" s="5">
        <v>46194</v>
      </c>
      <c r="R661" t="s">
        <v>39</v>
      </c>
      <c r="S661" t="s">
        <v>33</v>
      </c>
    </row>
    <row r="662" spans="1:19" x14ac:dyDescent="0.25">
      <c r="A662" t="s">
        <v>756</v>
      </c>
      <c r="B662" s="5">
        <v>46050</v>
      </c>
      <c r="C662" t="s">
        <v>35</v>
      </c>
      <c r="D662" t="s">
        <v>36</v>
      </c>
      <c r="E662" t="s">
        <v>69</v>
      </c>
      <c r="F662" t="s">
        <v>122</v>
      </c>
      <c r="G662" t="s">
        <v>24</v>
      </c>
      <c r="H662">
        <v>299</v>
      </c>
      <c r="I662">
        <v>342</v>
      </c>
      <c r="J662">
        <v>18</v>
      </c>
      <c r="K662">
        <v>3.8</v>
      </c>
      <c r="L662">
        <v>36421.620000000003</v>
      </c>
      <c r="M662">
        <v>8.2899999999999991</v>
      </c>
      <c r="N662">
        <v>198.96</v>
      </c>
      <c r="O662">
        <v>378</v>
      </c>
      <c r="P662" s="5">
        <v>46055</v>
      </c>
      <c r="Q662" s="5">
        <v>46055</v>
      </c>
      <c r="R662" t="s">
        <v>25</v>
      </c>
      <c r="S662" t="s">
        <v>86</v>
      </c>
    </row>
    <row r="663" spans="1:19" x14ac:dyDescent="0.25">
      <c r="A663" t="s">
        <v>757</v>
      </c>
      <c r="B663" s="5">
        <v>46044</v>
      </c>
      <c r="C663" t="s">
        <v>28</v>
      </c>
      <c r="D663" t="s">
        <v>29</v>
      </c>
      <c r="E663" t="s">
        <v>30</v>
      </c>
      <c r="F663" t="s">
        <v>41</v>
      </c>
      <c r="G663" t="s">
        <v>32</v>
      </c>
      <c r="H663">
        <v>155</v>
      </c>
      <c r="I663">
        <v>134</v>
      </c>
      <c r="J663">
        <v>5</v>
      </c>
      <c r="K663">
        <v>5.5</v>
      </c>
      <c r="L663">
        <v>30348.01</v>
      </c>
      <c r="M663">
        <v>4.93</v>
      </c>
      <c r="N663">
        <v>128.18</v>
      </c>
      <c r="O663">
        <v>118</v>
      </c>
      <c r="P663" s="5">
        <v>46047</v>
      </c>
      <c r="Q663" s="5">
        <v>46047</v>
      </c>
      <c r="R663" t="s">
        <v>39</v>
      </c>
      <c r="S663" t="s">
        <v>86</v>
      </c>
    </row>
    <row r="664" spans="1:19" x14ac:dyDescent="0.25">
      <c r="A664" t="s">
        <v>758</v>
      </c>
      <c r="B664" s="5">
        <v>46068</v>
      </c>
      <c r="C664" t="s">
        <v>53</v>
      </c>
      <c r="D664" t="s">
        <v>54</v>
      </c>
      <c r="E664" t="s">
        <v>131</v>
      </c>
      <c r="F664" t="s">
        <v>74</v>
      </c>
      <c r="G664" t="s">
        <v>57</v>
      </c>
      <c r="H664">
        <v>84</v>
      </c>
      <c r="I664">
        <v>76</v>
      </c>
      <c r="J664">
        <v>3</v>
      </c>
      <c r="K664">
        <v>8.6999999999999993</v>
      </c>
      <c r="L664">
        <v>11774.95</v>
      </c>
      <c r="M664">
        <v>1.77</v>
      </c>
      <c r="N664">
        <v>31.86</v>
      </c>
      <c r="O664">
        <v>70</v>
      </c>
      <c r="P664" s="5">
        <v>46074</v>
      </c>
      <c r="Q664" s="5">
        <v>46075</v>
      </c>
      <c r="R664" t="s">
        <v>25</v>
      </c>
      <c r="S664" t="s">
        <v>86</v>
      </c>
    </row>
    <row r="665" spans="1:19" x14ac:dyDescent="0.25">
      <c r="A665" t="s">
        <v>759</v>
      </c>
      <c r="B665" s="5">
        <v>46093</v>
      </c>
      <c r="C665" t="s">
        <v>59</v>
      </c>
      <c r="D665" t="s">
        <v>49</v>
      </c>
      <c r="E665" t="s">
        <v>76</v>
      </c>
      <c r="F665" t="s">
        <v>137</v>
      </c>
      <c r="G665" t="s">
        <v>24</v>
      </c>
      <c r="H665">
        <v>112</v>
      </c>
      <c r="I665">
        <v>91</v>
      </c>
      <c r="J665">
        <v>1</v>
      </c>
      <c r="K665">
        <v>7.8</v>
      </c>
      <c r="L665">
        <v>15582.04</v>
      </c>
      <c r="M665">
        <v>3.07</v>
      </c>
      <c r="N665">
        <v>61.4</v>
      </c>
      <c r="O665">
        <v>201</v>
      </c>
      <c r="P665" s="5">
        <v>46102</v>
      </c>
      <c r="Q665" s="5">
        <v>46103</v>
      </c>
      <c r="R665" t="s">
        <v>25</v>
      </c>
      <c r="S665" t="s">
        <v>51</v>
      </c>
    </row>
    <row r="666" spans="1:19" x14ac:dyDescent="0.25">
      <c r="A666" t="s">
        <v>760</v>
      </c>
      <c r="B666" s="5">
        <v>46038</v>
      </c>
      <c r="C666" t="s">
        <v>59</v>
      </c>
      <c r="D666" t="s">
        <v>49</v>
      </c>
      <c r="E666" t="s">
        <v>76</v>
      </c>
      <c r="F666" t="s">
        <v>88</v>
      </c>
      <c r="G666" t="s">
        <v>57</v>
      </c>
      <c r="H666">
        <v>84</v>
      </c>
      <c r="I666">
        <v>84</v>
      </c>
      <c r="J666">
        <v>6</v>
      </c>
      <c r="K666">
        <v>3.2</v>
      </c>
      <c r="L666">
        <v>16247.39</v>
      </c>
      <c r="M666">
        <v>2.2200000000000002</v>
      </c>
      <c r="N666">
        <v>39.96</v>
      </c>
      <c r="O666">
        <v>179</v>
      </c>
      <c r="P666" s="5">
        <v>46047</v>
      </c>
      <c r="Q666" s="5">
        <v>46046</v>
      </c>
      <c r="R666" t="s">
        <v>39</v>
      </c>
      <c r="S666" t="s">
        <v>51</v>
      </c>
    </row>
    <row r="667" spans="1:19" x14ac:dyDescent="0.25">
      <c r="A667" t="s">
        <v>761</v>
      </c>
      <c r="B667" s="5">
        <v>46106</v>
      </c>
      <c r="C667" t="s">
        <v>48</v>
      </c>
      <c r="D667" t="s">
        <v>49</v>
      </c>
      <c r="E667" t="s">
        <v>60</v>
      </c>
      <c r="F667" t="s">
        <v>135</v>
      </c>
      <c r="G667" t="s">
        <v>57</v>
      </c>
      <c r="H667">
        <v>186</v>
      </c>
      <c r="I667">
        <v>139</v>
      </c>
      <c r="J667">
        <v>6</v>
      </c>
      <c r="K667">
        <v>2.5</v>
      </c>
      <c r="L667">
        <v>23705.99</v>
      </c>
      <c r="M667">
        <v>3.7</v>
      </c>
      <c r="N667">
        <v>88.8</v>
      </c>
      <c r="O667">
        <v>241</v>
      </c>
      <c r="P667" s="5">
        <v>46115</v>
      </c>
      <c r="Q667" s="5">
        <v>46115</v>
      </c>
      <c r="R667" t="s">
        <v>39</v>
      </c>
      <c r="S667" t="s">
        <v>86</v>
      </c>
    </row>
    <row r="668" spans="1:19" x14ac:dyDescent="0.25">
      <c r="A668" t="s">
        <v>762</v>
      </c>
      <c r="B668" s="5">
        <v>46034</v>
      </c>
      <c r="C668" t="s">
        <v>59</v>
      </c>
      <c r="D668" t="s">
        <v>49</v>
      </c>
      <c r="E668" t="s">
        <v>50</v>
      </c>
      <c r="F668" t="s">
        <v>64</v>
      </c>
      <c r="G668" t="s">
        <v>24</v>
      </c>
      <c r="H668">
        <v>313</v>
      </c>
      <c r="I668">
        <v>304</v>
      </c>
      <c r="J668">
        <v>4</v>
      </c>
      <c r="K668">
        <v>1.9</v>
      </c>
      <c r="L668">
        <v>52374.45</v>
      </c>
      <c r="M668">
        <v>10.89</v>
      </c>
      <c r="N668">
        <v>283.14</v>
      </c>
      <c r="O668">
        <v>361</v>
      </c>
      <c r="P668" s="5">
        <v>46039</v>
      </c>
      <c r="Q668" s="5">
        <v>46041</v>
      </c>
      <c r="R668" t="s">
        <v>39</v>
      </c>
      <c r="S668" t="s">
        <v>51</v>
      </c>
    </row>
    <row r="669" spans="1:19" x14ac:dyDescent="0.25">
      <c r="A669" t="s">
        <v>763</v>
      </c>
      <c r="B669" s="5">
        <v>46120</v>
      </c>
      <c r="C669" t="s">
        <v>20</v>
      </c>
      <c r="D669" t="s">
        <v>21</v>
      </c>
      <c r="E669" t="s">
        <v>22</v>
      </c>
      <c r="F669" t="s">
        <v>85</v>
      </c>
      <c r="G669" t="s">
        <v>32</v>
      </c>
      <c r="H669">
        <v>319</v>
      </c>
      <c r="I669">
        <v>365</v>
      </c>
      <c r="J669">
        <v>20</v>
      </c>
      <c r="K669">
        <v>9</v>
      </c>
      <c r="L669">
        <v>131501.91</v>
      </c>
      <c r="M669">
        <v>11.29</v>
      </c>
      <c r="N669">
        <v>203.22</v>
      </c>
      <c r="O669">
        <v>414</v>
      </c>
      <c r="P669" s="5">
        <v>46122</v>
      </c>
      <c r="Q669" s="5">
        <v>46126</v>
      </c>
      <c r="R669" t="s">
        <v>39</v>
      </c>
      <c r="S669" t="s">
        <v>86</v>
      </c>
    </row>
    <row r="670" spans="1:19" x14ac:dyDescent="0.25">
      <c r="A670" t="s">
        <v>764</v>
      </c>
      <c r="B670" s="5">
        <v>46091</v>
      </c>
      <c r="C670" t="s">
        <v>28</v>
      </c>
      <c r="D670" t="s">
        <v>29</v>
      </c>
      <c r="E670" t="s">
        <v>30</v>
      </c>
      <c r="F670" t="s">
        <v>88</v>
      </c>
      <c r="G670" t="s">
        <v>32</v>
      </c>
      <c r="H670">
        <v>155</v>
      </c>
      <c r="I670">
        <v>172</v>
      </c>
      <c r="J670">
        <v>5</v>
      </c>
      <c r="K670">
        <v>7.2</v>
      </c>
      <c r="L670">
        <v>42758.14</v>
      </c>
      <c r="M670">
        <v>4.4000000000000004</v>
      </c>
      <c r="N670">
        <v>79.2</v>
      </c>
      <c r="O670">
        <v>176</v>
      </c>
      <c r="P670" s="5">
        <v>46100</v>
      </c>
      <c r="Q670" s="5">
        <v>46102</v>
      </c>
      <c r="R670" t="s">
        <v>25</v>
      </c>
      <c r="S670" t="s">
        <v>26</v>
      </c>
    </row>
    <row r="671" spans="1:19" x14ac:dyDescent="0.25">
      <c r="A671" t="s">
        <v>765</v>
      </c>
      <c r="B671" s="5">
        <v>46152</v>
      </c>
      <c r="C671" t="s">
        <v>20</v>
      </c>
      <c r="D671" t="s">
        <v>21</v>
      </c>
      <c r="E671" t="s">
        <v>90</v>
      </c>
      <c r="F671" t="s">
        <v>122</v>
      </c>
      <c r="G671" t="s">
        <v>32</v>
      </c>
      <c r="H671">
        <v>247</v>
      </c>
      <c r="I671">
        <v>229</v>
      </c>
      <c r="J671">
        <v>5</v>
      </c>
      <c r="K671">
        <v>7.1</v>
      </c>
      <c r="L671">
        <v>72822.28</v>
      </c>
      <c r="M671">
        <v>9.5500000000000007</v>
      </c>
      <c r="N671">
        <v>248.3</v>
      </c>
      <c r="O671">
        <v>269</v>
      </c>
      <c r="P671" s="5">
        <v>46160</v>
      </c>
      <c r="Q671" s="5">
        <v>46160</v>
      </c>
      <c r="R671" t="s">
        <v>39</v>
      </c>
      <c r="S671" t="s">
        <v>86</v>
      </c>
    </row>
    <row r="672" spans="1:19" x14ac:dyDescent="0.25">
      <c r="A672" t="s">
        <v>766</v>
      </c>
      <c r="B672" s="5">
        <v>46103</v>
      </c>
      <c r="C672" t="s">
        <v>20</v>
      </c>
      <c r="D672" t="s">
        <v>21</v>
      </c>
      <c r="E672" t="s">
        <v>22</v>
      </c>
      <c r="F672" t="s">
        <v>122</v>
      </c>
      <c r="G672" t="s">
        <v>24</v>
      </c>
      <c r="H672">
        <v>184</v>
      </c>
      <c r="I672">
        <v>165</v>
      </c>
      <c r="J672">
        <v>15</v>
      </c>
      <c r="K672">
        <v>5.2</v>
      </c>
      <c r="L672">
        <v>60073.16</v>
      </c>
      <c r="M672">
        <v>6.53</v>
      </c>
      <c r="N672">
        <v>156.72</v>
      </c>
      <c r="O672">
        <v>147</v>
      </c>
      <c r="P672" s="5">
        <v>46107</v>
      </c>
      <c r="Q672" s="5">
        <v>46106</v>
      </c>
      <c r="R672" t="s">
        <v>100</v>
      </c>
      <c r="S672" t="s">
        <v>72</v>
      </c>
    </row>
    <row r="673" spans="1:19" x14ac:dyDescent="0.25">
      <c r="A673" t="s">
        <v>767</v>
      </c>
      <c r="B673" s="5">
        <v>46048</v>
      </c>
      <c r="C673" t="s">
        <v>43</v>
      </c>
      <c r="D673" t="s">
        <v>44</v>
      </c>
      <c r="E673" t="s">
        <v>93</v>
      </c>
      <c r="F673" t="s">
        <v>23</v>
      </c>
      <c r="G673" t="s">
        <v>24</v>
      </c>
      <c r="H673">
        <v>293</v>
      </c>
      <c r="I673">
        <v>265</v>
      </c>
      <c r="J673">
        <v>17</v>
      </c>
      <c r="K673">
        <v>8.9</v>
      </c>
      <c r="L673">
        <v>29663.9</v>
      </c>
      <c r="M673">
        <v>10.61</v>
      </c>
      <c r="N673">
        <v>254.64</v>
      </c>
      <c r="O673">
        <v>343</v>
      </c>
      <c r="P673" s="5">
        <v>46052</v>
      </c>
      <c r="Q673" s="5">
        <v>46054</v>
      </c>
      <c r="R673" t="s">
        <v>39</v>
      </c>
      <c r="S673" t="s">
        <v>86</v>
      </c>
    </row>
    <row r="674" spans="1:19" x14ac:dyDescent="0.25">
      <c r="A674" t="s">
        <v>768</v>
      </c>
      <c r="B674" s="5">
        <v>46053</v>
      </c>
      <c r="C674" t="s">
        <v>48</v>
      </c>
      <c r="D674" t="s">
        <v>49</v>
      </c>
      <c r="E674" t="s">
        <v>76</v>
      </c>
      <c r="F674" t="s">
        <v>106</v>
      </c>
      <c r="G674" t="s">
        <v>57</v>
      </c>
      <c r="H674">
        <v>231</v>
      </c>
      <c r="I674">
        <v>226</v>
      </c>
      <c r="J674">
        <v>3</v>
      </c>
      <c r="K674">
        <v>6.5</v>
      </c>
      <c r="L674">
        <v>42579.29</v>
      </c>
      <c r="M674">
        <v>9.2200000000000006</v>
      </c>
      <c r="N674">
        <v>221.28</v>
      </c>
      <c r="O674">
        <v>306</v>
      </c>
      <c r="P674" s="5">
        <v>46061</v>
      </c>
      <c r="Q674" s="5">
        <v>46061</v>
      </c>
      <c r="R674" t="s">
        <v>100</v>
      </c>
      <c r="S674" t="s">
        <v>51</v>
      </c>
    </row>
    <row r="675" spans="1:19" x14ac:dyDescent="0.25">
      <c r="A675" t="s">
        <v>769</v>
      </c>
      <c r="B675" s="5">
        <v>46173</v>
      </c>
      <c r="C675" t="s">
        <v>20</v>
      </c>
      <c r="D675" t="s">
        <v>21</v>
      </c>
      <c r="E675" t="s">
        <v>22</v>
      </c>
      <c r="F675" t="s">
        <v>119</v>
      </c>
      <c r="G675" t="s">
        <v>32</v>
      </c>
      <c r="H675">
        <v>309</v>
      </c>
      <c r="I675">
        <v>223</v>
      </c>
      <c r="J675">
        <v>13</v>
      </c>
      <c r="K675">
        <v>6.1</v>
      </c>
      <c r="L675">
        <v>67596.710000000006</v>
      </c>
      <c r="M675">
        <v>4.96</v>
      </c>
      <c r="N675">
        <v>128.96</v>
      </c>
      <c r="O675">
        <v>340</v>
      </c>
      <c r="P675" s="5">
        <v>46176</v>
      </c>
      <c r="Q675" s="5">
        <v>46176</v>
      </c>
      <c r="R675" t="s">
        <v>25</v>
      </c>
      <c r="S675" t="s">
        <v>33</v>
      </c>
    </row>
    <row r="676" spans="1:19" x14ac:dyDescent="0.25">
      <c r="A676" t="s">
        <v>770</v>
      </c>
      <c r="B676" s="5">
        <v>46167</v>
      </c>
      <c r="C676" t="s">
        <v>35</v>
      </c>
      <c r="D676" t="s">
        <v>36</v>
      </c>
      <c r="E676" t="s">
        <v>69</v>
      </c>
      <c r="F676" t="s">
        <v>38</v>
      </c>
      <c r="G676" t="s">
        <v>24</v>
      </c>
      <c r="H676">
        <v>162</v>
      </c>
      <c r="I676">
        <v>143</v>
      </c>
      <c r="J676">
        <v>10</v>
      </c>
      <c r="K676">
        <v>8.6</v>
      </c>
      <c r="L676">
        <v>12305.57</v>
      </c>
      <c r="M676">
        <v>5.6</v>
      </c>
      <c r="N676">
        <v>112</v>
      </c>
      <c r="O676">
        <v>232</v>
      </c>
      <c r="P676" s="5">
        <v>46177</v>
      </c>
      <c r="Q676" s="5">
        <v>46177</v>
      </c>
      <c r="R676" t="s">
        <v>39</v>
      </c>
      <c r="S676" t="s">
        <v>86</v>
      </c>
    </row>
    <row r="677" spans="1:19" x14ac:dyDescent="0.25">
      <c r="A677" t="s">
        <v>771</v>
      </c>
      <c r="B677" s="5">
        <v>46048</v>
      </c>
      <c r="C677" t="s">
        <v>48</v>
      </c>
      <c r="D677" t="s">
        <v>49</v>
      </c>
      <c r="E677" t="s">
        <v>76</v>
      </c>
      <c r="F677" t="s">
        <v>71</v>
      </c>
      <c r="G677" t="s">
        <v>57</v>
      </c>
      <c r="H677">
        <v>122</v>
      </c>
      <c r="I677">
        <v>94</v>
      </c>
      <c r="J677">
        <v>2</v>
      </c>
      <c r="K677">
        <v>4</v>
      </c>
      <c r="L677">
        <v>20198.28</v>
      </c>
      <c r="M677">
        <v>3.76</v>
      </c>
      <c r="N677">
        <v>97.76</v>
      </c>
      <c r="O677">
        <v>109</v>
      </c>
      <c r="P677" s="5">
        <v>46053</v>
      </c>
      <c r="Q677" s="5">
        <v>46053</v>
      </c>
      <c r="R677" t="s">
        <v>25</v>
      </c>
      <c r="S677" t="s">
        <v>26</v>
      </c>
    </row>
    <row r="678" spans="1:19" x14ac:dyDescent="0.25">
      <c r="A678" t="s">
        <v>772</v>
      </c>
      <c r="B678" s="5">
        <v>46153</v>
      </c>
      <c r="C678" t="s">
        <v>43</v>
      </c>
      <c r="D678" t="s">
        <v>44</v>
      </c>
      <c r="E678" t="s">
        <v>93</v>
      </c>
      <c r="F678" t="s">
        <v>77</v>
      </c>
      <c r="G678" t="s">
        <v>24</v>
      </c>
      <c r="H678">
        <v>233</v>
      </c>
      <c r="I678">
        <v>258</v>
      </c>
      <c r="J678">
        <v>23</v>
      </c>
      <c r="K678">
        <v>4.9000000000000004</v>
      </c>
      <c r="L678">
        <v>29137.040000000001</v>
      </c>
      <c r="M678">
        <v>9.8000000000000007</v>
      </c>
      <c r="N678">
        <v>176.4</v>
      </c>
      <c r="O678">
        <v>287</v>
      </c>
      <c r="P678" s="5">
        <v>46158</v>
      </c>
      <c r="Q678" s="5">
        <v>46158</v>
      </c>
      <c r="R678" t="s">
        <v>39</v>
      </c>
      <c r="S678" t="s">
        <v>72</v>
      </c>
    </row>
    <row r="679" spans="1:19" x14ac:dyDescent="0.25">
      <c r="A679" t="s">
        <v>773</v>
      </c>
      <c r="B679" s="5">
        <v>46156</v>
      </c>
      <c r="C679" t="s">
        <v>43</v>
      </c>
      <c r="D679" t="s">
        <v>44</v>
      </c>
      <c r="E679" t="s">
        <v>161</v>
      </c>
      <c r="F679" t="s">
        <v>83</v>
      </c>
      <c r="G679" t="s">
        <v>57</v>
      </c>
      <c r="H679">
        <v>155</v>
      </c>
      <c r="I679">
        <v>172</v>
      </c>
      <c r="J679">
        <v>11</v>
      </c>
      <c r="K679">
        <v>8.3000000000000007</v>
      </c>
      <c r="L679">
        <v>19256.919999999998</v>
      </c>
      <c r="M679">
        <v>5.13</v>
      </c>
      <c r="N679">
        <v>92.34</v>
      </c>
      <c r="O679">
        <v>150</v>
      </c>
      <c r="P679" s="5">
        <v>46162</v>
      </c>
      <c r="Q679" s="5">
        <v>46161</v>
      </c>
      <c r="R679" t="s">
        <v>25</v>
      </c>
      <c r="S679" t="s">
        <v>51</v>
      </c>
    </row>
    <row r="680" spans="1:19" x14ac:dyDescent="0.25">
      <c r="A680" t="s">
        <v>774</v>
      </c>
      <c r="B680" s="5">
        <v>46042</v>
      </c>
      <c r="C680" t="s">
        <v>48</v>
      </c>
      <c r="D680" t="s">
        <v>49</v>
      </c>
      <c r="E680" t="s">
        <v>50</v>
      </c>
      <c r="F680" t="s">
        <v>61</v>
      </c>
      <c r="G680" t="s">
        <v>24</v>
      </c>
      <c r="H680">
        <v>209</v>
      </c>
      <c r="I680">
        <v>180</v>
      </c>
      <c r="J680">
        <v>8</v>
      </c>
      <c r="K680">
        <v>6.6</v>
      </c>
      <c r="L680">
        <v>33875.269999999997</v>
      </c>
      <c r="M680">
        <v>6.21</v>
      </c>
      <c r="N680">
        <v>111.78</v>
      </c>
      <c r="O680">
        <v>279</v>
      </c>
      <c r="P680" s="5">
        <v>46045</v>
      </c>
      <c r="Q680" s="5">
        <v>46046</v>
      </c>
      <c r="R680" t="s">
        <v>25</v>
      </c>
      <c r="S680" t="s">
        <v>33</v>
      </c>
    </row>
    <row r="681" spans="1:19" x14ac:dyDescent="0.25">
      <c r="A681" t="s">
        <v>775</v>
      </c>
      <c r="B681" s="5">
        <v>46185</v>
      </c>
      <c r="C681" t="s">
        <v>80</v>
      </c>
      <c r="D681" t="s">
        <v>21</v>
      </c>
      <c r="E681" t="s">
        <v>22</v>
      </c>
      <c r="F681" t="s">
        <v>110</v>
      </c>
      <c r="G681" t="s">
        <v>57</v>
      </c>
      <c r="H681">
        <v>115</v>
      </c>
      <c r="I681">
        <v>111</v>
      </c>
      <c r="J681">
        <v>9</v>
      </c>
      <c r="K681">
        <v>2</v>
      </c>
      <c r="L681">
        <v>26149.54</v>
      </c>
      <c r="M681">
        <v>3.29</v>
      </c>
      <c r="N681">
        <v>65.8</v>
      </c>
      <c r="O681">
        <v>202</v>
      </c>
      <c r="P681" s="5">
        <v>46191</v>
      </c>
      <c r="Q681" s="5">
        <v>46191</v>
      </c>
      <c r="R681" t="s">
        <v>25</v>
      </c>
      <c r="S681" t="s">
        <v>26</v>
      </c>
    </row>
    <row r="682" spans="1:19" x14ac:dyDescent="0.25">
      <c r="A682" t="s">
        <v>776</v>
      </c>
      <c r="B682" s="5">
        <v>46077</v>
      </c>
      <c r="C682" t="s">
        <v>80</v>
      </c>
      <c r="D682" t="s">
        <v>21</v>
      </c>
      <c r="E682" t="s">
        <v>90</v>
      </c>
      <c r="F682" t="s">
        <v>85</v>
      </c>
      <c r="G682" t="s">
        <v>24</v>
      </c>
      <c r="H682">
        <v>97</v>
      </c>
      <c r="I682">
        <v>90</v>
      </c>
      <c r="J682">
        <v>5</v>
      </c>
      <c r="K682">
        <v>6.4</v>
      </c>
      <c r="L682">
        <v>21025.26</v>
      </c>
      <c r="M682">
        <v>2.94</v>
      </c>
      <c r="N682">
        <v>76.44</v>
      </c>
      <c r="O682">
        <v>117</v>
      </c>
      <c r="P682" s="5">
        <v>46089</v>
      </c>
      <c r="Q682" s="5">
        <v>46090</v>
      </c>
      <c r="R682" t="s">
        <v>100</v>
      </c>
      <c r="S682" t="s">
        <v>51</v>
      </c>
    </row>
    <row r="683" spans="1:19" x14ac:dyDescent="0.25">
      <c r="A683" t="s">
        <v>777</v>
      </c>
      <c r="B683" s="5">
        <v>46099</v>
      </c>
      <c r="C683" t="s">
        <v>28</v>
      </c>
      <c r="D683" t="s">
        <v>29</v>
      </c>
      <c r="E683" t="s">
        <v>95</v>
      </c>
      <c r="F683" t="s">
        <v>23</v>
      </c>
      <c r="G683" t="s">
        <v>24</v>
      </c>
      <c r="H683">
        <v>251</v>
      </c>
      <c r="I683">
        <v>233</v>
      </c>
      <c r="J683">
        <v>17</v>
      </c>
      <c r="K683">
        <v>3.5</v>
      </c>
      <c r="L683">
        <v>50266.68</v>
      </c>
      <c r="M683">
        <v>4.7300000000000004</v>
      </c>
      <c r="N683">
        <v>85.14</v>
      </c>
      <c r="O683">
        <v>284</v>
      </c>
      <c r="P683" s="5">
        <v>46107</v>
      </c>
      <c r="Q683" s="5">
        <v>46111</v>
      </c>
      <c r="R683" t="s">
        <v>25</v>
      </c>
      <c r="S683" t="s">
        <v>72</v>
      </c>
    </row>
    <row r="684" spans="1:19" x14ac:dyDescent="0.25">
      <c r="A684" t="s">
        <v>778</v>
      </c>
      <c r="B684" s="5">
        <v>46052</v>
      </c>
      <c r="C684" t="s">
        <v>43</v>
      </c>
      <c r="D684" t="s">
        <v>44</v>
      </c>
      <c r="E684" t="s">
        <v>161</v>
      </c>
      <c r="F684" t="s">
        <v>125</v>
      </c>
      <c r="G684" t="s">
        <v>32</v>
      </c>
      <c r="H684">
        <v>161</v>
      </c>
      <c r="I684">
        <v>161</v>
      </c>
      <c r="J684">
        <v>5</v>
      </c>
      <c r="K684">
        <v>3.6</v>
      </c>
      <c r="L684">
        <v>18056.97</v>
      </c>
      <c r="M684">
        <v>6.14</v>
      </c>
      <c r="N684">
        <v>147.36000000000001</v>
      </c>
      <c r="O684">
        <v>226</v>
      </c>
      <c r="P684" s="5">
        <v>46064</v>
      </c>
      <c r="Q684" s="5">
        <v>46064</v>
      </c>
      <c r="R684" t="s">
        <v>25</v>
      </c>
      <c r="S684" t="s">
        <v>26</v>
      </c>
    </row>
    <row r="685" spans="1:19" x14ac:dyDescent="0.25">
      <c r="A685" t="s">
        <v>779</v>
      </c>
      <c r="B685" s="5">
        <v>46078</v>
      </c>
      <c r="C685" t="s">
        <v>35</v>
      </c>
      <c r="D685" t="s">
        <v>36</v>
      </c>
      <c r="E685" t="s">
        <v>37</v>
      </c>
      <c r="F685" t="s">
        <v>110</v>
      </c>
      <c r="G685" t="s">
        <v>57</v>
      </c>
      <c r="H685">
        <v>223</v>
      </c>
      <c r="I685">
        <v>234</v>
      </c>
      <c r="J685">
        <v>6</v>
      </c>
      <c r="K685">
        <v>2.9</v>
      </c>
      <c r="L685">
        <v>20381.3</v>
      </c>
      <c r="M685">
        <v>6.45</v>
      </c>
      <c r="N685">
        <v>116.1</v>
      </c>
      <c r="O685">
        <v>251</v>
      </c>
      <c r="P685" s="5">
        <v>46087</v>
      </c>
      <c r="Q685" s="5">
        <v>46087</v>
      </c>
      <c r="R685" t="s">
        <v>25</v>
      </c>
      <c r="S685" t="s">
        <v>86</v>
      </c>
    </row>
    <row r="686" spans="1:19" x14ac:dyDescent="0.25">
      <c r="A686" t="s">
        <v>780</v>
      </c>
      <c r="B686" s="5">
        <v>46137</v>
      </c>
      <c r="C686" t="s">
        <v>35</v>
      </c>
      <c r="D686" t="s">
        <v>36</v>
      </c>
      <c r="E686" t="s">
        <v>37</v>
      </c>
      <c r="F686" t="s">
        <v>88</v>
      </c>
      <c r="G686" t="s">
        <v>24</v>
      </c>
      <c r="H686">
        <v>226</v>
      </c>
      <c r="I686">
        <v>247</v>
      </c>
      <c r="J686">
        <v>13</v>
      </c>
      <c r="K686">
        <v>7</v>
      </c>
      <c r="L686">
        <v>22003.1</v>
      </c>
      <c r="M686">
        <v>8.07</v>
      </c>
      <c r="N686">
        <v>161.4</v>
      </c>
      <c r="O686">
        <v>324</v>
      </c>
      <c r="P686" s="5">
        <v>46139</v>
      </c>
      <c r="Q686" s="5">
        <v>46137</v>
      </c>
      <c r="R686" t="s">
        <v>100</v>
      </c>
      <c r="S686" t="s">
        <v>86</v>
      </c>
    </row>
    <row r="687" spans="1:19" x14ac:dyDescent="0.25">
      <c r="A687" t="s">
        <v>781</v>
      </c>
      <c r="B687" s="5">
        <v>46113</v>
      </c>
      <c r="C687" t="s">
        <v>20</v>
      </c>
      <c r="D687" t="s">
        <v>21</v>
      </c>
      <c r="E687" t="s">
        <v>66</v>
      </c>
      <c r="F687" t="s">
        <v>77</v>
      </c>
      <c r="G687" t="s">
        <v>57</v>
      </c>
      <c r="H687">
        <v>92</v>
      </c>
      <c r="I687">
        <v>86</v>
      </c>
      <c r="J687">
        <v>3</v>
      </c>
      <c r="K687">
        <v>1.8</v>
      </c>
      <c r="L687">
        <v>24645.279999999999</v>
      </c>
      <c r="M687">
        <v>3.32</v>
      </c>
      <c r="N687">
        <v>66.400000000000006</v>
      </c>
      <c r="O687">
        <v>126</v>
      </c>
      <c r="P687" s="5">
        <v>46117</v>
      </c>
      <c r="Q687" s="5">
        <v>46118</v>
      </c>
      <c r="R687" t="s">
        <v>25</v>
      </c>
      <c r="S687" t="s">
        <v>26</v>
      </c>
    </row>
    <row r="688" spans="1:19" x14ac:dyDescent="0.25">
      <c r="A688" t="s">
        <v>782</v>
      </c>
      <c r="B688" s="5">
        <v>46086</v>
      </c>
      <c r="C688" t="s">
        <v>80</v>
      </c>
      <c r="D688" t="s">
        <v>21</v>
      </c>
      <c r="E688" t="s">
        <v>22</v>
      </c>
      <c r="F688" t="s">
        <v>122</v>
      </c>
      <c r="G688" t="s">
        <v>24</v>
      </c>
      <c r="H688">
        <v>296</v>
      </c>
      <c r="I688">
        <v>215</v>
      </c>
      <c r="J688">
        <v>19</v>
      </c>
      <c r="K688">
        <v>0.9</v>
      </c>
      <c r="L688">
        <v>55010.38</v>
      </c>
      <c r="M688">
        <v>4.68</v>
      </c>
      <c r="N688">
        <v>102.96</v>
      </c>
      <c r="O688">
        <v>262</v>
      </c>
      <c r="P688" s="5">
        <v>46091</v>
      </c>
      <c r="Q688" s="5">
        <v>46091</v>
      </c>
      <c r="R688" t="s">
        <v>25</v>
      </c>
      <c r="S688" t="s">
        <v>33</v>
      </c>
    </row>
    <row r="689" spans="1:19" x14ac:dyDescent="0.25">
      <c r="A689" t="s">
        <v>783</v>
      </c>
      <c r="B689" s="5">
        <v>46119</v>
      </c>
      <c r="C689" t="s">
        <v>35</v>
      </c>
      <c r="D689" t="s">
        <v>36</v>
      </c>
      <c r="E689" t="s">
        <v>37</v>
      </c>
      <c r="F689" t="s">
        <v>112</v>
      </c>
      <c r="G689" t="s">
        <v>24</v>
      </c>
      <c r="H689">
        <v>289</v>
      </c>
      <c r="I689">
        <v>300</v>
      </c>
      <c r="J689">
        <v>8</v>
      </c>
      <c r="K689">
        <v>0.8</v>
      </c>
      <c r="L689">
        <v>24775.78</v>
      </c>
      <c r="M689">
        <v>10.89</v>
      </c>
      <c r="N689">
        <v>261.36</v>
      </c>
      <c r="O689">
        <v>254</v>
      </c>
      <c r="P689" s="5">
        <v>46121</v>
      </c>
      <c r="Q689" s="5">
        <v>46121</v>
      </c>
      <c r="R689" t="s">
        <v>25</v>
      </c>
      <c r="S689" t="s">
        <v>72</v>
      </c>
    </row>
    <row r="690" spans="1:19" x14ac:dyDescent="0.25">
      <c r="A690" t="s">
        <v>784</v>
      </c>
      <c r="B690" s="5">
        <v>46072</v>
      </c>
      <c r="C690" t="s">
        <v>59</v>
      </c>
      <c r="D690" t="s">
        <v>49</v>
      </c>
      <c r="E690" t="s">
        <v>76</v>
      </c>
      <c r="F690" t="s">
        <v>23</v>
      </c>
      <c r="G690" t="s">
        <v>32</v>
      </c>
      <c r="H690">
        <v>188</v>
      </c>
      <c r="I690">
        <v>176</v>
      </c>
      <c r="J690">
        <v>1</v>
      </c>
      <c r="K690">
        <v>2.5</v>
      </c>
      <c r="L690">
        <v>25712.26</v>
      </c>
      <c r="M690">
        <v>5.94</v>
      </c>
      <c r="N690">
        <v>142.56</v>
      </c>
      <c r="O690">
        <v>244</v>
      </c>
      <c r="P690" s="5">
        <v>46078</v>
      </c>
      <c r="Q690" s="5">
        <v>46080</v>
      </c>
      <c r="R690" t="s">
        <v>25</v>
      </c>
      <c r="S690" t="s">
        <v>26</v>
      </c>
    </row>
    <row r="691" spans="1:19" x14ac:dyDescent="0.25">
      <c r="A691" t="s">
        <v>785</v>
      </c>
      <c r="B691" s="5">
        <v>46094</v>
      </c>
      <c r="C691" t="s">
        <v>53</v>
      </c>
      <c r="D691" t="s">
        <v>54</v>
      </c>
      <c r="E691" t="s">
        <v>131</v>
      </c>
      <c r="F691" t="s">
        <v>135</v>
      </c>
      <c r="G691" t="s">
        <v>32</v>
      </c>
      <c r="H691">
        <v>312</v>
      </c>
      <c r="I691">
        <v>318</v>
      </c>
      <c r="J691">
        <v>16</v>
      </c>
      <c r="K691">
        <v>3.4</v>
      </c>
      <c r="L691">
        <v>56759.73</v>
      </c>
      <c r="M691">
        <v>12.99</v>
      </c>
      <c r="N691">
        <v>337.74</v>
      </c>
      <c r="O691">
        <v>299</v>
      </c>
      <c r="P691" s="5">
        <v>46103</v>
      </c>
      <c r="Q691" s="5">
        <v>46103</v>
      </c>
      <c r="R691" t="s">
        <v>39</v>
      </c>
      <c r="S691" t="s">
        <v>51</v>
      </c>
    </row>
    <row r="692" spans="1:19" x14ac:dyDescent="0.25">
      <c r="A692" t="s">
        <v>786</v>
      </c>
      <c r="B692" s="5">
        <v>46137</v>
      </c>
      <c r="C692" t="s">
        <v>48</v>
      </c>
      <c r="D692" t="s">
        <v>49</v>
      </c>
      <c r="E692" t="s">
        <v>76</v>
      </c>
      <c r="F692" t="s">
        <v>170</v>
      </c>
      <c r="G692" t="s">
        <v>32</v>
      </c>
      <c r="H692">
        <v>224</v>
      </c>
      <c r="I692">
        <v>171</v>
      </c>
      <c r="J692">
        <v>5</v>
      </c>
      <c r="K692">
        <v>1.3</v>
      </c>
      <c r="L692">
        <v>31812.98</v>
      </c>
      <c r="M692">
        <v>5.38</v>
      </c>
      <c r="N692">
        <v>107.6</v>
      </c>
      <c r="O692">
        <v>309</v>
      </c>
      <c r="P692" s="5">
        <v>46148</v>
      </c>
      <c r="Q692" s="5">
        <v>46148</v>
      </c>
      <c r="R692" t="s">
        <v>25</v>
      </c>
      <c r="S692" t="s">
        <v>26</v>
      </c>
    </row>
    <row r="693" spans="1:19" x14ac:dyDescent="0.25">
      <c r="A693" t="s">
        <v>787</v>
      </c>
      <c r="B693" s="5">
        <v>46144</v>
      </c>
      <c r="C693" t="s">
        <v>28</v>
      </c>
      <c r="D693" t="s">
        <v>29</v>
      </c>
      <c r="E693" t="s">
        <v>63</v>
      </c>
      <c r="F693" t="s">
        <v>197</v>
      </c>
      <c r="G693" t="s">
        <v>24</v>
      </c>
      <c r="H693">
        <v>276</v>
      </c>
      <c r="I693">
        <v>257</v>
      </c>
      <c r="J693">
        <v>10</v>
      </c>
      <c r="K693">
        <v>6.7</v>
      </c>
      <c r="L693">
        <v>57653.81</v>
      </c>
      <c r="M693">
        <v>8.8800000000000008</v>
      </c>
      <c r="N693">
        <v>230.88</v>
      </c>
      <c r="O693">
        <v>340</v>
      </c>
      <c r="P693" s="5">
        <v>46146</v>
      </c>
      <c r="Q693" s="5">
        <v>46146</v>
      </c>
      <c r="R693" t="s">
        <v>25</v>
      </c>
      <c r="S693" t="s">
        <v>72</v>
      </c>
    </row>
    <row r="694" spans="1:19" x14ac:dyDescent="0.25">
      <c r="A694" t="s">
        <v>788</v>
      </c>
      <c r="B694" s="5">
        <v>46162</v>
      </c>
      <c r="C694" t="s">
        <v>53</v>
      </c>
      <c r="D694" t="s">
        <v>54</v>
      </c>
      <c r="E694" t="s">
        <v>131</v>
      </c>
      <c r="F694" t="s">
        <v>197</v>
      </c>
      <c r="G694" t="s">
        <v>57</v>
      </c>
      <c r="H694">
        <v>246</v>
      </c>
      <c r="I694">
        <v>202</v>
      </c>
      <c r="J694">
        <v>9</v>
      </c>
      <c r="K694">
        <v>4.3</v>
      </c>
      <c r="L694">
        <v>31318.66</v>
      </c>
      <c r="M694">
        <v>7.19</v>
      </c>
      <c r="N694">
        <v>129.41999999999999</v>
      </c>
      <c r="O694">
        <v>314</v>
      </c>
      <c r="P694" s="5">
        <v>46165</v>
      </c>
      <c r="Q694" s="5">
        <v>46167</v>
      </c>
      <c r="R694" t="s">
        <v>25</v>
      </c>
      <c r="S694" t="s">
        <v>51</v>
      </c>
    </row>
    <row r="695" spans="1:19" x14ac:dyDescent="0.25">
      <c r="A695" t="s">
        <v>789</v>
      </c>
      <c r="B695" s="5">
        <v>46156</v>
      </c>
      <c r="C695" t="s">
        <v>20</v>
      </c>
      <c r="D695" t="s">
        <v>21</v>
      </c>
      <c r="E695" t="s">
        <v>22</v>
      </c>
      <c r="F695" t="s">
        <v>135</v>
      </c>
      <c r="G695" t="s">
        <v>32</v>
      </c>
      <c r="H695">
        <v>130</v>
      </c>
      <c r="I695">
        <v>118</v>
      </c>
      <c r="J695">
        <v>10</v>
      </c>
      <c r="K695">
        <v>0.4</v>
      </c>
      <c r="L695">
        <v>33894.5</v>
      </c>
      <c r="M695">
        <v>4.4000000000000004</v>
      </c>
      <c r="N695">
        <v>105.6</v>
      </c>
      <c r="O695">
        <v>125</v>
      </c>
      <c r="P695" s="5">
        <v>46166</v>
      </c>
      <c r="Q695" s="5">
        <v>46168</v>
      </c>
      <c r="R695" t="s">
        <v>100</v>
      </c>
      <c r="S695" t="s">
        <v>33</v>
      </c>
    </row>
    <row r="696" spans="1:19" x14ac:dyDescent="0.25">
      <c r="A696" t="s">
        <v>790</v>
      </c>
      <c r="B696" s="5">
        <v>46134</v>
      </c>
      <c r="C696" t="s">
        <v>59</v>
      </c>
      <c r="D696" t="s">
        <v>49</v>
      </c>
      <c r="E696" t="s">
        <v>60</v>
      </c>
      <c r="F696" t="s">
        <v>106</v>
      </c>
      <c r="G696" t="s">
        <v>32</v>
      </c>
      <c r="H696">
        <v>316</v>
      </c>
      <c r="I696">
        <v>347</v>
      </c>
      <c r="J696">
        <v>10</v>
      </c>
      <c r="K696">
        <v>2.9</v>
      </c>
      <c r="L696">
        <v>70272.789999999994</v>
      </c>
      <c r="M696">
        <v>7.63</v>
      </c>
      <c r="N696">
        <v>167.86</v>
      </c>
      <c r="O696">
        <v>409</v>
      </c>
      <c r="P696" s="5">
        <v>46146</v>
      </c>
      <c r="Q696" s="5">
        <v>46146</v>
      </c>
      <c r="R696" t="s">
        <v>39</v>
      </c>
      <c r="S696" t="s">
        <v>26</v>
      </c>
    </row>
    <row r="697" spans="1:19" x14ac:dyDescent="0.25">
      <c r="A697" t="s">
        <v>791</v>
      </c>
      <c r="B697" s="5">
        <v>46177</v>
      </c>
      <c r="C697" t="s">
        <v>59</v>
      </c>
      <c r="D697" t="s">
        <v>49</v>
      </c>
      <c r="E697" t="s">
        <v>76</v>
      </c>
      <c r="F697" t="s">
        <v>170</v>
      </c>
      <c r="G697" t="s">
        <v>32</v>
      </c>
      <c r="H697">
        <v>198</v>
      </c>
      <c r="I697">
        <v>160</v>
      </c>
      <c r="J697">
        <v>5</v>
      </c>
      <c r="K697">
        <v>6.7</v>
      </c>
      <c r="L697">
        <v>36702.75</v>
      </c>
      <c r="M697">
        <v>3.51</v>
      </c>
      <c r="N697">
        <v>84.24</v>
      </c>
      <c r="O697">
        <v>160</v>
      </c>
      <c r="P697" s="5">
        <v>46184</v>
      </c>
      <c r="Q697" s="5">
        <v>46186</v>
      </c>
      <c r="R697" t="s">
        <v>25</v>
      </c>
      <c r="S697" t="s">
        <v>33</v>
      </c>
    </row>
    <row r="698" spans="1:19" x14ac:dyDescent="0.25">
      <c r="A698" t="s">
        <v>792</v>
      </c>
      <c r="B698" s="5">
        <v>46024</v>
      </c>
      <c r="C698" t="s">
        <v>59</v>
      </c>
      <c r="D698" t="s">
        <v>49</v>
      </c>
      <c r="E698" t="s">
        <v>60</v>
      </c>
      <c r="F698" t="s">
        <v>110</v>
      </c>
      <c r="G698" t="s">
        <v>57</v>
      </c>
      <c r="H698">
        <v>128</v>
      </c>
      <c r="I698">
        <v>103</v>
      </c>
      <c r="J698">
        <v>1</v>
      </c>
      <c r="K698">
        <v>4.0999999999999996</v>
      </c>
      <c r="L698">
        <v>15876.09</v>
      </c>
      <c r="M698">
        <v>3.32</v>
      </c>
      <c r="N698">
        <v>59.76</v>
      </c>
      <c r="O698">
        <v>177</v>
      </c>
      <c r="P698" s="5">
        <v>46036</v>
      </c>
      <c r="Q698" s="5">
        <v>46036</v>
      </c>
      <c r="R698" t="s">
        <v>25</v>
      </c>
      <c r="S698" t="s">
        <v>51</v>
      </c>
    </row>
    <row r="699" spans="1:19" x14ac:dyDescent="0.25">
      <c r="A699" t="s">
        <v>793</v>
      </c>
      <c r="B699" s="5">
        <v>46093</v>
      </c>
      <c r="C699" t="s">
        <v>59</v>
      </c>
      <c r="D699" t="s">
        <v>49</v>
      </c>
      <c r="E699" t="s">
        <v>76</v>
      </c>
      <c r="F699" t="s">
        <v>112</v>
      </c>
      <c r="G699" t="s">
        <v>57</v>
      </c>
      <c r="H699">
        <v>229</v>
      </c>
      <c r="I699">
        <v>236</v>
      </c>
      <c r="J699">
        <v>8</v>
      </c>
      <c r="K699">
        <v>6.9</v>
      </c>
      <c r="L699">
        <v>48434.62</v>
      </c>
      <c r="M699">
        <v>7.88</v>
      </c>
      <c r="N699">
        <v>157.6</v>
      </c>
      <c r="O699">
        <v>208</v>
      </c>
      <c r="P699" s="5">
        <v>46104</v>
      </c>
      <c r="Q699" s="5">
        <v>46104</v>
      </c>
      <c r="R699" t="s">
        <v>25</v>
      </c>
      <c r="S699" t="s">
        <v>86</v>
      </c>
    </row>
    <row r="700" spans="1:19" x14ac:dyDescent="0.25">
      <c r="A700" t="s">
        <v>794</v>
      </c>
      <c r="B700" s="5">
        <v>46068</v>
      </c>
      <c r="C700" t="s">
        <v>59</v>
      </c>
      <c r="D700" t="s">
        <v>49</v>
      </c>
      <c r="E700" t="s">
        <v>60</v>
      </c>
      <c r="F700" t="s">
        <v>244</v>
      </c>
      <c r="G700" t="s">
        <v>57</v>
      </c>
      <c r="H700">
        <v>106</v>
      </c>
      <c r="I700">
        <v>82</v>
      </c>
      <c r="J700">
        <v>4</v>
      </c>
      <c r="K700">
        <v>5.8</v>
      </c>
      <c r="L700">
        <v>13993.65</v>
      </c>
      <c r="M700">
        <v>3.16</v>
      </c>
      <c r="N700">
        <v>82.16</v>
      </c>
      <c r="O700">
        <v>136</v>
      </c>
      <c r="P700" s="5">
        <v>46079</v>
      </c>
      <c r="Q700" s="5">
        <v>46083</v>
      </c>
      <c r="R700" t="s">
        <v>25</v>
      </c>
      <c r="S700" t="s">
        <v>51</v>
      </c>
    </row>
    <row r="701" spans="1:19" x14ac:dyDescent="0.25">
      <c r="A701" t="s">
        <v>795</v>
      </c>
      <c r="B701" s="5">
        <v>46078</v>
      </c>
      <c r="C701" t="s">
        <v>20</v>
      </c>
      <c r="D701" t="s">
        <v>21</v>
      </c>
      <c r="E701" t="s">
        <v>66</v>
      </c>
      <c r="F701" t="s">
        <v>125</v>
      </c>
      <c r="G701" t="s">
        <v>24</v>
      </c>
      <c r="H701">
        <v>117</v>
      </c>
      <c r="I701">
        <v>91</v>
      </c>
      <c r="J701">
        <v>4</v>
      </c>
      <c r="K701">
        <v>0</v>
      </c>
      <c r="L701">
        <v>28134.43</v>
      </c>
      <c r="M701">
        <v>1.94</v>
      </c>
      <c r="N701">
        <v>46.56</v>
      </c>
      <c r="O701">
        <v>185</v>
      </c>
      <c r="P701" s="5">
        <v>46090</v>
      </c>
      <c r="Q701" s="5">
        <v>46094</v>
      </c>
      <c r="R701" t="s">
        <v>25</v>
      </c>
      <c r="S701" t="s">
        <v>33</v>
      </c>
    </row>
    <row r="702" spans="1:19" x14ac:dyDescent="0.25">
      <c r="A702" t="s">
        <v>796</v>
      </c>
      <c r="B702" s="5">
        <v>46084</v>
      </c>
      <c r="C702" t="s">
        <v>35</v>
      </c>
      <c r="D702" t="s">
        <v>36</v>
      </c>
      <c r="E702" t="s">
        <v>69</v>
      </c>
      <c r="F702" t="s">
        <v>61</v>
      </c>
      <c r="G702" t="s">
        <v>32</v>
      </c>
      <c r="H702">
        <v>278</v>
      </c>
      <c r="I702">
        <v>246</v>
      </c>
      <c r="J702">
        <v>11</v>
      </c>
      <c r="K702">
        <v>2.8</v>
      </c>
      <c r="L702">
        <v>23017.27</v>
      </c>
      <c r="M702">
        <v>9.64</v>
      </c>
      <c r="N702">
        <v>192.8</v>
      </c>
      <c r="O702">
        <v>280</v>
      </c>
      <c r="P702" s="5">
        <v>46096</v>
      </c>
      <c r="Q702" s="5">
        <v>46096</v>
      </c>
      <c r="R702" t="s">
        <v>25</v>
      </c>
      <c r="S702" t="s">
        <v>26</v>
      </c>
    </row>
    <row r="703" spans="1:19" x14ac:dyDescent="0.25">
      <c r="A703" t="s">
        <v>797</v>
      </c>
      <c r="B703" s="5">
        <v>46136</v>
      </c>
      <c r="C703" t="s">
        <v>53</v>
      </c>
      <c r="D703" t="s">
        <v>54</v>
      </c>
      <c r="E703" t="s">
        <v>131</v>
      </c>
      <c r="F703" t="s">
        <v>91</v>
      </c>
      <c r="G703" t="s">
        <v>57</v>
      </c>
      <c r="H703">
        <v>255</v>
      </c>
      <c r="I703">
        <v>196</v>
      </c>
      <c r="J703">
        <v>16</v>
      </c>
      <c r="K703">
        <v>5.9</v>
      </c>
      <c r="L703">
        <v>27184.22</v>
      </c>
      <c r="M703">
        <v>7.55</v>
      </c>
      <c r="N703">
        <v>166.1</v>
      </c>
      <c r="O703">
        <v>323</v>
      </c>
      <c r="P703" s="5">
        <v>46141</v>
      </c>
      <c r="Q703" s="5">
        <v>46141</v>
      </c>
      <c r="R703" t="s">
        <v>100</v>
      </c>
      <c r="S703" t="s">
        <v>33</v>
      </c>
    </row>
    <row r="704" spans="1:19" x14ac:dyDescent="0.25">
      <c r="A704" t="s">
        <v>798</v>
      </c>
      <c r="B704" s="5">
        <v>46073</v>
      </c>
      <c r="C704" t="s">
        <v>53</v>
      </c>
      <c r="D704" t="s">
        <v>54</v>
      </c>
      <c r="E704" t="s">
        <v>131</v>
      </c>
      <c r="F704" t="s">
        <v>46</v>
      </c>
      <c r="G704" t="s">
        <v>57</v>
      </c>
      <c r="H704">
        <v>214</v>
      </c>
      <c r="I704">
        <v>172</v>
      </c>
      <c r="J704">
        <v>9</v>
      </c>
      <c r="K704">
        <v>3</v>
      </c>
      <c r="L704">
        <v>31351.3</v>
      </c>
      <c r="M704">
        <v>5.17</v>
      </c>
      <c r="N704">
        <v>93.06</v>
      </c>
      <c r="O704">
        <v>243</v>
      </c>
      <c r="P704" s="5">
        <v>46075</v>
      </c>
      <c r="Q704" s="5">
        <v>46075</v>
      </c>
      <c r="R704" t="s">
        <v>100</v>
      </c>
      <c r="S704" t="s">
        <v>86</v>
      </c>
    </row>
    <row r="705" spans="1:19" x14ac:dyDescent="0.25">
      <c r="A705" t="s">
        <v>799</v>
      </c>
      <c r="B705" s="5">
        <v>46093</v>
      </c>
      <c r="C705" t="s">
        <v>80</v>
      </c>
      <c r="D705" t="s">
        <v>21</v>
      </c>
      <c r="E705" t="s">
        <v>66</v>
      </c>
      <c r="F705" t="s">
        <v>104</v>
      </c>
      <c r="G705" t="s">
        <v>24</v>
      </c>
      <c r="H705">
        <v>290</v>
      </c>
      <c r="I705">
        <v>212</v>
      </c>
      <c r="J705">
        <v>14</v>
      </c>
      <c r="K705">
        <v>4.2</v>
      </c>
      <c r="L705">
        <v>58013.760000000002</v>
      </c>
      <c r="M705">
        <v>4.7</v>
      </c>
      <c r="N705">
        <v>122.2</v>
      </c>
      <c r="O705">
        <v>276</v>
      </c>
      <c r="P705" s="5">
        <v>46095</v>
      </c>
      <c r="Q705" s="5">
        <v>46096</v>
      </c>
      <c r="R705" t="s">
        <v>25</v>
      </c>
      <c r="S705" t="s">
        <v>51</v>
      </c>
    </row>
    <row r="706" spans="1:19" x14ac:dyDescent="0.25">
      <c r="A706" t="s">
        <v>800</v>
      </c>
      <c r="B706" s="5">
        <v>46068</v>
      </c>
      <c r="C706" t="s">
        <v>43</v>
      </c>
      <c r="D706" t="s">
        <v>44</v>
      </c>
      <c r="E706" t="s">
        <v>93</v>
      </c>
      <c r="F706" t="s">
        <v>61</v>
      </c>
      <c r="G706" t="s">
        <v>24</v>
      </c>
      <c r="H706">
        <v>187</v>
      </c>
      <c r="I706">
        <v>201</v>
      </c>
      <c r="J706">
        <v>3</v>
      </c>
      <c r="K706">
        <v>4</v>
      </c>
      <c r="L706">
        <v>24139.279999999999</v>
      </c>
      <c r="M706">
        <v>7.76</v>
      </c>
      <c r="N706">
        <v>170.72</v>
      </c>
      <c r="O706">
        <v>196</v>
      </c>
      <c r="P706" s="5">
        <v>46080</v>
      </c>
      <c r="Q706" s="5">
        <v>46078</v>
      </c>
      <c r="R706" t="s">
        <v>25</v>
      </c>
      <c r="S706" t="s">
        <v>86</v>
      </c>
    </row>
    <row r="707" spans="1:19" x14ac:dyDescent="0.25">
      <c r="A707" t="s">
        <v>801</v>
      </c>
      <c r="B707" s="5">
        <v>46066</v>
      </c>
      <c r="C707" t="s">
        <v>48</v>
      </c>
      <c r="D707" t="s">
        <v>49</v>
      </c>
      <c r="E707" t="s">
        <v>60</v>
      </c>
      <c r="F707" t="s">
        <v>74</v>
      </c>
      <c r="G707" t="s">
        <v>57</v>
      </c>
      <c r="H707">
        <v>83</v>
      </c>
      <c r="I707">
        <v>93</v>
      </c>
      <c r="J707">
        <v>3</v>
      </c>
      <c r="K707">
        <v>7.5</v>
      </c>
      <c r="L707">
        <v>17439.48</v>
      </c>
      <c r="M707">
        <v>3.52</v>
      </c>
      <c r="N707">
        <v>91.52</v>
      </c>
      <c r="O707">
        <v>87</v>
      </c>
      <c r="P707" s="5">
        <v>46072</v>
      </c>
      <c r="Q707" s="5">
        <v>46071</v>
      </c>
      <c r="R707" t="s">
        <v>25</v>
      </c>
      <c r="S707" t="s">
        <v>86</v>
      </c>
    </row>
    <row r="708" spans="1:19" x14ac:dyDescent="0.25">
      <c r="A708" t="s">
        <v>802</v>
      </c>
      <c r="B708" s="5">
        <v>46178</v>
      </c>
      <c r="C708" t="s">
        <v>28</v>
      </c>
      <c r="D708" t="s">
        <v>29</v>
      </c>
      <c r="E708" t="s">
        <v>30</v>
      </c>
      <c r="F708" t="s">
        <v>67</v>
      </c>
      <c r="G708" t="s">
        <v>32</v>
      </c>
      <c r="H708">
        <v>209</v>
      </c>
      <c r="I708">
        <v>187</v>
      </c>
      <c r="J708">
        <v>11</v>
      </c>
      <c r="K708">
        <v>7.6</v>
      </c>
      <c r="L708">
        <v>47032.01</v>
      </c>
      <c r="M708">
        <v>5.88</v>
      </c>
      <c r="N708">
        <v>105.84</v>
      </c>
      <c r="O708">
        <v>256</v>
      </c>
      <c r="P708" s="5">
        <v>46187</v>
      </c>
      <c r="Q708" s="5">
        <v>46186</v>
      </c>
      <c r="R708" t="s">
        <v>39</v>
      </c>
      <c r="S708" t="s">
        <v>33</v>
      </c>
    </row>
    <row r="709" spans="1:19" x14ac:dyDescent="0.25">
      <c r="A709" t="s">
        <v>803</v>
      </c>
      <c r="B709" s="5">
        <v>46052</v>
      </c>
      <c r="C709" t="s">
        <v>20</v>
      </c>
      <c r="D709" t="s">
        <v>21</v>
      </c>
      <c r="E709" t="s">
        <v>22</v>
      </c>
      <c r="F709" t="s">
        <v>61</v>
      </c>
      <c r="G709" t="s">
        <v>24</v>
      </c>
      <c r="H709">
        <v>266</v>
      </c>
      <c r="I709">
        <v>201</v>
      </c>
      <c r="J709">
        <v>6</v>
      </c>
      <c r="K709">
        <v>5.6</v>
      </c>
      <c r="L709">
        <v>49081.279999999999</v>
      </c>
      <c r="M709">
        <v>3.67</v>
      </c>
      <c r="N709">
        <v>80.739999999999995</v>
      </c>
      <c r="O709">
        <v>343</v>
      </c>
      <c r="P709" s="5">
        <v>46055</v>
      </c>
      <c r="Q709" s="5">
        <v>46055</v>
      </c>
      <c r="R709" t="s">
        <v>25</v>
      </c>
      <c r="S709" t="s">
        <v>51</v>
      </c>
    </row>
    <row r="710" spans="1:19" x14ac:dyDescent="0.25">
      <c r="A710" t="s">
        <v>804</v>
      </c>
      <c r="B710" s="5">
        <v>46056</v>
      </c>
      <c r="C710" t="s">
        <v>59</v>
      </c>
      <c r="D710" t="s">
        <v>49</v>
      </c>
      <c r="E710" t="s">
        <v>50</v>
      </c>
      <c r="F710" t="s">
        <v>122</v>
      </c>
      <c r="G710" t="s">
        <v>57</v>
      </c>
      <c r="H710">
        <v>177</v>
      </c>
      <c r="I710">
        <v>181</v>
      </c>
      <c r="J710">
        <v>3</v>
      </c>
      <c r="K710">
        <v>1.3</v>
      </c>
      <c r="L710">
        <v>27343.38</v>
      </c>
      <c r="M710">
        <v>4.08</v>
      </c>
      <c r="N710">
        <v>81.599999999999994</v>
      </c>
      <c r="O710">
        <v>182</v>
      </c>
      <c r="P710" s="5">
        <v>46062</v>
      </c>
      <c r="Q710" s="5">
        <v>46062</v>
      </c>
      <c r="R710" t="s">
        <v>100</v>
      </c>
      <c r="S710" t="s">
        <v>72</v>
      </c>
    </row>
    <row r="711" spans="1:19" x14ac:dyDescent="0.25">
      <c r="A711" t="s">
        <v>805</v>
      </c>
      <c r="B711" s="5">
        <v>46113</v>
      </c>
      <c r="C711" t="s">
        <v>48</v>
      </c>
      <c r="D711" t="s">
        <v>49</v>
      </c>
      <c r="E711" t="s">
        <v>76</v>
      </c>
      <c r="F711" t="s">
        <v>91</v>
      </c>
      <c r="G711" t="s">
        <v>24</v>
      </c>
      <c r="H711">
        <v>277</v>
      </c>
      <c r="I711">
        <v>275</v>
      </c>
      <c r="J711">
        <v>12</v>
      </c>
      <c r="K711">
        <v>5.7</v>
      </c>
      <c r="L711">
        <v>53939.02</v>
      </c>
      <c r="M711">
        <v>10.46</v>
      </c>
      <c r="N711">
        <v>251.04</v>
      </c>
      <c r="O711">
        <v>276</v>
      </c>
      <c r="P711" s="5">
        <v>46123</v>
      </c>
      <c r="Q711" s="5">
        <v>46123</v>
      </c>
      <c r="R711" t="s">
        <v>100</v>
      </c>
      <c r="S711" t="s">
        <v>86</v>
      </c>
    </row>
    <row r="712" spans="1:19" x14ac:dyDescent="0.25">
      <c r="A712" t="s">
        <v>806</v>
      </c>
      <c r="B712" s="5">
        <v>46076</v>
      </c>
      <c r="C712" t="s">
        <v>48</v>
      </c>
      <c r="D712" t="s">
        <v>49</v>
      </c>
      <c r="E712" t="s">
        <v>60</v>
      </c>
      <c r="F712" t="s">
        <v>170</v>
      </c>
      <c r="G712" t="s">
        <v>32</v>
      </c>
      <c r="H712">
        <v>208</v>
      </c>
      <c r="I712">
        <v>199</v>
      </c>
      <c r="J712">
        <v>14</v>
      </c>
      <c r="K712">
        <v>2.4</v>
      </c>
      <c r="L712">
        <v>36897.760000000002</v>
      </c>
      <c r="M712">
        <v>4.62</v>
      </c>
      <c r="N712">
        <v>101.64</v>
      </c>
      <c r="O712">
        <v>176</v>
      </c>
      <c r="P712" s="5">
        <v>46079</v>
      </c>
      <c r="Q712" s="5">
        <v>46079</v>
      </c>
      <c r="R712" t="s">
        <v>100</v>
      </c>
      <c r="S712" t="s">
        <v>26</v>
      </c>
    </row>
    <row r="713" spans="1:19" x14ac:dyDescent="0.25">
      <c r="A713" t="s">
        <v>807</v>
      </c>
      <c r="B713" s="5">
        <v>46105</v>
      </c>
      <c r="C713" t="s">
        <v>48</v>
      </c>
      <c r="D713" t="s">
        <v>49</v>
      </c>
      <c r="E713" t="s">
        <v>60</v>
      </c>
      <c r="F713" t="s">
        <v>110</v>
      </c>
      <c r="G713" t="s">
        <v>57</v>
      </c>
      <c r="H713">
        <v>176</v>
      </c>
      <c r="I713">
        <v>176</v>
      </c>
      <c r="J713">
        <v>15</v>
      </c>
      <c r="K713">
        <v>2.9</v>
      </c>
      <c r="L713">
        <v>29052.75</v>
      </c>
      <c r="M713">
        <v>6.97</v>
      </c>
      <c r="N713">
        <v>139.4</v>
      </c>
      <c r="O713">
        <v>243</v>
      </c>
      <c r="P713" s="5">
        <v>46114</v>
      </c>
      <c r="Q713" s="5">
        <v>46115</v>
      </c>
      <c r="R713" t="s">
        <v>25</v>
      </c>
      <c r="S713" t="s">
        <v>51</v>
      </c>
    </row>
    <row r="714" spans="1:19" x14ac:dyDescent="0.25">
      <c r="A714" t="s">
        <v>808</v>
      </c>
      <c r="B714" s="5">
        <v>46114</v>
      </c>
      <c r="C714" t="s">
        <v>59</v>
      </c>
      <c r="D714" t="s">
        <v>49</v>
      </c>
      <c r="E714" t="s">
        <v>50</v>
      </c>
      <c r="F714" t="s">
        <v>104</v>
      </c>
      <c r="G714" t="s">
        <v>32</v>
      </c>
      <c r="H714">
        <v>199</v>
      </c>
      <c r="I714">
        <v>190</v>
      </c>
      <c r="J714">
        <v>13</v>
      </c>
      <c r="K714">
        <v>4</v>
      </c>
      <c r="L714">
        <v>35437.68</v>
      </c>
      <c r="M714">
        <v>6.59</v>
      </c>
      <c r="N714">
        <v>158.16</v>
      </c>
      <c r="O714">
        <v>280</v>
      </c>
      <c r="P714" s="5">
        <v>46119</v>
      </c>
      <c r="Q714" s="5">
        <v>46119</v>
      </c>
      <c r="R714" t="s">
        <v>25</v>
      </c>
      <c r="S714" t="s">
        <v>72</v>
      </c>
    </row>
    <row r="715" spans="1:19" x14ac:dyDescent="0.25">
      <c r="A715" t="s">
        <v>809</v>
      </c>
      <c r="B715" s="5">
        <v>46196</v>
      </c>
      <c r="C715" t="s">
        <v>35</v>
      </c>
      <c r="D715" t="s">
        <v>36</v>
      </c>
      <c r="E715" t="s">
        <v>69</v>
      </c>
      <c r="F715" t="s">
        <v>85</v>
      </c>
      <c r="G715" t="s">
        <v>57</v>
      </c>
      <c r="H715">
        <v>90</v>
      </c>
      <c r="I715">
        <v>102</v>
      </c>
      <c r="J715">
        <v>8</v>
      </c>
      <c r="K715">
        <v>6.9</v>
      </c>
      <c r="L715">
        <v>10767</v>
      </c>
      <c r="M715">
        <v>2.87</v>
      </c>
      <c r="N715">
        <v>63.14</v>
      </c>
      <c r="O715">
        <v>152</v>
      </c>
      <c r="P715" s="5">
        <v>46207</v>
      </c>
      <c r="Q715" s="5">
        <v>46205</v>
      </c>
      <c r="R715" t="s">
        <v>25</v>
      </c>
      <c r="S715" t="s">
        <v>86</v>
      </c>
    </row>
    <row r="716" spans="1:19" x14ac:dyDescent="0.25">
      <c r="A716" t="s">
        <v>810</v>
      </c>
      <c r="B716" s="5">
        <v>46175</v>
      </c>
      <c r="C716" t="s">
        <v>28</v>
      </c>
      <c r="D716" t="s">
        <v>29</v>
      </c>
      <c r="E716" t="s">
        <v>30</v>
      </c>
      <c r="F716" t="s">
        <v>74</v>
      </c>
      <c r="G716" t="s">
        <v>57</v>
      </c>
      <c r="H716">
        <v>272</v>
      </c>
      <c r="I716">
        <v>212</v>
      </c>
      <c r="J716">
        <v>13</v>
      </c>
      <c r="K716">
        <v>7.1</v>
      </c>
      <c r="L716">
        <v>36217.78</v>
      </c>
      <c r="M716">
        <v>7.85</v>
      </c>
      <c r="N716">
        <v>157</v>
      </c>
      <c r="O716">
        <v>320</v>
      </c>
      <c r="P716" s="5">
        <v>46184</v>
      </c>
      <c r="Q716" s="5">
        <v>46186</v>
      </c>
      <c r="R716" t="s">
        <v>25</v>
      </c>
      <c r="S716" t="s">
        <v>51</v>
      </c>
    </row>
    <row r="717" spans="1:19" x14ac:dyDescent="0.25">
      <c r="A717" t="s">
        <v>811</v>
      </c>
      <c r="B717" s="5">
        <v>46074</v>
      </c>
      <c r="C717" t="s">
        <v>43</v>
      </c>
      <c r="D717" t="s">
        <v>44</v>
      </c>
      <c r="E717" t="s">
        <v>161</v>
      </c>
      <c r="F717" t="s">
        <v>71</v>
      </c>
      <c r="G717" t="s">
        <v>32</v>
      </c>
      <c r="H717">
        <v>158</v>
      </c>
      <c r="I717">
        <v>119</v>
      </c>
      <c r="J717">
        <v>3</v>
      </c>
      <c r="K717">
        <v>1.8</v>
      </c>
      <c r="L717">
        <v>11102.59</v>
      </c>
      <c r="M717">
        <v>4.0999999999999996</v>
      </c>
      <c r="N717">
        <v>90.2</v>
      </c>
      <c r="O717">
        <v>119</v>
      </c>
      <c r="P717" s="5">
        <v>46083</v>
      </c>
      <c r="Q717" s="5">
        <v>46083</v>
      </c>
      <c r="R717" t="s">
        <v>25</v>
      </c>
      <c r="S717" t="s">
        <v>26</v>
      </c>
    </row>
    <row r="718" spans="1:19" x14ac:dyDescent="0.25">
      <c r="A718" t="s">
        <v>812</v>
      </c>
      <c r="B718" s="5">
        <v>46198</v>
      </c>
      <c r="C718" t="s">
        <v>35</v>
      </c>
      <c r="D718" t="s">
        <v>36</v>
      </c>
      <c r="E718" t="s">
        <v>37</v>
      </c>
      <c r="F718" t="s">
        <v>61</v>
      </c>
      <c r="G718" t="s">
        <v>24</v>
      </c>
      <c r="H718">
        <v>313</v>
      </c>
      <c r="I718">
        <v>288</v>
      </c>
      <c r="J718">
        <v>11</v>
      </c>
      <c r="K718">
        <v>4.2</v>
      </c>
      <c r="L718">
        <v>26747.599999999999</v>
      </c>
      <c r="M718">
        <v>7.86</v>
      </c>
      <c r="N718">
        <v>172.92</v>
      </c>
      <c r="O718">
        <v>307</v>
      </c>
      <c r="P718" s="5">
        <v>46206</v>
      </c>
      <c r="Q718" s="5">
        <v>46207</v>
      </c>
      <c r="R718" t="s">
        <v>25</v>
      </c>
      <c r="S718" t="s">
        <v>72</v>
      </c>
    </row>
    <row r="719" spans="1:19" x14ac:dyDescent="0.25">
      <c r="A719" t="s">
        <v>813</v>
      </c>
      <c r="B719" s="5">
        <v>46175</v>
      </c>
      <c r="C719" t="s">
        <v>35</v>
      </c>
      <c r="D719" t="s">
        <v>36</v>
      </c>
      <c r="E719" t="s">
        <v>37</v>
      </c>
      <c r="F719" t="s">
        <v>104</v>
      </c>
      <c r="G719" t="s">
        <v>32</v>
      </c>
      <c r="H719">
        <v>168</v>
      </c>
      <c r="I719">
        <v>156</v>
      </c>
      <c r="J719">
        <v>11</v>
      </c>
      <c r="K719">
        <v>5.3</v>
      </c>
      <c r="L719">
        <v>13300.1</v>
      </c>
      <c r="M719">
        <v>5.68</v>
      </c>
      <c r="N719">
        <v>124.96</v>
      </c>
      <c r="O719">
        <v>220</v>
      </c>
      <c r="P719" s="5">
        <v>46182</v>
      </c>
      <c r="Q719" s="5">
        <v>46180</v>
      </c>
      <c r="R719" t="s">
        <v>39</v>
      </c>
      <c r="S719" t="s">
        <v>33</v>
      </c>
    </row>
    <row r="720" spans="1:19" x14ac:dyDescent="0.25">
      <c r="A720" t="s">
        <v>814</v>
      </c>
      <c r="B720" s="5">
        <v>46188</v>
      </c>
      <c r="C720" t="s">
        <v>28</v>
      </c>
      <c r="D720" t="s">
        <v>29</v>
      </c>
      <c r="E720" t="s">
        <v>63</v>
      </c>
      <c r="F720" t="s">
        <v>122</v>
      </c>
      <c r="G720" t="s">
        <v>32</v>
      </c>
      <c r="H720">
        <v>207</v>
      </c>
      <c r="I720">
        <v>165</v>
      </c>
      <c r="J720">
        <v>3</v>
      </c>
      <c r="K720">
        <v>3.9</v>
      </c>
      <c r="L720">
        <v>37006.49</v>
      </c>
      <c r="M720">
        <v>4.66</v>
      </c>
      <c r="N720">
        <v>102.52</v>
      </c>
      <c r="O720">
        <v>246</v>
      </c>
      <c r="P720" s="5">
        <v>46196</v>
      </c>
      <c r="Q720" s="5">
        <v>46200</v>
      </c>
      <c r="R720" t="s">
        <v>25</v>
      </c>
      <c r="S720" t="s">
        <v>51</v>
      </c>
    </row>
    <row r="721" spans="1:19" x14ac:dyDescent="0.25">
      <c r="A721" t="s">
        <v>815</v>
      </c>
      <c r="B721" s="5">
        <v>46064</v>
      </c>
      <c r="C721" t="s">
        <v>35</v>
      </c>
      <c r="D721" t="s">
        <v>36</v>
      </c>
      <c r="E721" t="s">
        <v>37</v>
      </c>
      <c r="F721" t="s">
        <v>135</v>
      </c>
      <c r="G721" t="s">
        <v>32</v>
      </c>
      <c r="H721">
        <v>199</v>
      </c>
      <c r="I721">
        <v>212</v>
      </c>
      <c r="J721">
        <v>7</v>
      </c>
      <c r="K721">
        <v>6.6</v>
      </c>
      <c r="L721">
        <v>20088</v>
      </c>
      <c r="M721">
        <v>7.92</v>
      </c>
      <c r="N721">
        <v>158.4</v>
      </c>
      <c r="O721">
        <v>240</v>
      </c>
      <c r="P721" s="5">
        <v>46068</v>
      </c>
      <c r="Q721" s="5">
        <v>46070</v>
      </c>
      <c r="R721" t="s">
        <v>100</v>
      </c>
      <c r="S721" t="s">
        <v>72</v>
      </c>
    </row>
    <row r="722" spans="1:19" x14ac:dyDescent="0.25">
      <c r="A722" t="s">
        <v>816</v>
      </c>
      <c r="B722" s="5">
        <v>46131</v>
      </c>
      <c r="C722" t="s">
        <v>80</v>
      </c>
      <c r="D722" t="s">
        <v>21</v>
      </c>
      <c r="E722" t="s">
        <v>90</v>
      </c>
      <c r="F722" t="s">
        <v>83</v>
      </c>
      <c r="G722" t="s">
        <v>57</v>
      </c>
      <c r="H722">
        <v>188</v>
      </c>
      <c r="I722">
        <v>156</v>
      </c>
      <c r="J722">
        <v>9</v>
      </c>
      <c r="K722">
        <v>5.4</v>
      </c>
      <c r="L722">
        <v>45520.57</v>
      </c>
      <c r="M722">
        <v>4.2</v>
      </c>
      <c r="N722">
        <v>100.8</v>
      </c>
      <c r="O722">
        <v>233</v>
      </c>
      <c r="P722" s="5">
        <v>46141</v>
      </c>
      <c r="Q722" s="5">
        <v>46142</v>
      </c>
      <c r="R722" t="s">
        <v>25</v>
      </c>
      <c r="S722" t="s">
        <v>72</v>
      </c>
    </row>
    <row r="723" spans="1:19" x14ac:dyDescent="0.25">
      <c r="A723" t="s">
        <v>817</v>
      </c>
      <c r="B723" s="5">
        <v>46159</v>
      </c>
      <c r="C723" t="s">
        <v>35</v>
      </c>
      <c r="D723" t="s">
        <v>36</v>
      </c>
      <c r="E723" t="s">
        <v>37</v>
      </c>
      <c r="F723" t="s">
        <v>64</v>
      </c>
      <c r="G723" t="s">
        <v>57</v>
      </c>
      <c r="H723">
        <v>118</v>
      </c>
      <c r="I723">
        <v>85</v>
      </c>
      <c r="J723">
        <v>7</v>
      </c>
      <c r="K723">
        <v>6.4</v>
      </c>
      <c r="L723">
        <v>7172.57</v>
      </c>
      <c r="M723">
        <v>2.78</v>
      </c>
      <c r="N723">
        <v>66.72</v>
      </c>
      <c r="O723">
        <v>189</v>
      </c>
      <c r="P723" s="5">
        <v>46161</v>
      </c>
      <c r="Q723" s="5">
        <v>46165</v>
      </c>
      <c r="R723" t="s">
        <v>25</v>
      </c>
      <c r="S723" t="s">
        <v>72</v>
      </c>
    </row>
    <row r="724" spans="1:19" x14ac:dyDescent="0.25">
      <c r="A724" t="s">
        <v>818</v>
      </c>
      <c r="B724" s="5">
        <v>46140</v>
      </c>
      <c r="C724" t="s">
        <v>48</v>
      </c>
      <c r="D724" t="s">
        <v>49</v>
      </c>
      <c r="E724" t="s">
        <v>50</v>
      </c>
      <c r="F724" t="s">
        <v>135</v>
      </c>
      <c r="G724" t="s">
        <v>32</v>
      </c>
      <c r="H724">
        <v>307</v>
      </c>
      <c r="I724">
        <v>300</v>
      </c>
      <c r="J724">
        <v>11</v>
      </c>
      <c r="K724">
        <v>3.8</v>
      </c>
      <c r="L724">
        <v>68344.63</v>
      </c>
      <c r="M724">
        <v>5.57</v>
      </c>
      <c r="N724">
        <v>122.54</v>
      </c>
      <c r="O724">
        <v>312</v>
      </c>
      <c r="P724" s="5">
        <v>46146</v>
      </c>
      <c r="Q724" s="5">
        <v>46147</v>
      </c>
      <c r="R724" t="s">
        <v>100</v>
      </c>
      <c r="S724" t="s">
        <v>86</v>
      </c>
    </row>
    <row r="725" spans="1:19" x14ac:dyDescent="0.25">
      <c r="A725" t="s">
        <v>819</v>
      </c>
      <c r="B725" s="5">
        <v>46099</v>
      </c>
      <c r="C725" t="s">
        <v>80</v>
      </c>
      <c r="D725" t="s">
        <v>21</v>
      </c>
      <c r="E725" t="s">
        <v>66</v>
      </c>
      <c r="F725" t="s">
        <v>74</v>
      </c>
      <c r="G725" t="s">
        <v>24</v>
      </c>
      <c r="H725">
        <v>108</v>
      </c>
      <c r="I725">
        <v>94</v>
      </c>
      <c r="J725">
        <v>0</v>
      </c>
      <c r="K725">
        <v>6.6</v>
      </c>
      <c r="L725">
        <v>20262.05</v>
      </c>
      <c r="M725">
        <v>1.91</v>
      </c>
      <c r="N725">
        <v>38.200000000000003</v>
      </c>
      <c r="O725">
        <v>194</v>
      </c>
      <c r="P725" s="5">
        <v>46107</v>
      </c>
      <c r="Q725" s="5">
        <v>46107</v>
      </c>
      <c r="R725" t="s">
        <v>25</v>
      </c>
      <c r="S725" t="s">
        <v>26</v>
      </c>
    </row>
    <row r="726" spans="1:19" x14ac:dyDescent="0.25">
      <c r="A726" t="s">
        <v>820</v>
      </c>
      <c r="B726" s="5">
        <v>46085</v>
      </c>
      <c r="C726" t="s">
        <v>53</v>
      </c>
      <c r="D726" t="s">
        <v>54</v>
      </c>
      <c r="E726" t="s">
        <v>55</v>
      </c>
      <c r="F726" t="s">
        <v>46</v>
      </c>
      <c r="G726" t="s">
        <v>57</v>
      </c>
      <c r="H726">
        <v>99</v>
      </c>
      <c r="I726">
        <v>85</v>
      </c>
      <c r="J726">
        <v>0</v>
      </c>
      <c r="K726">
        <v>5.5</v>
      </c>
      <c r="L726">
        <v>14220.66</v>
      </c>
      <c r="M726">
        <v>1.74</v>
      </c>
      <c r="N726">
        <v>45.24</v>
      </c>
      <c r="O726">
        <v>79</v>
      </c>
      <c r="P726" s="5">
        <v>46092</v>
      </c>
      <c r="Q726" s="5">
        <v>46092</v>
      </c>
      <c r="R726" t="s">
        <v>100</v>
      </c>
      <c r="S726" t="s">
        <v>51</v>
      </c>
    </row>
    <row r="727" spans="1:19" x14ac:dyDescent="0.25">
      <c r="A727" t="s">
        <v>821</v>
      </c>
      <c r="B727" s="5">
        <v>46088</v>
      </c>
      <c r="C727" t="s">
        <v>20</v>
      </c>
      <c r="D727" t="s">
        <v>21</v>
      </c>
      <c r="E727" t="s">
        <v>90</v>
      </c>
      <c r="F727" t="s">
        <v>197</v>
      </c>
      <c r="G727" t="s">
        <v>32</v>
      </c>
      <c r="H727">
        <v>109</v>
      </c>
      <c r="I727">
        <v>115</v>
      </c>
      <c r="J727">
        <v>6</v>
      </c>
      <c r="K727">
        <v>9</v>
      </c>
      <c r="L727">
        <v>39199.06</v>
      </c>
      <c r="M727">
        <v>4.26</v>
      </c>
      <c r="N727">
        <v>76.680000000000007</v>
      </c>
      <c r="O727">
        <v>164</v>
      </c>
      <c r="P727" s="5">
        <v>46099</v>
      </c>
      <c r="Q727" s="5">
        <v>46103</v>
      </c>
      <c r="R727" t="s">
        <v>25</v>
      </c>
      <c r="S727" t="s">
        <v>86</v>
      </c>
    </row>
    <row r="728" spans="1:19" x14ac:dyDescent="0.25">
      <c r="A728" t="s">
        <v>822</v>
      </c>
      <c r="B728" s="5">
        <v>46199</v>
      </c>
      <c r="C728" t="s">
        <v>43</v>
      </c>
      <c r="D728" t="s">
        <v>44</v>
      </c>
      <c r="E728" t="s">
        <v>161</v>
      </c>
      <c r="F728" t="s">
        <v>122</v>
      </c>
      <c r="G728" t="s">
        <v>32</v>
      </c>
      <c r="H728">
        <v>208</v>
      </c>
      <c r="I728">
        <v>209</v>
      </c>
      <c r="J728">
        <v>12</v>
      </c>
      <c r="K728">
        <v>8.1999999999999993</v>
      </c>
      <c r="L728">
        <v>24537.38</v>
      </c>
      <c r="M728">
        <v>5.8</v>
      </c>
      <c r="N728">
        <v>104.4</v>
      </c>
      <c r="O728">
        <v>274</v>
      </c>
      <c r="P728" s="5">
        <v>46211</v>
      </c>
      <c r="Q728" s="5">
        <v>46211</v>
      </c>
      <c r="R728" t="s">
        <v>25</v>
      </c>
      <c r="S728" t="s">
        <v>26</v>
      </c>
    </row>
    <row r="729" spans="1:19" x14ac:dyDescent="0.25">
      <c r="A729" t="s">
        <v>823</v>
      </c>
      <c r="B729" s="5">
        <v>46185</v>
      </c>
      <c r="C729" t="s">
        <v>48</v>
      </c>
      <c r="D729" t="s">
        <v>49</v>
      </c>
      <c r="E729" t="s">
        <v>50</v>
      </c>
      <c r="F729" t="s">
        <v>46</v>
      </c>
      <c r="G729" t="s">
        <v>32</v>
      </c>
      <c r="H729">
        <v>136</v>
      </c>
      <c r="I729">
        <v>111</v>
      </c>
      <c r="J729">
        <v>7</v>
      </c>
      <c r="K729">
        <v>2</v>
      </c>
      <c r="L729">
        <v>24503.69</v>
      </c>
      <c r="M729">
        <v>3.62</v>
      </c>
      <c r="N729">
        <v>86.88</v>
      </c>
      <c r="O729">
        <v>203</v>
      </c>
      <c r="P729" s="5">
        <v>46197</v>
      </c>
      <c r="Q729" s="5">
        <v>46198</v>
      </c>
      <c r="R729" t="s">
        <v>39</v>
      </c>
      <c r="S729" t="s">
        <v>26</v>
      </c>
    </row>
    <row r="730" spans="1:19" x14ac:dyDescent="0.25">
      <c r="A730" t="s">
        <v>824</v>
      </c>
      <c r="B730" s="5">
        <v>46026</v>
      </c>
      <c r="C730" t="s">
        <v>48</v>
      </c>
      <c r="D730" t="s">
        <v>49</v>
      </c>
      <c r="E730" t="s">
        <v>76</v>
      </c>
      <c r="F730" t="s">
        <v>88</v>
      </c>
      <c r="G730" t="s">
        <v>24</v>
      </c>
      <c r="H730">
        <v>161</v>
      </c>
      <c r="I730">
        <v>139</v>
      </c>
      <c r="J730">
        <v>6</v>
      </c>
      <c r="K730">
        <v>4.2</v>
      </c>
      <c r="L730">
        <v>27889.49</v>
      </c>
      <c r="M730">
        <v>4.83</v>
      </c>
      <c r="N730">
        <v>115.92</v>
      </c>
      <c r="O730">
        <v>186</v>
      </c>
      <c r="P730" s="5">
        <v>46034</v>
      </c>
      <c r="Q730" s="5">
        <v>46032</v>
      </c>
      <c r="R730" t="s">
        <v>39</v>
      </c>
      <c r="S730" t="s">
        <v>72</v>
      </c>
    </row>
    <row r="731" spans="1:19" x14ac:dyDescent="0.25">
      <c r="A731" t="s">
        <v>825</v>
      </c>
      <c r="B731" s="5">
        <v>46166</v>
      </c>
      <c r="C731" t="s">
        <v>48</v>
      </c>
      <c r="D731" t="s">
        <v>49</v>
      </c>
      <c r="E731" t="s">
        <v>50</v>
      </c>
      <c r="F731" t="s">
        <v>77</v>
      </c>
      <c r="G731" t="s">
        <v>32</v>
      </c>
      <c r="H731">
        <v>133</v>
      </c>
      <c r="I731">
        <v>138</v>
      </c>
      <c r="J731">
        <v>7</v>
      </c>
      <c r="K731">
        <v>2.7</v>
      </c>
      <c r="L731">
        <v>29705.5</v>
      </c>
      <c r="M731">
        <v>4.03</v>
      </c>
      <c r="N731">
        <v>80.599999999999994</v>
      </c>
      <c r="O731">
        <v>135</v>
      </c>
      <c r="P731" s="5">
        <v>46177</v>
      </c>
      <c r="Q731" s="5">
        <v>46178</v>
      </c>
      <c r="R731" t="s">
        <v>39</v>
      </c>
      <c r="S731" t="s">
        <v>33</v>
      </c>
    </row>
    <row r="732" spans="1:19" x14ac:dyDescent="0.25">
      <c r="A732" t="s">
        <v>826</v>
      </c>
      <c r="B732" s="5">
        <v>46095</v>
      </c>
      <c r="C732" t="s">
        <v>53</v>
      </c>
      <c r="D732" t="s">
        <v>54</v>
      </c>
      <c r="E732" t="s">
        <v>55</v>
      </c>
      <c r="F732" t="s">
        <v>137</v>
      </c>
      <c r="G732" t="s">
        <v>32</v>
      </c>
      <c r="H732">
        <v>176</v>
      </c>
      <c r="I732">
        <v>196</v>
      </c>
      <c r="J732">
        <v>3</v>
      </c>
      <c r="K732">
        <v>5.5</v>
      </c>
      <c r="L732">
        <v>28126.81</v>
      </c>
      <c r="M732">
        <v>4.55</v>
      </c>
      <c r="N732">
        <v>81.900000000000006</v>
      </c>
      <c r="O732">
        <v>210</v>
      </c>
      <c r="P732" s="5">
        <v>46099</v>
      </c>
      <c r="Q732" s="5">
        <v>46099</v>
      </c>
      <c r="R732" t="s">
        <v>100</v>
      </c>
      <c r="S732" t="s">
        <v>86</v>
      </c>
    </row>
    <row r="733" spans="1:19" x14ac:dyDescent="0.25">
      <c r="A733" t="s">
        <v>827</v>
      </c>
      <c r="B733" s="5">
        <v>46078</v>
      </c>
      <c r="C733" t="s">
        <v>35</v>
      </c>
      <c r="D733" t="s">
        <v>36</v>
      </c>
      <c r="E733" t="s">
        <v>69</v>
      </c>
      <c r="F733" t="s">
        <v>56</v>
      </c>
      <c r="G733" t="s">
        <v>32</v>
      </c>
      <c r="H733">
        <v>161</v>
      </c>
      <c r="I733">
        <v>169</v>
      </c>
      <c r="J733">
        <v>10</v>
      </c>
      <c r="K733">
        <v>6</v>
      </c>
      <c r="L733">
        <v>17199.22</v>
      </c>
      <c r="M733">
        <v>5.62</v>
      </c>
      <c r="N733">
        <v>146.12</v>
      </c>
      <c r="O733">
        <v>258</v>
      </c>
      <c r="P733" s="5">
        <v>46088</v>
      </c>
      <c r="Q733" s="5">
        <v>46090</v>
      </c>
      <c r="R733" t="s">
        <v>25</v>
      </c>
      <c r="S733" t="s">
        <v>72</v>
      </c>
    </row>
    <row r="734" spans="1:19" x14ac:dyDescent="0.25">
      <c r="A734" t="s">
        <v>828</v>
      </c>
      <c r="B734" s="5">
        <v>46141</v>
      </c>
      <c r="C734" t="s">
        <v>59</v>
      </c>
      <c r="D734" t="s">
        <v>49</v>
      </c>
      <c r="E734" t="s">
        <v>76</v>
      </c>
      <c r="F734" t="s">
        <v>77</v>
      </c>
      <c r="G734" t="s">
        <v>57</v>
      </c>
      <c r="H734">
        <v>120</v>
      </c>
      <c r="I734">
        <v>134</v>
      </c>
      <c r="J734">
        <v>2</v>
      </c>
      <c r="K734">
        <v>2.6</v>
      </c>
      <c r="L734">
        <v>22623.13</v>
      </c>
      <c r="M734">
        <v>3.9</v>
      </c>
      <c r="N734">
        <v>78</v>
      </c>
      <c r="O734">
        <v>105</v>
      </c>
      <c r="P734" s="5">
        <v>46149</v>
      </c>
      <c r="Q734" s="5">
        <v>46151</v>
      </c>
      <c r="R734" t="s">
        <v>100</v>
      </c>
      <c r="S734" t="s">
        <v>33</v>
      </c>
    </row>
    <row r="735" spans="1:19" x14ac:dyDescent="0.25">
      <c r="A735" t="s">
        <v>829</v>
      </c>
      <c r="B735" s="5">
        <v>46181</v>
      </c>
      <c r="C735" t="s">
        <v>28</v>
      </c>
      <c r="D735" t="s">
        <v>29</v>
      </c>
      <c r="E735" t="s">
        <v>63</v>
      </c>
      <c r="F735" t="s">
        <v>91</v>
      </c>
      <c r="G735" t="s">
        <v>57</v>
      </c>
      <c r="H735">
        <v>236</v>
      </c>
      <c r="I735">
        <v>232</v>
      </c>
      <c r="J735">
        <v>22</v>
      </c>
      <c r="K735">
        <v>5.4</v>
      </c>
      <c r="L735">
        <v>64321.38</v>
      </c>
      <c r="M735">
        <v>5.99</v>
      </c>
      <c r="N735">
        <v>119.8</v>
      </c>
      <c r="O735">
        <v>238</v>
      </c>
      <c r="P735" s="5">
        <v>46192</v>
      </c>
      <c r="Q735" s="5">
        <v>46196</v>
      </c>
      <c r="R735" t="s">
        <v>25</v>
      </c>
      <c r="S735" t="s">
        <v>26</v>
      </c>
    </row>
    <row r="736" spans="1:19" x14ac:dyDescent="0.25">
      <c r="A736" t="s">
        <v>830</v>
      </c>
      <c r="B736" s="5">
        <v>46190</v>
      </c>
      <c r="C736" t="s">
        <v>35</v>
      </c>
      <c r="D736" t="s">
        <v>36</v>
      </c>
      <c r="E736" t="s">
        <v>37</v>
      </c>
      <c r="F736" t="s">
        <v>38</v>
      </c>
      <c r="G736" t="s">
        <v>57</v>
      </c>
      <c r="H736">
        <v>297</v>
      </c>
      <c r="I736">
        <v>330</v>
      </c>
      <c r="J736">
        <v>15</v>
      </c>
      <c r="K736">
        <v>6.5</v>
      </c>
      <c r="L736">
        <v>27328.1</v>
      </c>
      <c r="M736">
        <v>11.59</v>
      </c>
      <c r="N736">
        <v>231.8</v>
      </c>
      <c r="O736">
        <v>339</v>
      </c>
      <c r="P736" s="5">
        <v>46194</v>
      </c>
      <c r="Q736" s="5">
        <v>46194</v>
      </c>
      <c r="R736" t="s">
        <v>25</v>
      </c>
      <c r="S736" t="s">
        <v>51</v>
      </c>
    </row>
    <row r="737" spans="1:19" x14ac:dyDescent="0.25">
      <c r="A737" t="s">
        <v>831</v>
      </c>
      <c r="B737" s="5">
        <v>46170</v>
      </c>
      <c r="C737" t="s">
        <v>53</v>
      </c>
      <c r="D737" t="s">
        <v>54</v>
      </c>
      <c r="E737" t="s">
        <v>131</v>
      </c>
      <c r="F737" t="s">
        <v>112</v>
      </c>
      <c r="G737" t="s">
        <v>57</v>
      </c>
      <c r="H737">
        <v>142</v>
      </c>
      <c r="I737">
        <v>143</v>
      </c>
      <c r="J737">
        <v>6</v>
      </c>
      <c r="K737">
        <v>2.2000000000000002</v>
      </c>
      <c r="L737">
        <v>17867.95</v>
      </c>
      <c r="M737">
        <v>4.78</v>
      </c>
      <c r="N737">
        <v>124.28</v>
      </c>
      <c r="O737">
        <v>186</v>
      </c>
      <c r="P737" s="5">
        <v>46174</v>
      </c>
      <c r="Q737" s="5">
        <v>46174</v>
      </c>
      <c r="R737" t="s">
        <v>100</v>
      </c>
      <c r="S737" t="s">
        <v>33</v>
      </c>
    </row>
    <row r="738" spans="1:19" x14ac:dyDescent="0.25">
      <c r="A738" t="s">
        <v>832</v>
      </c>
      <c r="B738" s="5">
        <v>46031</v>
      </c>
      <c r="C738" t="s">
        <v>35</v>
      </c>
      <c r="D738" t="s">
        <v>36</v>
      </c>
      <c r="E738" t="s">
        <v>69</v>
      </c>
      <c r="F738" t="s">
        <v>61</v>
      </c>
      <c r="G738" t="s">
        <v>24</v>
      </c>
      <c r="H738">
        <v>300</v>
      </c>
      <c r="I738">
        <v>265</v>
      </c>
      <c r="J738">
        <v>20</v>
      </c>
      <c r="K738">
        <v>8.6</v>
      </c>
      <c r="L738">
        <v>28044.85</v>
      </c>
      <c r="M738">
        <v>9.32</v>
      </c>
      <c r="N738">
        <v>242.32</v>
      </c>
      <c r="O738">
        <v>396</v>
      </c>
      <c r="P738" s="5">
        <v>46033</v>
      </c>
      <c r="Q738" s="5">
        <v>46037</v>
      </c>
      <c r="R738" t="s">
        <v>100</v>
      </c>
      <c r="S738" t="s">
        <v>33</v>
      </c>
    </row>
    <row r="739" spans="1:19" x14ac:dyDescent="0.25">
      <c r="A739" t="s">
        <v>833</v>
      </c>
      <c r="B739" s="5">
        <v>46097</v>
      </c>
      <c r="C739" t="s">
        <v>35</v>
      </c>
      <c r="D739" t="s">
        <v>36</v>
      </c>
      <c r="E739" t="s">
        <v>37</v>
      </c>
      <c r="F739" t="s">
        <v>41</v>
      </c>
      <c r="G739" t="s">
        <v>32</v>
      </c>
      <c r="H739">
        <v>173</v>
      </c>
      <c r="I739">
        <v>154</v>
      </c>
      <c r="J739">
        <v>13</v>
      </c>
      <c r="K739">
        <v>5.7</v>
      </c>
      <c r="L739">
        <v>14941.04</v>
      </c>
      <c r="M739">
        <v>3.15</v>
      </c>
      <c r="N739">
        <v>69.3</v>
      </c>
      <c r="O739">
        <v>161</v>
      </c>
      <c r="P739" s="5">
        <v>46101</v>
      </c>
      <c r="Q739" s="5">
        <v>46102</v>
      </c>
      <c r="R739" t="s">
        <v>100</v>
      </c>
      <c r="S739" t="s">
        <v>51</v>
      </c>
    </row>
    <row r="740" spans="1:19" x14ac:dyDescent="0.25">
      <c r="A740" t="s">
        <v>834</v>
      </c>
      <c r="B740" s="5">
        <v>46085</v>
      </c>
      <c r="C740" t="s">
        <v>53</v>
      </c>
      <c r="D740" t="s">
        <v>54</v>
      </c>
      <c r="E740" t="s">
        <v>55</v>
      </c>
      <c r="F740" t="s">
        <v>83</v>
      </c>
      <c r="G740" t="s">
        <v>32</v>
      </c>
      <c r="H740">
        <v>147</v>
      </c>
      <c r="I740">
        <v>111</v>
      </c>
      <c r="J740">
        <v>6</v>
      </c>
      <c r="K740">
        <v>0.7</v>
      </c>
      <c r="L740">
        <v>18097.34</v>
      </c>
      <c r="M740">
        <v>2.65</v>
      </c>
      <c r="N740">
        <v>58.3</v>
      </c>
      <c r="O740">
        <v>194</v>
      </c>
      <c r="P740" s="5">
        <v>46091</v>
      </c>
      <c r="Q740" s="5">
        <v>46095</v>
      </c>
      <c r="R740" t="s">
        <v>25</v>
      </c>
      <c r="S740" t="s">
        <v>86</v>
      </c>
    </row>
    <row r="741" spans="1:19" x14ac:dyDescent="0.25">
      <c r="A741" t="s">
        <v>835</v>
      </c>
      <c r="B741" s="5">
        <v>46168</v>
      </c>
      <c r="C741" t="s">
        <v>59</v>
      </c>
      <c r="D741" t="s">
        <v>49</v>
      </c>
      <c r="E741" t="s">
        <v>60</v>
      </c>
      <c r="F741" t="s">
        <v>106</v>
      </c>
      <c r="G741" t="s">
        <v>32</v>
      </c>
      <c r="H741">
        <v>89</v>
      </c>
      <c r="I741">
        <v>93</v>
      </c>
      <c r="J741">
        <v>1</v>
      </c>
      <c r="K741">
        <v>2.6</v>
      </c>
      <c r="L741">
        <v>14103.98</v>
      </c>
      <c r="M741">
        <v>2.48</v>
      </c>
      <c r="N741">
        <v>54.56</v>
      </c>
      <c r="O741">
        <v>128</v>
      </c>
      <c r="P741" s="5">
        <v>46172</v>
      </c>
      <c r="Q741" s="5">
        <v>46172</v>
      </c>
      <c r="R741" t="s">
        <v>100</v>
      </c>
      <c r="S741" t="s">
        <v>86</v>
      </c>
    </row>
    <row r="742" spans="1:19" x14ac:dyDescent="0.25">
      <c r="A742" t="s">
        <v>836</v>
      </c>
      <c r="B742" s="5">
        <v>46062</v>
      </c>
      <c r="C742" t="s">
        <v>43</v>
      </c>
      <c r="D742" t="s">
        <v>44</v>
      </c>
      <c r="E742" t="s">
        <v>93</v>
      </c>
      <c r="F742" t="s">
        <v>112</v>
      </c>
      <c r="G742" t="s">
        <v>24</v>
      </c>
      <c r="H742">
        <v>235</v>
      </c>
      <c r="I742">
        <v>198</v>
      </c>
      <c r="J742">
        <v>7</v>
      </c>
      <c r="K742">
        <v>5.7</v>
      </c>
      <c r="L742">
        <v>17817.32</v>
      </c>
      <c r="M742">
        <v>5</v>
      </c>
      <c r="N742">
        <v>130</v>
      </c>
      <c r="O742">
        <v>198</v>
      </c>
      <c r="P742" s="5">
        <v>46068</v>
      </c>
      <c r="Q742" s="5">
        <v>46069</v>
      </c>
      <c r="R742" t="s">
        <v>39</v>
      </c>
      <c r="S742" t="s">
        <v>72</v>
      </c>
    </row>
    <row r="743" spans="1:19" x14ac:dyDescent="0.25">
      <c r="A743" t="s">
        <v>837</v>
      </c>
      <c r="B743" s="5">
        <v>46145</v>
      </c>
      <c r="C743" t="s">
        <v>43</v>
      </c>
      <c r="D743" t="s">
        <v>44</v>
      </c>
      <c r="E743" t="s">
        <v>161</v>
      </c>
      <c r="F743" t="s">
        <v>38</v>
      </c>
      <c r="G743" t="s">
        <v>32</v>
      </c>
      <c r="H743">
        <v>244</v>
      </c>
      <c r="I743">
        <v>192</v>
      </c>
      <c r="J743">
        <v>15</v>
      </c>
      <c r="K743">
        <v>2.8</v>
      </c>
      <c r="L743">
        <v>23641.73</v>
      </c>
      <c r="M743">
        <v>5.69</v>
      </c>
      <c r="N743">
        <v>113.8</v>
      </c>
      <c r="O743">
        <v>338</v>
      </c>
      <c r="P743" s="5">
        <v>46154</v>
      </c>
      <c r="Q743" s="5">
        <v>46154</v>
      </c>
      <c r="R743" t="s">
        <v>100</v>
      </c>
      <c r="S743" t="s">
        <v>33</v>
      </c>
    </row>
    <row r="744" spans="1:19" x14ac:dyDescent="0.25">
      <c r="A744" t="s">
        <v>838</v>
      </c>
      <c r="B744" s="5">
        <v>46194</v>
      </c>
      <c r="C744" t="s">
        <v>20</v>
      </c>
      <c r="D744" t="s">
        <v>21</v>
      </c>
      <c r="E744" t="s">
        <v>90</v>
      </c>
      <c r="F744" t="s">
        <v>38</v>
      </c>
      <c r="G744" t="s">
        <v>57</v>
      </c>
      <c r="H744">
        <v>137</v>
      </c>
      <c r="I744">
        <v>116</v>
      </c>
      <c r="J744">
        <v>2</v>
      </c>
      <c r="K744">
        <v>2.5</v>
      </c>
      <c r="L744">
        <v>44526.93</v>
      </c>
      <c r="M744">
        <v>3.9</v>
      </c>
      <c r="N744">
        <v>85.8</v>
      </c>
      <c r="O744">
        <v>224</v>
      </c>
      <c r="P744" s="5">
        <v>46203</v>
      </c>
      <c r="Q744" s="5">
        <v>46201</v>
      </c>
      <c r="R744" t="s">
        <v>39</v>
      </c>
      <c r="S744" t="s">
        <v>51</v>
      </c>
    </row>
    <row r="745" spans="1:19" x14ac:dyDescent="0.25">
      <c r="A745" t="s">
        <v>839</v>
      </c>
      <c r="B745" s="5">
        <v>46116</v>
      </c>
      <c r="C745" t="s">
        <v>80</v>
      </c>
      <c r="D745" t="s">
        <v>21</v>
      </c>
      <c r="E745" t="s">
        <v>90</v>
      </c>
      <c r="F745" t="s">
        <v>122</v>
      </c>
      <c r="G745" t="s">
        <v>24</v>
      </c>
      <c r="H745">
        <v>240</v>
      </c>
      <c r="I745">
        <v>183</v>
      </c>
      <c r="J745">
        <v>6</v>
      </c>
      <c r="K745">
        <v>0.6</v>
      </c>
      <c r="L745">
        <v>50205.13</v>
      </c>
      <c r="M745">
        <v>6.55</v>
      </c>
      <c r="N745">
        <v>117.9</v>
      </c>
      <c r="O745">
        <v>214</v>
      </c>
      <c r="P745" s="5">
        <v>46125</v>
      </c>
      <c r="Q745" s="5">
        <v>46125</v>
      </c>
      <c r="R745" t="s">
        <v>25</v>
      </c>
      <c r="S745" t="s">
        <v>51</v>
      </c>
    </row>
    <row r="746" spans="1:19" x14ac:dyDescent="0.25">
      <c r="A746" t="s">
        <v>840</v>
      </c>
      <c r="B746" s="5">
        <v>46199</v>
      </c>
      <c r="C746" t="s">
        <v>28</v>
      </c>
      <c r="D746" t="s">
        <v>29</v>
      </c>
      <c r="E746" t="s">
        <v>63</v>
      </c>
      <c r="F746" t="s">
        <v>31</v>
      </c>
      <c r="G746" t="s">
        <v>57</v>
      </c>
      <c r="H746">
        <v>256</v>
      </c>
      <c r="I746">
        <v>263</v>
      </c>
      <c r="J746">
        <v>5</v>
      </c>
      <c r="K746">
        <v>8.8000000000000007</v>
      </c>
      <c r="L746">
        <v>51772.39</v>
      </c>
      <c r="M746">
        <v>9.42</v>
      </c>
      <c r="N746">
        <v>169.56</v>
      </c>
      <c r="O746">
        <v>249</v>
      </c>
      <c r="P746" s="5">
        <v>46209</v>
      </c>
      <c r="Q746" s="5">
        <v>46209</v>
      </c>
      <c r="R746" t="s">
        <v>25</v>
      </c>
      <c r="S746" t="s">
        <v>51</v>
      </c>
    </row>
    <row r="747" spans="1:19" x14ac:dyDescent="0.25">
      <c r="A747" t="s">
        <v>841</v>
      </c>
      <c r="B747" s="5">
        <v>46172</v>
      </c>
      <c r="C747" t="s">
        <v>53</v>
      </c>
      <c r="D747" t="s">
        <v>54</v>
      </c>
      <c r="E747" t="s">
        <v>131</v>
      </c>
      <c r="F747" t="s">
        <v>114</v>
      </c>
      <c r="G747" t="s">
        <v>57</v>
      </c>
      <c r="H747">
        <v>105</v>
      </c>
      <c r="I747">
        <v>99</v>
      </c>
      <c r="J747">
        <v>7</v>
      </c>
      <c r="K747">
        <v>2.9</v>
      </c>
      <c r="L747">
        <v>13621.51</v>
      </c>
      <c r="M747">
        <v>2.06</v>
      </c>
      <c r="N747">
        <v>37.08</v>
      </c>
      <c r="O747">
        <v>186</v>
      </c>
      <c r="P747" s="5">
        <v>46177</v>
      </c>
      <c r="Q747" s="5">
        <v>46176</v>
      </c>
      <c r="R747" t="s">
        <v>39</v>
      </c>
      <c r="S747" t="s">
        <v>26</v>
      </c>
    </row>
    <row r="748" spans="1:19" x14ac:dyDescent="0.25">
      <c r="A748" t="s">
        <v>842</v>
      </c>
      <c r="B748" s="5">
        <v>46147</v>
      </c>
      <c r="C748" t="s">
        <v>59</v>
      </c>
      <c r="D748" t="s">
        <v>49</v>
      </c>
      <c r="E748" t="s">
        <v>60</v>
      </c>
      <c r="F748" t="s">
        <v>104</v>
      </c>
      <c r="G748" t="s">
        <v>32</v>
      </c>
      <c r="H748">
        <v>82</v>
      </c>
      <c r="I748">
        <v>79</v>
      </c>
      <c r="J748">
        <v>6</v>
      </c>
      <c r="K748">
        <v>1</v>
      </c>
      <c r="L748">
        <v>16882</v>
      </c>
      <c r="M748">
        <v>1.79</v>
      </c>
      <c r="N748">
        <v>46.54</v>
      </c>
      <c r="O748">
        <v>166</v>
      </c>
      <c r="P748" s="5">
        <v>46149</v>
      </c>
      <c r="Q748" s="5">
        <v>46149</v>
      </c>
      <c r="R748" t="s">
        <v>100</v>
      </c>
      <c r="S748" t="s">
        <v>72</v>
      </c>
    </row>
    <row r="749" spans="1:19" x14ac:dyDescent="0.25">
      <c r="A749" t="s">
        <v>843</v>
      </c>
      <c r="B749" s="5">
        <v>46184</v>
      </c>
      <c r="C749" t="s">
        <v>43</v>
      </c>
      <c r="D749" t="s">
        <v>44</v>
      </c>
      <c r="E749" t="s">
        <v>161</v>
      </c>
      <c r="F749" t="s">
        <v>197</v>
      </c>
      <c r="G749" t="s">
        <v>57</v>
      </c>
      <c r="H749">
        <v>209</v>
      </c>
      <c r="I749">
        <v>193</v>
      </c>
      <c r="J749">
        <v>5</v>
      </c>
      <c r="K749">
        <v>5.8</v>
      </c>
      <c r="L749">
        <v>20926.84</v>
      </c>
      <c r="M749">
        <v>5.05</v>
      </c>
      <c r="N749">
        <v>131.30000000000001</v>
      </c>
      <c r="O749">
        <v>297</v>
      </c>
      <c r="P749" s="5">
        <v>46190</v>
      </c>
      <c r="Q749" s="5">
        <v>46194</v>
      </c>
      <c r="R749" t="s">
        <v>25</v>
      </c>
      <c r="S749" t="s">
        <v>72</v>
      </c>
    </row>
    <row r="750" spans="1:19" x14ac:dyDescent="0.25">
      <c r="A750" t="s">
        <v>844</v>
      </c>
      <c r="B750" s="5">
        <v>46024</v>
      </c>
      <c r="C750" t="s">
        <v>48</v>
      </c>
      <c r="D750" t="s">
        <v>49</v>
      </c>
      <c r="E750" t="s">
        <v>60</v>
      </c>
      <c r="F750" t="s">
        <v>197</v>
      </c>
      <c r="G750" t="s">
        <v>57</v>
      </c>
      <c r="H750">
        <v>200</v>
      </c>
      <c r="I750">
        <v>186</v>
      </c>
      <c r="J750">
        <v>3</v>
      </c>
      <c r="K750">
        <v>6.8</v>
      </c>
      <c r="L750">
        <v>35231.75</v>
      </c>
      <c r="M750">
        <v>7.2</v>
      </c>
      <c r="N750">
        <v>158.4</v>
      </c>
      <c r="O750">
        <v>297</v>
      </c>
      <c r="P750" s="5">
        <v>46028</v>
      </c>
      <c r="Q750" s="5">
        <v>46028</v>
      </c>
      <c r="R750" t="s">
        <v>25</v>
      </c>
      <c r="S750" t="s">
        <v>51</v>
      </c>
    </row>
    <row r="751" spans="1:19" x14ac:dyDescent="0.25">
      <c r="A751" t="s">
        <v>845</v>
      </c>
      <c r="B751" s="5">
        <v>46101</v>
      </c>
      <c r="C751" t="s">
        <v>59</v>
      </c>
      <c r="D751" t="s">
        <v>49</v>
      </c>
      <c r="E751" t="s">
        <v>76</v>
      </c>
      <c r="F751" t="s">
        <v>104</v>
      </c>
      <c r="G751" t="s">
        <v>24</v>
      </c>
      <c r="H751">
        <v>276</v>
      </c>
      <c r="I751">
        <v>261</v>
      </c>
      <c r="J751">
        <v>3</v>
      </c>
      <c r="K751">
        <v>2.7</v>
      </c>
      <c r="L751">
        <v>48274.8</v>
      </c>
      <c r="M751">
        <v>5.67</v>
      </c>
      <c r="N751">
        <v>113.4</v>
      </c>
      <c r="O751">
        <v>285</v>
      </c>
      <c r="P751" s="5">
        <v>46109</v>
      </c>
      <c r="Q751" s="5">
        <v>46109</v>
      </c>
      <c r="R751" t="s">
        <v>25</v>
      </c>
      <c r="S751" t="s">
        <v>51</v>
      </c>
    </row>
    <row r="752" spans="1:19" x14ac:dyDescent="0.25">
      <c r="A752" t="s">
        <v>846</v>
      </c>
      <c r="B752" s="5">
        <v>46106</v>
      </c>
      <c r="C752" t="s">
        <v>53</v>
      </c>
      <c r="D752" t="s">
        <v>54</v>
      </c>
      <c r="E752" t="s">
        <v>131</v>
      </c>
      <c r="F752" t="s">
        <v>125</v>
      </c>
      <c r="G752" t="s">
        <v>32</v>
      </c>
      <c r="H752">
        <v>279</v>
      </c>
      <c r="I752">
        <v>288</v>
      </c>
      <c r="J752">
        <v>7</v>
      </c>
      <c r="K752">
        <v>2.4</v>
      </c>
      <c r="L752">
        <v>51842.09</v>
      </c>
      <c r="M752">
        <v>7.75</v>
      </c>
      <c r="N752">
        <v>170.5</v>
      </c>
      <c r="O752">
        <v>324</v>
      </c>
      <c r="P752" s="5">
        <v>46113</v>
      </c>
      <c r="Q752" s="5">
        <v>46114</v>
      </c>
      <c r="R752" t="s">
        <v>100</v>
      </c>
      <c r="S752" t="s">
        <v>26</v>
      </c>
    </row>
    <row r="753" spans="1:19" x14ac:dyDescent="0.25">
      <c r="A753" t="s">
        <v>847</v>
      </c>
      <c r="B753" s="5">
        <v>46123</v>
      </c>
      <c r="C753" t="s">
        <v>35</v>
      </c>
      <c r="D753" t="s">
        <v>36</v>
      </c>
      <c r="E753" t="s">
        <v>37</v>
      </c>
      <c r="F753" t="s">
        <v>125</v>
      </c>
      <c r="G753" t="s">
        <v>32</v>
      </c>
      <c r="H753">
        <v>275</v>
      </c>
      <c r="I753">
        <v>309</v>
      </c>
      <c r="J753">
        <v>3</v>
      </c>
      <c r="K753">
        <v>3.7</v>
      </c>
      <c r="L753">
        <v>27057.9</v>
      </c>
      <c r="M753">
        <v>8.9499999999999993</v>
      </c>
      <c r="N753">
        <v>196.9</v>
      </c>
      <c r="O753">
        <v>239</v>
      </c>
      <c r="P753" s="5">
        <v>46128</v>
      </c>
      <c r="Q753" s="5">
        <v>46128</v>
      </c>
      <c r="R753" t="s">
        <v>25</v>
      </c>
      <c r="S753" t="s">
        <v>33</v>
      </c>
    </row>
    <row r="754" spans="1:19" x14ac:dyDescent="0.25">
      <c r="A754" t="s">
        <v>848</v>
      </c>
      <c r="B754" s="5">
        <v>46105</v>
      </c>
      <c r="C754" t="s">
        <v>35</v>
      </c>
      <c r="D754" t="s">
        <v>36</v>
      </c>
      <c r="E754" t="s">
        <v>69</v>
      </c>
      <c r="F754" t="s">
        <v>112</v>
      </c>
      <c r="G754" t="s">
        <v>24</v>
      </c>
      <c r="H754">
        <v>163</v>
      </c>
      <c r="I754">
        <v>156</v>
      </c>
      <c r="J754">
        <v>11</v>
      </c>
      <c r="K754">
        <v>7.2</v>
      </c>
      <c r="L754">
        <v>14731.5</v>
      </c>
      <c r="M754">
        <v>3.83</v>
      </c>
      <c r="N754">
        <v>68.94</v>
      </c>
      <c r="O754">
        <v>185</v>
      </c>
      <c r="P754" s="5">
        <v>46109</v>
      </c>
      <c r="Q754" s="5">
        <v>46110</v>
      </c>
      <c r="R754" t="s">
        <v>100</v>
      </c>
      <c r="S754" t="s">
        <v>72</v>
      </c>
    </row>
    <row r="755" spans="1:19" x14ac:dyDescent="0.25">
      <c r="A755" t="s">
        <v>849</v>
      </c>
      <c r="B755" s="5">
        <v>46034</v>
      </c>
      <c r="C755" t="s">
        <v>35</v>
      </c>
      <c r="D755" t="s">
        <v>36</v>
      </c>
      <c r="E755" t="s">
        <v>69</v>
      </c>
      <c r="F755" t="s">
        <v>170</v>
      </c>
      <c r="G755" t="s">
        <v>24</v>
      </c>
      <c r="H755">
        <v>143</v>
      </c>
      <c r="I755">
        <v>120</v>
      </c>
      <c r="J755">
        <v>7</v>
      </c>
      <c r="K755">
        <v>3.4</v>
      </c>
      <c r="L755">
        <v>9817.43</v>
      </c>
      <c r="M755">
        <v>2.96</v>
      </c>
      <c r="N755">
        <v>65.12</v>
      </c>
      <c r="O755">
        <v>215</v>
      </c>
      <c r="P755" s="5">
        <v>46040</v>
      </c>
      <c r="Q755" s="5">
        <v>46039</v>
      </c>
      <c r="R755" t="s">
        <v>100</v>
      </c>
      <c r="S755" t="s">
        <v>33</v>
      </c>
    </row>
    <row r="756" spans="1:19" x14ac:dyDescent="0.25">
      <c r="A756" t="s">
        <v>850</v>
      </c>
      <c r="B756" s="5">
        <v>46106</v>
      </c>
      <c r="C756" t="s">
        <v>35</v>
      </c>
      <c r="D756" t="s">
        <v>36</v>
      </c>
      <c r="E756" t="s">
        <v>37</v>
      </c>
      <c r="F756" t="s">
        <v>197</v>
      </c>
      <c r="G756" t="s">
        <v>57</v>
      </c>
      <c r="H756">
        <v>303</v>
      </c>
      <c r="I756">
        <v>237</v>
      </c>
      <c r="J756">
        <v>7</v>
      </c>
      <c r="K756">
        <v>1.8</v>
      </c>
      <c r="L756">
        <v>17317.57</v>
      </c>
      <c r="M756">
        <v>7.52</v>
      </c>
      <c r="N756">
        <v>165.44</v>
      </c>
      <c r="O756">
        <v>398</v>
      </c>
      <c r="P756" s="5">
        <v>46112</v>
      </c>
      <c r="Q756" s="5">
        <v>46110</v>
      </c>
      <c r="R756" t="s">
        <v>25</v>
      </c>
      <c r="S756" t="s">
        <v>86</v>
      </c>
    </row>
    <row r="757" spans="1:19" x14ac:dyDescent="0.25">
      <c r="A757" t="s">
        <v>851</v>
      </c>
      <c r="B757" s="5">
        <v>46115</v>
      </c>
      <c r="C757" t="s">
        <v>53</v>
      </c>
      <c r="D757" t="s">
        <v>54</v>
      </c>
      <c r="E757" t="s">
        <v>55</v>
      </c>
      <c r="F757" t="s">
        <v>77</v>
      </c>
      <c r="G757" t="s">
        <v>32</v>
      </c>
      <c r="H757">
        <v>127</v>
      </c>
      <c r="I757">
        <v>108</v>
      </c>
      <c r="J757">
        <v>2</v>
      </c>
      <c r="K757">
        <v>3.3</v>
      </c>
      <c r="L757">
        <v>15494.84</v>
      </c>
      <c r="M757">
        <v>2.62</v>
      </c>
      <c r="N757">
        <v>68.12</v>
      </c>
      <c r="O757">
        <v>92</v>
      </c>
      <c r="P757" s="5">
        <v>46119</v>
      </c>
      <c r="Q757" s="5">
        <v>46118</v>
      </c>
      <c r="R757" t="s">
        <v>100</v>
      </c>
      <c r="S757" t="s">
        <v>72</v>
      </c>
    </row>
    <row r="758" spans="1:19" x14ac:dyDescent="0.25">
      <c r="A758" t="s">
        <v>852</v>
      </c>
      <c r="B758" s="5">
        <v>46035</v>
      </c>
      <c r="C758" t="s">
        <v>80</v>
      </c>
      <c r="D758" t="s">
        <v>21</v>
      </c>
      <c r="E758" t="s">
        <v>66</v>
      </c>
      <c r="F758" t="s">
        <v>112</v>
      </c>
      <c r="G758" t="s">
        <v>57</v>
      </c>
      <c r="H758">
        <v>175</v>
      </c>
      <c r="I758">
        <v>127</v>
      </c>
      <c r="J758">
        <v>5</v>
      </c>
      <c r="K758">
        <v>0.3</v>
      </c>
      <c r="L758">
        <v>36631.08</v>
      </c>
      <c r="M758">
        <v>4.6900000000000004</v>
      </c>
      <c r="N758">
        <v>112.56</v>
      </c>
      <c r="O758">
        <v>207</v>
      </c>
      <c r="P758" s="5">
        <v>46046</v>
      </c>
      <c r="Q758" s="5">
        <v>46047</v>
      </c>
      <c r="R758" t="s">
        <v>25</v>
      </c>
      <c r="S758" t="s">
        <v>26</v>
      </c>
    </row>
    <row r="759" spans="1:19" x14ac:dyDescent="0.25">
      <c r="A759" t="s">
        <v>853</v>
      </c>
      <c r="B759" s="5">
        <v>46046</v>
      </c>
      <c r="C759" t="s">
        <v>20</v>
      </c>
      <c r="D759" t="s">
        <v>21</v>
      </c>
      <c r="E759" t="s">
        <v>66</v>
      </c>
      <c r="F759" t="s">
        <v>38</v>
      </c>
      <c r="G759" t="s">
        <v>24</v>
      </c>
      <c r="H759">
        <v>120</v>
      </c>
      <c r="I759">
        <v>127</v>
      </c>
      <c r="J759">
        <v>10</v>
      </c>
      <c r="K759">
        <v>0.8</v>
      </c>
      <c r="L759">
        <v>48780.44</v>
      </c>
      <c r="M759">
        <v>5.31</v>
      </c>
      <c r="N759">
        <v>95.58</v>
      </c>
      <c r="O759">
        <v>190</v>
      </c>
      <c r="P759" s="5">
        <v>46052</v>
      </c>
      <c r="Q759" s="5">
        <v>46056</v>
      </c>
      <c r="R759" t="s">
        <v>100</v>
      </c>
      <c r="S759" t="s">
        <v>51</v>
      </c>
    </row>
    <row r="760" spans="1:19" x14ac:dyDescent="0.25">
      <c r="A760" t="s">
        <v>854</v>
      </c>
      <c r="B760" s="5">
        <v>46189</v>
      </c>
      <c r="C760" t="s">
        <v>48</v>
      </c>
      <c r="D760" t="s">
        <v>49</v>
      </c>
      <c r="E760" t="s">
        <v>50</v>
      </c>
      <c r="F760" t="s">
        <v>104</v>
      </c>
      <c r="G760" t="s">
        <v>32</v>
      </c>
      <c r="H760">
        <v>126</v>
      </c>
      <c r="I760">
        <v>125</v>
      </c>
      <c r="J760">
        <v>4</v>
      </c>
      <c r="K760">
        <v>4.7</v>
      </c>
      <c r="L760">
        <v>29028.62</v>
      </c>
      <c r="M760">
        <v>3.55</v>
      </c>
      <c r="N760">
        <v>63.9</v>
      </c>
      <c r="O760">
        <v>188</v>
      </c>
      <c r="P760" s="5">
        <v>46200</v>
      </c>
      <c r="Q760" s="5">
        <v>46200</v>
      </c>
      <c r="R760" t="s">
        <v>25</v>
      </c>
      <c r="S760" t="s">
        <v>33</v>
      </c>
    </row>
    <row r="761" spans="1:19" x14ac:dyDescent="0.25">
      <c r="A761" t="s">
        <v>855</v>
      </c>
      <c r="B761" s="5">
        <v>46025</v>
      </c>
      <c r="C761" t="s">
        <v>28</v>
      </c>
      <c r="D761" t="s">
        <v>29</v>
      </c>
      <c r="E761" t="s">
        <v>95</v>
      </c>
      <c r="F761" t="s">
        <v>197</v>
      </c>
      <c r="G761" t="s">
        <v>57</v>
      </c>
      <c r="H761">
        <v>189</v>
      </c>
      <c r="I761">
        <v>148</v>
      </c>
      <c r="J761">
        <v>12</v>
      </c>
      <c r="K761">
        <v>5.3</v>
      </c>
      <c r="L761">
        <v>37415.699999999997</v>
      </c>
      <c r="M761">
        <v>4.99</v>
      </c>
      <c r="N761">
        <v>99.8</v>
      </c>
      <c r="O761">
        <v>239</v>
      </c>
      <c r="P761" s="5">
        <v>46036</v>
      </c>
      <c r="Q761" s="5">
        <v>46036</v>
      </c>
      <c r="R761" t="s">
        <v>25</v>
      </c>
      <c r="S761" t="s">
        <v>51</v>
      </c>
    </row>
    <row r="762" spans="1:19" x14ac:dyDescent="0.25">
      <c r="A762" t="s">
        <v>856</v>
      </c>
      <c r="B762" s="5">
        <v>46101</v>
      </c>
      <c r="C762" t="s">
        <v>43</v>
      </c>
      <c r="D762" t="s">
        <v>44</v>
      </c>
      <c r="E762" t="s">
        <v>93</v>
      </c>
      <c r="F762" t="s">
        <v>125</v>
      </c>
      <c r="G762" t="s">
        <v>57</v>
      </c>
      <c r="H762">
        <v>86</v>
      </c>
      <c r="I762">
        <v>81</v>
      </c>
      <c r="J762">
        <v>7</v>
      </c>
      <c r="K762">
        <v>0.4</v>
      </c>
      <c r="L762">
        <v>7904.73</v>
      </c>
      <c r="M762">
        <v>1.59</v>
      </c>
      <c r="N762">
        <v>34.979999999999997</v>
      </c>
      <c r="O762">
        <v>108</v>
      </c>
      <c r="P762" s="5">
        <v>46113</v>
      </c>
      <c r="Q762" s="5">
        <v>46113</v>
      </c>
      <c r="R762" t="s">
        <v>25</v>
      </c>
      <c r="S762" t="s">
        <v>72</v>
      </c>
    </row>
    <row r="763" spans="1:19" x14ac:dyDescent="0.25">
      <c r="A763" t="s">
        <v>857</v>
      </c>
      <c r="B763" s="5">
        <v>46092</v>
      </c>
      <c r="C763" t="s">
        <v>28</v>
      </c>
      <c r="D763" t="s">
        <v>29</v>
      </c>
      <c r="E763" t="s">
        <v>63</v>
      </c>
      <c r="F763" t="s">
        <v>74</v>
      </c>
      <c r="G763" t="s">
        <v>32</v>
      </c>
      <c r="H763">
        <v>277</v>
      </c>
      <c r="I763">
        <v>241</v>
      </c>
      <c r="J763">
        <v>4</v>
      </c>
      <c r="K763">
        <v>8.1</v>
      </c>
      <c r="L763">
        <v>58716.94</v>
      </c>
      <c r="M763">
        <v>6.51</v>
      </c>
      <c r="N763">
        <v>156.24</v>
      </c>
      <c r="O763">
        <v>290</v>
      </c>
      <c r="P763" s="5">
        <v>46100</v>
      </c>
      <c r="Q763" s="5">
        <v>46098</v>
      </c>
      <c r="R763" t="s">
        <v>100</v>
      </c>
      <c r="S763" t="s">
        <v>51</v>
      </c>
    </row>
    <row r="764" spans="1:19" x14ac:dyDescent="0.25">
      <c r="A764" t="s">
        <v>858</v>
      </c>
      <c r="B764" s="5">
        <v>46075</v>
      </c>
      <c r="C764" t="s">
        <v>35</v>
      </c>
      <c r="D764" t="s">
        <v>36</v>
      </c>
      <c r="E764" t="s">
        <v>37</v>
      </c>
      <c r="F764" t="s">
        <v>31</v>
      </c>
      <c r="G764" t="s">
        <v>57</v>
      </c>
      <c r="H764">
        <v>103</v>
      </c>
      <c r="I764">
        <v>117</v>
      </c>
      <c r="J764">
        <v>5</v>
      </c>
      <c r="K764">
        <v>5.2</v>
      </c>
      <c r="L764">
        <v>9858.7099999999991</v>
      </c>
      <c r="M764">
        <v>2.69</v>
      </c>
      <c r="N764">
        <v>64.56</v>
      </c>
      <c r="O764">
        <v>154</v>
      </c>
      <c r="P764" s="5">
        <v>46082</v>
      </c>
      <c r="Q764" s="5">
        <v>46084</v>
      </c>
      <c r="R764" t="s">
        <v>25</v>
      </c>
      <c r="S764" t="s">
        <v>26</v>
      </c>
    </row>
    <row r="765" spans="1:19" x14ac:dyDescent="0.25">
      <c r="A765" t="s">
        <v>859</v>
      </c>
      <c r="B765" s="5">
        <v>46115</v>
      </c>
      <c r="C765" t="s">
        <v>53</v>
      </c>
      <c r="D765" t="s">
        <v>54</v>
      </c>
      <c r="E765" t="s">
        <v>131</v>
      </c>
      <c r="F765" t="s">
        <v>56</v>
      </c>
      <c r="G765" t="s">
        <v>24</v>
      </c>
      <c r="H765">
        <v>210</v>
      </c>
      <c r="I765">
        <v>161</v>
      </c>
      <c r="J765">
        <v>7</v>
      </c>
      <c r="K765">
        <v>0.1</v>
      </c>
      <c r="L765">
        <v>24834.45</v>
      </c>
      <c r="M765">
        <v>6.21</v>
      </c>
      <c r="N765">
        <v>136.62</v>
      </c>
      <c r="O765">
        <v>262</v>
      </c>
      <c r="P765" s="5">
        <v>46121</v>
      </c>
      <c r="Q765" s="5">
        <v>46120</v>
      </c>
      <c r="R765" t="s">
        <v>100</v>
      </c>
      <c r="S765" t="s">
        <v>86</v>
      </c>
    </row>
    <row r="766" spans="1:19" x14ac:dyDescent="0.25">
      <c r="A766" t="s">
        <v>860</v>
      </c>
      <c r="B766" s="5">
        <v>46081</v>
      </c>
      <c r="C766" t="s">
        <v>20</v>
      </c>
      <c r="D766" t="s">
        <v>21</v>
      </c>
      <c r="E766" t="s">
        <v>66</v>
      </c>
      <c r="F766" t="s">
        <v>135</v>
      </c>
      <c r="G766" t="s">
        <v>57</v>
      </c>
      <c r="H766">
        <v>244</v>
      </c>
      <c r="I766">
        <v>260</v>
      </c>
      <c r="J766">
        <v>21</v>
      </c>
      <c r="K766">
        <v>0.1</v>
      </c>
      <c r="L766">
        <v>104314.43</v>
      </c>
      <c r="M766">
        <v>10.28</v>
      </c>
      <c r="N766">
        <v>185.04</v>
      </c>
      <c r="O766">
        <v>240</v>
      </c>
      <c r="P766" s="5">
        <v>46086</v>
      </c>
      <c r="Q766" s="5">
        <v>46086</v>
      </c>
      <c r="R766" t="s">
        <v>39</v>
      </c>
      <c r="S766" t="s">
        <v>26</v>
      </c>
    </row>
    <row r="767" spans="1:19" x14ac:dyDescent="0.25">
      <c r="A767" t="s">
        <v>861</v>
      </c>
      <c r="B767" s="5">
        <v>46062</v>
      </c>
      <c r="C767" t="s">
        <v>43</v>
      </c>
      <c r="D767" t="s">
        <v>44</v>
      </c>
      <c r="E767" t="s">
        <v>45</v>
      </c>
      <c r="F767" t="s">
        <v>67</v>
      </c>
      <c r="G767" t="s">
        <v>24</v>
      </c>
      <c r="H767">
        <v>200</v>
      </c>
      <c r="I767">
        <v>209</v>
      </c>
      <c r="J767">
        <v>2</v>
      </c>
      <c r="K767">
        <v>7.2</v>
      </c>
      <c r="L767">
        <v>28987.81</v>
      </c>
      <c r="M767">
        <v>5.63</v>
      </c>
      <c r="N767">
        <v>135.12</v>
      </c>
      <c r="O767">
        <v>200</v>
      </c>
      <c r="P767" s="5">
        <v>46070</v>
      </c>
      <c r="Q767" s="5">
        <v>46070</v>
      </c>
      <c r="R767" t="s">
        <v>25</v>
      </c>
      <c r="S767" t="s">
        <v>51</v>
      </c>
    </row>
    <row r="768" spans="1:19" x14ac:dyDescent="0.25">
      <c r="A768" t="s">
        <v>862</v>
      </c>
      <c r="B768" s="5">
        <v>46194</v>
      </c>
      <c r="C768" t="s">
        <v>43</v>
      </c>
      <c r="D768" t="s">
        <v>44</v>
      </c>
      <c r="E768" t="s">
        <v>161</v>
      </c>
      <c r="F768" t="s">
        <v>135</v>
      </c>
      <c r="G768" t="s">
        <v>32</v>
      </c>
      <c r="H768">
        <v>305</v>
      </c>
      <c r="I768">
        <v>340</v>
      </c>
      <c r="J768">
        <v>25</v>
      </c>
      <c r="K768">
        <v>0.3</v>
      </c>
      <c r="L768">
        <v>34765.97</v>
      </c>
      <c r="M768">
        <v>9.17</v>
      </c>
      <c r="N768">
        <v>201.74</v>
      </c>
      <c r="O768">
        <v>347</v>
      </c>
      <c r="P768" s="5">
        <v>46196</v>
      </c>
      <c r="Q768" s="5">
        <v>46194</v>
      </c>
      <c r="R768" t="s">
        <v>25</v>
      </c>
      <c r="S768" t="s">
        <v>33</v>
      </c>
    </row>
    <row r="769" spans="1:19" x14ac:dyDescent="0.25">
      <c r="A769" t="s">
        <v>863</v>
      </c>
      <c r="B769" s="5">
        <v>46059</v>
      </c>
      <c r="C769" t="s">
        <v>35</v>
      </c>
      <c r="D769" t="s">
        <v>36</v>
      </c>
      <c r="E769" t="s">
        <v>37</v>
      </c>
      <c r="F769" t="s">
        <v>74</v>
      </c>
      <c r="G769" t="s">
        <v>32</v>
      </c>
      <c r="H769">
        <v>218</v>
      </c>
      <c r="I769">
        <v>192</v>
      </c>
      <c r="J769">
        <v>11</v>
      </c>
      <c r="K769">
        <v>4.7</v>
      </c>
      <c r="L769">
        <v>13489.74</v>
      </c>
      <c r="M769">
        <v>7.59</v>
      </c>
      <c r="N769">
        <v>136.62</v>
      </c>
      <c r="O769">
        <v>285</v>
      </c>
      <c r="P769" s="5">
        <v>46062</v>
      </c>
      <c r="Q769" s="5">
        <v>46061</v>
      </c>
      <c r="R769" t="s">
        <v>100</v>
      </c>
      <c r="S769" t="s">
        <v>26</v>
      </c>
    </row>
    <row r="770" spans="1:19" x14ac:dyDescent="0.25">
      <c r="A770" t="s">
        <v>864</v>
      </c>
      <c r="B770" s="5">
        <v>46135</v>
      </c>
      <c r="C770" t="s">
        <v>43</v>
      </c>
      <c r="D770" t="s">
        <v>44</v>
      </c>
      <c r="E770" t="s">
        <v>45</v>
      </c>
      <c r="F770" t="s">
        <v>31</v>
      </c>
      <c r="G770" t="s">
        <v>57</v>
      </c>
      <c r="H770">
        <v>287</v>
      </c>
      <c r="I770">
        <v>285</v>
      </c>
      <c r="J770">
        <v>9</v>
      </c>
      <c r="K770">
        <v>4.2</v>
      </c>
      <c r="L770">
        <v>34520.400000000001</v>
      </c>
      <c r="M770">
        <v>9.6199999999999992</v>
      </c>
      <c r="N770">
        <v>211.64</v>
      </c>
      <c r="O770">
        <v>271</v>
      </c>
      <c r="P770" s="5">
        <v>46144</v>
      </c>
      <c r="Q770" s="5">
        <v>46148</v>
      </c>
      <c r="R770" t="s">
        <v>39</v>
      </c>
      <c r="S770" t="s">
        <v>51</v>
      </c>
    </row>
    <row r="771" spans="1:19" x14ac:dyDescent="0.25">
      <c r="A771" t="s">
        <v>865</v>
      </c>
      <c r="B771" s="5">
        <v>46154</v>
      </c>
      <c r="C771" t="s">
        <v>43</v>
      </c>
      <c r="D771" t="s">
        <v>44</v>
      </c>
      <c r="E771" t="s">
        <v>93</v>
      </c>
      <c r="F771" t="s">
        <v>106</v>
      </c>
      <c r="G771" t="s">
        <v>32</v>
      </c>
      <c r="H771">
        <v>137</v>
      </c>
      <c r="I771">
        <v>137</v>
      </c>
      <c r="J771">
        <v>9</v>
      </c>
      <c r="K771">
        <v>6.5</v>
      </c>
      <c r="L771">
        <v>15289.47</v>
      </c>
      <c r="M771">
        <v>3.29</v>
      </c>
      <c r="N771">
        <v>72.38</v>
      </c>
      <c r="O771">
        <v>144</v>
      </c>
      <c r="P771" s="5">
        <v>46166</v>
      </c>
      <c r="Q771" s="5">
        <v>46166</v>
      </c>
      <c r="R771" t="s">
        <v>25</v>
      </c>
      <c r="S771" t="s">
        <v>26</v>
      </c>
    </row>
    <row r="772" spans="1:19" x14ac:dyDescent="0.25">
      <c r="A772" t="s">
        <v>866</v>
      </c>
      <c r="B772" s="5">
        <v>46156</v>
      </c>
      <c r="C772" t="s">
        <v>59</v>
      </c>
      <c r="D772" t="s">
        <v>49</v>
      </c>
      <c r="E772" t="s">
        <v>50</v>
      </c>
      <c r="F772" t="s">
        <v>170</v>
      </c>
      <c r="G772" t="s">
        <v>24</v>
      </c>
      <c r="H772">
        <v>163</v>
      </c>
      <c r="I772">
        <v>146</v>
      </c>
      <c r="J772">
        <v>9</v>
      </c>
      <c r="K772">
        <v>5.2</v>
      </c>
      <c r="L772">
        <v>25807.79</v>
      </c>
      <c r="M772">
        <v>5.8</v>
      </c>
      <c r="N772">
        <v>139.19999999999999</v>
      </c>
      <c r="O772">
        <v>135</v>
      </c>
      <c r="P772" s="5">
        <v>46161</v>
      </c>
      <c r="Q772" s="5">
        <v>46161</v>
      </c>
      <c r="R772" t="s">
        <v>25</v>
      </c>
      <c r="S772" t="s">
        <v>33</v>
      </c>
    </row>
    <row r="773" spans="1:19" x14ac:dyDescent="0.25">
      <c r="A773" t="s">
        <v>867</v>
      </c>
      <c r="B773" s="5">
        <v>46083</v>
      </c>
      <c r="C773" t="s">
        <v>43</v>
      </c>
      <c r="D773" t="s">
        <v>44</v>
      </c>
      <c r="E773" t="s">
        <v>161</v>
      </c>
      <c r="F773" t="s">
        <v>122</v>
      </c>
      <c r="G773" t="s">
        <v>24</v>
      </c>
      <c r="H773">
        <v>162</v>
      </c>
      <c r="I773">
        <v>117</v>
      </c>
      <c r="J773">
        <v>5</v>
      </c>
      <c r="K773">
        <v>7.7</v>
      </c>
      <c r="L773">
        <v>13406.42</v>
      </c>
      <c r="M773">
        <v>4.83</v>
      </c>
      <c r="N773">
        <v>115.92</v>
      </c>
      <c r="O773">
        <v>237</v>
      </c>
      <c r="P773" s="5">
        <v>46088</v>
      </c>
      <c r="Q773" s="5">
        <v>46092</v>
      </c>
      <c r="R773" t="s">
        <v>39</v>
      </c>
      <c r="S773" t="s">
        <v>72</v>
      </c>
    </row>
    <row r="774" spans="1:19" x14ac:dyDescent="0.25">
      <c r="A774" t="s">
        <v>868</v>
      </c>
      <c r="B774" s="5">
        <v>46053</v>
      </c>
      <c r="C774" t="s">
        <v>59</v>
      </c>
      <c r="D774" t="s">
        <v>49</v>
      </c>
      <c r="E774" t="s">
        <v>60</v>
      </c>
      <c r="F774" t="s">
        <v>197</v>
      </c>
      <c r="G774" t="s">
        <v>24</v>
      </c>
      <c r="H774">
        <v>276</v>
      </c>
      <c r="I774">
        <v>259</v>
      </c>
      <c r="J774">
        <v>9</v>
      </c>
      <c r="K774">
        <v>9</v>
      </c>
      <c r="L774">
        <v>38412.53</v>
      </c>
      <c r="M774">
        <v>10.08</v>
      </c>
      <c r="N774">
        <v>262.08</v>
      </c>
      <c r="O774">
        <v>352</v>
      </c>
      <c r="P774" s="5">
        <v>46065</v>
      </c>
      <c r="Q774" s="5">
        <v>46064</v>
      </c>
      <c r="R774" t="s">
        <v>25</v>
      </c>
      <c r="S774" t="s">
        <v>86</v>
      </c>
    </row>
    <row r="775" spans="1:19" x14ac:dyDescent="0.25">
      <c r="A775" t="s">
        <v>869</v>
      </c>
      <c r="B775" s="5">
        <v>46039</v>
      </c>
      <c r="C775" t="s">
        <v>48</v>
      </c>
      <c r="D775" t="s">
        <v>49</v>
      </c>
      <c r="E775" t="s">
        <v>76</v>
      </c>
      <c r="F775" t="s">
        <v>77</v>
      </c>
      <c r="G775" t="s">
        <v>24</v>
      </c>
      <c r="H775">
        <v>244</v>
      </c>
      <c r="I775">
        <v>178</v>
      </c>
      <c r="J775">
        <v>9</v>
      </c>
      <c r="K775">
        <v>0.9</v>
      </c>
      <c r="L775">
        <v>45378.32</v>
      </c>
      <c r="M775">
        <v>3.72</v>
      </c>
      <c r="N775">
        <v>81.84</v>
      </c>
      <c r="O775">
        <v>236</v>
      </c>
      <c r="P775" s="5">
        <v>46046</v>
      </c>
      <c r="Q775" s="5">
        <v>46046</v>
      </c>
      <c r="R775" t="s">
        <v>100</v>
      </c>
      <c r="S775" t="s">
        <v>33</v>
      </c>
    </row>
    <row r="776" spans="1:19" x14ac:dyDescent="0.25">
      <c r="A776" t="s">
        <v>870</v>
      </c>
      <c r="B776" s="5">
        <v>46152</v>
      </c>
      <c r="C776" t="s">
        <v>43</v>
      </c>
      <c r="D776" t="s">
        <v>44</v>
      </c>
      <c r="E776" t="s">
        <v>161</v>
      </c>
      <c r="F776" t="s">
        <v>56</v>
      </c>
      <c r="G776" t="s">
        <v>24</v>
      </c>
      <c r="H776">
        <v>289</v>
      </c>
      <c r="I776">
        <v>325</v>
      </c>
      <c r="J776">
        <v>30</v>
      </c>
      <c r="K776">
        <v>1.8</v>
      </c>
      <c r="L776">
        <v>39661.75</v>
      </c>
      <c r="M776">
        <v>5.98</v>
      </c>
      <c r="N776">
        <v>131.56</v>
      </c>
      <c r="O776">
        <v>383</v>
      </c>
      <c r="P776" s="5">
        <v>46163</v>
      </c>
      <c r="Q776" s="5">
        <v>46163</v>
      </c>
      <c r="R776" t="s">
        <v>39</v>
      </c>
      <c r="S776" t="s">
        <v>26</v>
      </c>
    </row>
    <row r="777" spans="1:19" x14ac:dyDescent="0.25">
      <c r="A777" t="s">
        <v>871</v>
      </c>
      <c r="B777" s="5">
        <v>46035</v>
      </c>
      <c r="C777" t="s">
        <v>48</v>
      </c>
      <c r="D777" t="s">
        <v>49</v>
      </c>
      <c r="E777" t="s">
        <v>60</v>
      </c>
      <c r="F777" t="s">
        <v>122</v>
      </c>
      <c r="G777" t="s">
        <v>57</v>
      </c>
      <c r="H777">
        <v>138</v>
      </c>
      <c r="I777">
        <v>140</v>
      </c>
      <c r="J777">
        <v>13</v>
      </c>
      <c r="K777">
        <v>1.5</v>
      </c>
      <c r="L777">
        <v>25749.56</v>
      </c>
      <c r="M777">
        <v>4.6500000000000004</v>
      </c>
      <c r="N777">
        <v>120.9</v>
      </c>
      <c r="O777">
        <v>155</v>
      </c>
      <c r="P777" s="5">
        <v>46039</v>
      </c>
      <c r="Q777" s="5">
        <v>46041</v>
      </c>
      <c r="R777" t="s">
        <v>25</v>
      </c>
      <c r="S777" t="s">
        <v>72</v>
      </c>
    </row>
    <row r="778" spans="1:19" x14ac:dyDescent="0.25">
      <c r="A778" t="s">
        <v>872</v>
      </c>
      <c r="B778" s="5">
        <v>46098</v>
      </c>
      <c r="C778" t="s">
        <v>35</v>
      </c>
      <c r="D778" t="s">
        <v>36</v>
      </c>
      <c r="E778" t="s">
        <v>69</v>
      </c>
      <c r="F778" t="s">
        <v>197</v>
      </c>
      <c r="G778" t="s">
        <v>32</v>
      </c>
      <c r="H778">
        <v>308</v>
      </c>
      <c r="I778">
        <v>284</v>
      </c>
      <c r="J778">
        <v>9</v>
      </c>
      <c r="K778">
        <v>6.5</v>
      </c>
      <c r="L778">
        <v>21504.62</v>
      </c>
      <c r="M778">
        <v>9.94</v>
      </c>
      <c r="N778">
        <v>218.68</v>
      </c>
      <c r="O778">
        <v>321</v>
      </c>
      <c r="P778" s="5">
        <v>46109</v>
      </c>
      <c r="Q778" s="5">
        <v>46108</v>
      </c>
      <c r="R778" t="s">
        <v>25</v>
      </c>
      <c r="S778" t="s">
        <v>51</v>
      </c>
    </row>
    <row r="779" spans="1:19" x14ac:dyDescent="0.25">
      <c r="A779" t="s">
        <v>873</v>
      </c>
      <c r="B779" s="5">
        <v>46059</v>
      </c>
      <c r="C779" t="s">
        <v>53</v>
      </c>
      <c r="D779" t="s">
        <v>54</v>
      </c>
      <c r="E779" t="s">
        <v>55</v>
      </c>
      <c r="F779" t="s">
        <v>23</v>
      </c>
      <c r="G779" t="s">
        <v>32</v>
      </c>
      <c r="H779">
        <v>275</v>
      </c>
      <c r="I779">
        <v>312</v>
      </c>
      <c r="J779">
        <v>28</v>
      </c>
      <c r="K779">
        <v>8.8000000000000007</v>
      </c>
      <c r="L779">
        <v>38926.550000000003</v>
      </c>
      <c r="M779">
        <v>8.75</v>
      </c>
      <c r="N779">
        <v>227.5</v>
      </c>
      <c r="O779">
        <v>284</v>
      </c>
      <c r="P779" s="5">
        <v>46064</v>
      </c>
      <c r="Q779" s="5">
        <v>46065</v>
      </c>
      <c r="R779" t="s">
        <v>25</v>
      </c>
      <c r="S779" t="s">
        <v>51</v>
      </c>
    </row>
    <row r="780" spans="1:19" x14ac:dyDescent="0.25">
      <c r="A780" t="s">
        <v>874</v>
      </c>
      <c r="B780" s="5">
        <v>46125</v>
      </c>
      <c r="C780" t="s">
        <v>20</v>
      </c>
      <c r="D780" t="s">
        <v>21</v>
      </c>
      <c r="E780" t="s">
        <v>66</v>
      </c>
      <c r="F780" t="s">
        <v>119</v>
      </c>
      <c r="G780" t="s">
        <v>57</v>
      </c>
      <c r="H780">
        <v>269</v>
      </c>
      <c r="I780">
        <v>261</v>
      </c>
      <c r="J780">
        <v>17</v>
      </c>
      <c r="K780">
        <v>1.9</v>
      </c>
      <c r="L780">
        <v>69216.97</v>
      </c>
      <c r="M780">
        <v>6.75</v>
      </c>
      <c r="N780">
        <v>121.5</v>
      </c>
      <c r="O780">
        <v>362</v>
      </c>
      <c r="P780" s="5">
        <v>46131</v>
      </c>
      <c r="Q780" s="5">
        <v>46130</v>
      </c>
      <c r="R780" t="s">
        <v>39</v>
      </c>
      <c r="S780" t="s">
        <v>72</v>
      </c>
    </row>
    <row r="781" spans="1:19" x14ac:dyDescent="0.25">
      <c r="A781" t="s">
        <v>875</v>
      </c>
      <c r="B781" s="5">
        <v>46099</v>
      </c>
      <c r="C781" t="s">
        <v>20</v>
      </c>
      <c r="D781" t="s">
        <v>21</v>
      </c>
      <c r="E781" t="s">
        <v>66</v>
      </c>
      <c r="F781" t="s">
        <v>77</v>
      </c>
      <c r="G781" t="s">
        <v>24</v>
      </c>
      <c r="H781">
        <v>270</v>
      </c>
      <c r="I781">
        <v>265</v>
      </c>
      <c r="J781">
        <v>4</v>
      </c>
      <c r="K781">
        <v>7.9</v>
      </c>
      <c r="L781">
        <v>99192.82</v>
      </c>
      <c r="M781">
        <v>10.34</v>
      </c>
      <c r="N781">
        <v>186.12</v>
      </c>
      <c r="O781">
        <v>327</v>
      </c>
      <c r="P781" s="5">
        <v>46105</v>
      </c>
      <c r="Q781" s="5">
        <v>46104</v>
      </c>
      <c r="R781" t="s">
        <v>100</v>
      </c>
      <c r="S781" t="s">
        <v>51</v>
      </c>
    </row>
    <row r="782" spans="1:19" x14ac:dyDescent="0.25">
      <c r="A782" t="s">
        <v>876</v>
      </c>
      <c r="B782" s="5">
        <v>46200</v>
      </c>
      <c r="C782" t="s">
        <v>53</v>
      </c>
      <c r="D782" t="s">
        <v>54</v>
      </c>
      <c r="E782" t="s">
        <v>131</v>
      </c>
      <c r="F782" t="s">
        <v>56</v>
      </c>
      <c r="G782" t="s">
        <v>32</v>
      </c>
      <c r="H782">
        <v>137</v>
      </c>
      <c r="I782">
        <v>129</v>
      </c>
      <c r="J782">
        <v>1</v>
      </c>
      <c r="K782">
        <v>6.6</v>
      </c>
      <c r="L782">
        <v>23580.83</v>
      </c>
      <c r="M782">
        <v>3.07</v>
      </c>
      <c r="N782">
        <v>73.680000000000007</v>
      </c>
      <c r="O782">
        <v>207</v>
      </c>
      <c r="P782" s="5">
        <v>46208</v>
      </c>
      <c r="Q782" s="5">
        <v>46206</v>
      </c>
      <c r="R782" t="s">
        <v>25</v>
      </c>
      <c r="S782" t="s">
        <v>86</v>
      </c>
    </row>
    <row r="783" spans="1:19" x14ac:dyDescent="0.25">
      <c r="A783" t="s">
        <v>877</v>
      </c>
      <c r="B783" s="5">
        <v>46087</v>
      </c>
      <c r="C783" t="s">
        <v>48</v>
      </c>
      <c r="D783" t="s">
        <v>49</v>
      </c>
      <c r="E783" t="s">
        <v>76</v>
      </c>
      <c r="F783" t="s">
        <v>71</v>
      </c>
      <c r="G783" t="s">
        <v>24</v>
      </c>
      <c r="H783">
        <v>250</v>
      </c>
      <c r="I783">
        <v>269</v>
      </c>
      <c r="J783">
        <v>25</v>
      </c>
      <c r="K783">
        <v>0.7</v>
      </c>
      <c r="L783">
        <v>49855.33</v>
      </c>
      <c r="M783">
        <v>6.41</v>
      </c>
      <c r="N783">
        <v>153.84</v>
      </c>
      <c r="O783">
        <v>266</v>
      </c>
      <c r="P783" s="5">
        <v>46098</v>
      </c>
      <c r="Q783" s="5">
        <v>46100</v>
      </c>
      <c r="R783" t="s">
        <v>25</v>
      </c>
      <c r="S783" t="s">
        <v>72</v>
      </c>
    </row>
    <row r="784" spans="1:19" x14ac:dyDescent="0.25">
      <c r="A784" t="s">
        <v>878</v>
      </c>
      <c r="B784" s="5">
        <v>46166</v>
      </c>
      <c r="C784" t="s">
        <v>35</v>
      </c>
      <c r="D784" t="s">
        <v>36</v>
      </c>
      <c r="E784" t="s">
        <v>69</v>
      </c>
      <c r="F784" t="s">
        <v>106</v>
      </c>
      <c r="G784" t="s">
        <v>24</v>
      </c>
      <c r="H784">
        <v>90</v>
      </c>
      <c r="I784">
        <v>88</v>
      </c>
      <c r="J784">
        <v>5</v>
      </c>
      <c r="K784">
        <v>7.1</v>
      </c>
      <c r="L784">
        <v>9617.9599999999991</v>
      </c>
      <c r="M784">
        <v>1.83</v>
      </c>
      <c r="N784">
        <v>36.6</v>
      </c>
      <c r="O784">
        <v>142</v>
      </c>
      <c r="P784" s="5">
        <v>46177</v>
      </c>
      <c r="Q784" s="5">
        <v>46179</v>
      </c>
      <c r="R784" t="s">
        <v>100</v>
      </c>
      <c r="S784" t="s">
        <v>33</v>
      </c>
    </row>
    <row r="785" spans="1:19" x14ac:dyDescent="0.25">
      <c r="A785" t="s">
        <v>879</v>
      </c>
      <c r="B785" s="5">
        <v>46111</v>
      </c>
      <c r="C785" t="s">
        <v>53</v>
      </c>
      <c r="D785" t="s">
        <v>54</v>
      </c>
      <c r="E785" t="s">
        <v>131</v>
      </c>
      <c r="F785" t="s">
        <v>110</v>
      </c>
      <c r="G785" t="s">
        <v>32</v>
      </c>
      <c r="H785">
        <v>226</v>
      </c>
      <c r="I785">
        <v>246</v>
      </c>
      <c r="J785">
        <v>2</v>
      </c>
      <c r="K785">
        <v>3.6</v>
      </c>
      <c r="L785">
        <v>41561.440000000002</v>
      </c>
      <c r="M785">
        <v>6.98</v>
      </c>
      <c r="N785">
        <v>125.64</v>
      </c>
      <c r="O785">
        <v>241</v>
      </c>
      <c r="P785" s="5">
        <v>46122</v>
      </c>
      <c r="Q785" s="5">
        <v>46122</v>
      </c>
      <c r="R785" t="s">
        <v>25</v>
      </c>
      <c r="S785" t="s">
        <v>33</v>
      </c>
    </row>
    <row r="786" spans="1:19" x14ac:dyDescent="0.25">
      <c r="A786" t="s">
        <v>880</v>
      </c>
      <c r="B786" s="5">
        <v>46097</v>
      </c>
      <c r="C786" t="s">
        <v>35</v>
      </c>
      <c r="D786" t="s">
        <v>36</v>
      </c>
      <c r="E786" t="s">
        <v>37</v>
      </c>
      <c r="F786" t="s">
        <v>106</v>
      </c>
      <c r="G786" t="s">
        <v>24</v>
      </c>
      <c r="H786">
        <v>266</v>
      </c>
      <c r="I786">
        <v>243</v>
      </c>
      <c r="J786">
        <v>20</v>
      </c>
      <c r="K786">
        <v>3.2</v>
      </c>
      <c r="L786">
        <v>22905.83</v>
      </c>
      <c r="M786">
        <v>10.01</v>
      </c>
      <c r="N786">
        <v>220.22</v>
      </c>
      <c r="O786">
        <v>340</v>
      </c>
      <c r="P786" s="5">
        <v>46099</v>
      </c>
      <c r="Q786" s="5">
        <v>46100</v>
      </c>
      <c r="R786" t="s">
        <v>100</v>
      </c>
      <c r="S786" t="s">
        <v>86</v>
      </c>
    </row>
    <row r="787" spans="1:19" x14ac:dyDescent="0.25">
      <c r="A787" t="s">
        <v>881</v>
      </c>
      <c r="B787" s="5">
        <v>46064</v>
      </c>
      <c r="C787" t="s">
        <v>28</v>
      </c>
      <c r="D787" t="s">
        <v>29</v>
      </c>
      <c r="E787" t="s">
        <v>30</v>
      </c>
      <c r="F787" t="s">
        <v>137</v>
      </c>
      <c r="G787" t="s">
        <v>24</v>
      </c>
      <c r="H787">
        <v>277</v>
      </c>
      <c r="I787">
        <v>302</v>
      </c>
      <c r="J787">
        <v>19</v>
      </c>
      <c r="K787">
        <v>6.7</v>
      </c>
      <c r="L787">
        <v>80999.58</v>
      </c>
      <c r="M787">
        <v>6.68</v>
      </c>
      <c r="N787">
        <v>160.32</v>
      </c>
      <c r="O787">
        <v>259</v>
      </c>
      <c r="P787" s="5">
        <v>46071</v>
      </c>
      <c r="Q787" s="5">
        <v>46072</v>
      </c>
      <c r="R787" t="s">
        <v>39</v>
      </c>
      <c r="S787" t="s">
        <v>51</v>
      </c>
    </row>
    <row r="788" spans="1:19" x14ac:dyDescent="0.25">
      <c r="A788" t="s">
        <v>882</v>
      </c>
      <c r="B788" s="5">
        <v>46104</v>
      </c>
      <c r="C788" t="s">
        <v>59</v>
      </c>
      <c r="D788" t="s">
        <v>49</v>
      </c>
      <c r="E788" t="s">
        <v>50</v>
      </c>
      <c r="F788" t="s">
        <v>38</v>
      </c>
      <c r="G788" t="s">
        <v>32</v>
      </c>
      <c r="H788">
        <v>314</v>
      </c>
      <c r="I788">
        <v>323</v>
      </c>
      <c r="J788">
        <v>20</v>
      </c>
      <c r="K788">
        <v>2.8</v>
      </c>
      <c r="L788">
        <v>51613.08</v>
      </c>
      <c r="M788">
        <v>8.7799999999999994</v>
      </c>
      <c r="N788">
        <v>193.16</v>
      </c>
      <c r="O788">
        <v>398</v>
      </c>
      <c r="P788" s="5">
        <v>46111</v>
      </c>
      <c r="Q788" s="5">
        <v>46112</v>
      </c>
      <c r="R788" t="s">
        <v>100</v>
      </c>
      <c r="S788" t="s">
        <v>51</v>
      </c>
    </row>
    <row r="789" spans="1:19" x14ac:dyDescent="0.25">
      <c r="A789" t="s">
        <v>883</v>
      </c>
      <c r="B789" s="5">
        <v>46066</v>
      </c>
      <c r="C789" t="s">
        <v>48</v>
      </c>
      <c r="D789" t="s">
        <v>49</v>
      </c>
      <c r="E789" t="s">
        <v>50</v>
      </c>
      <c r="F789" t="s">
        <v>88</v>
      </c>
      <c r="G789" t="s">
        <v>57</v>
      </c>
      <c r="H789">
        <v>108</v>
      </c>
      <c r="I789">
        <v>86</v>
      </c>
      <c r="J789">
        <v>2</v>
      </c>
      <c r="K789">
        <v>4.5999999999999996</v>
      </c>
      <c r="L789">
        <v>17096.8</v>
      </c>
      <c r="M789">
        <v>2.7</v>
      </c>
      <c r="N789">
        <v>54</v>
      </c>
      <c r="O789">
        <v>169</v>
      </c>
      <c r="P789" s="5">
        <v>46077</v>
      </c>
      <c r="Q789" s="5">
        <v>46076</v>
      </c>
      <c r="R789" t="s">
        <v>25</v>
      </c>
      <c r="S789" t="s">
        <v>26</v>
      </c>
    </row>
    <row r="790" spans="1:19" x14ac:dyDescent="0.25">
      <c r="A790" t="s">
        <v>884</v>
      </c>
      <c r="B790" s="5">
        <v>46192</v>
      </c>
      <c r="C790" t="s">
        <v>35</v>
      </c>
      <c r="D790" t="s">
        <v>36</v>
      </c>
      <c r="E790" t="s">
        <v>69</v>
      </c>
      <c r="F790" t="s">
        <v>61</v>
      </c>
      <c r="G790" t="s">
        <v>57</v>
      </c>
      <c r="H790">
        <v>117</v>
      </c>
      <c r="I790">
        <v>120</v>
      </c>
      <c r="J790">
        <v>6</v>
      </c>
      <c r="K790">
        <v>3.6</v>
      </c>
      <c r="L790">
        <v>11374.33</v>
      </c>
      <c r="M790">
        <v>4.91</v>
      </c>
      <c r="N790">
        <v>108.02</v>
      </c>
      <c r="O790">
        <v>98</v>
      </c>
      <c r="P790" s="5">
        <v>46199</v>
      </c>
      <c r="Q790" s="5">
        <v>46199</v>
      </c>
      <c r="R790" t="s">
        <v>100</v>
      </c>
      <c r="S790" t="s">
        <v>51</v>
      </c>
    </row>
    <row r="791" spans="1:19" x14ac:dyDescent="0.25">
      <c r="A791" t="s">
        <v>885</v>
      </c>
      <c r="B791" s="5">
        <v>46163</v>
      </c>
      <c r="C791" t="s">
        <v>43</v>
      </c>
      <c r="D791" t="s">
        <v>44</v>
      </c>
      <c r="E791" t="s">
        <v>45</v>
      </c>
      <c r="F791" t="s">
        <v>135</v>
      </c>
      <c r="G791" t="s">
        <v>24</v>
      </c>
      <c r="H791">
        <v>150</v>
      </c>
      <c r="I791">
        <v>109</v>
      </c>
      <c r="J791">
        <v>2</v>
      </c>
      <c r="K791">
        <v>6.3</v>
      </c>
      <c r="L791">
        <v>12665.21</v>
      </c>
      <c r="M791">
        <v>3.11</v>
      </c>
      <c r="N791">
        <v>62.2</v>
      </c>
      <c r="O791">
        <v>147</v>
      </c>
      <c r="P791" s="5">
        <v>46165</v>
      </c>
      <c r="Q791" s="5">
        <v>46165</v>
      </c>
      <c r="R791" t="s">
        <v>25</v>
      </c>
      <c r="S791" t="s">
        <v>72</v>
      </c>
    </row>
    <row r="792" spans="1:19" x14ac:dyDescent="0.25">
      <c r="A792" t="s">
        <v>886</v>
      </c>
      <c r="B792" s="5">
        <v>46135</v>
      </c>
      <c r="C792" t="s">
        <v>35</v>
      </c>
      <c r="D792" t="s">
        <v>36</v>
      </c>
      <c r="E792" t="s">
        <v>37</v>
      </c>
      <c r="F792" t="s">
        <v>91</v>
      </c>
      <c r="G792" t="s">
        <v>57</v>
      </c>
      <c r="H792">
        <v>185</v>
      </c>
      <c r="I792">
        <v>148</v>
      </c>
      <c r="J792">
        <v>7</v>
      </c>
      <c r="K792">
        <v>3.6</v>
      </c>
      <c r="L792">
        <v>15504.97</v>
      </c>
      <c r="M792">
        <v>4.04</v>
      </c>
      <c r="N792">
        <v>88.88</v>
      </c>
      <c r="O792">
        <v>238</v>
      </c>
      <c r="P792" s="5">
        <v>46141</v>
      </c>
      <c r="Q792" s="5">
        <v>46143</v>
      </c>
      <c r="R792" t="s">
        <v>25</v>
      </c>
      <c r="S792" t="s">
        <v>86</v>
      </c>
    </row>
    <row r="793" spans="1:19" x14ac:dyDescent="0.25">
      <c r="A793" t="s">
        <v>887</v>
      </c>
      <c r="B793" s="5">
        <v>46161</v>
      </c>
      <c r="C793" t="s">
        <v>48</v>
      </c>
      <c r="D793" t="s">
        <v>49</v>
      </c>
      <c r="E793" t="s">
        <v>50</v>
      </c>
      <c r="F793" t="s">
        <v>83</v>
      </c>
      <c r="G793" t="s">
        <v>24</v>
      </c>
      <c r="H793">
        <v>257</v>
      </c>
      <c r="I793">
        <v>199</v>
      </c>
      <c r="J793">
        <v>16</v>
      </c>
      <c r="K793">
        <v>8.9</v>
      </c>
      <c r="L793">
        <v>36548.75</v>
      </c>
      <c r="M793">
        <v>4.2</v>
      </c>
      <c r="N793">
        <v>109.2</v>
      </c>
      <c r="O793">
        <v>338</v>
      </c>
      <c r="P793" s="5">
        <v>46171</v>
      </c>
      <c r="Q793" s="5">
        <v>46172</v>
      </c>
      <c r="R793" t="s">
        <v>25</v>
      </c>
      <c r="S793" t="s">
        <v>51</v>
      </c>
    </row>
    <row r="794" spans="1:19" x14ac:dyDescent="0.25">
      <c r="A794" t="s">
        <v>888</v>
      </c>
      <c r="B794" s="5">
        <v>46112</v>
      </c>
      <c r="C794" t="s">
        <v>28</v>
      </c>
      <c r="D794" t="s">
        <v>29</v>
      </c>
      <c r="E794" t="s">
        <v>95</v>
      </c>
      <c r="F794" t="s">
        <v>110</v>
      </c>
      <c r="G794" t="s">
        <v>57</v>
      </c>
      <c r="H794">
        <v>148</v>
      </c>
      <c r="I794">
        <v>143</v>
      </c>
      <c r="J794">
        <v>1</v>
      </c>
      <c r="K794">
        <v>5.6</v>
      </c>
      <c r="L794">
        <v>32098.15</v>
      </c>
      <c r="M794">
        <v>5.85</v>
      </c>
      <c r="N794">
        <v>117</v>
      </c>
      <c r="O794">
        <v>113</v>
      </c>
      <c r="P794" s="5">
        <v>46122</v>
      </c>
      <c r="Q794" s="5">
        <v>46126</v>
      </c>
      <c r="R794" t="s">
        <v>39</v>
      </c>
      <c r="S794" t="s">
        <v>86</v>
      </c>
    </row>
    <row r="795" spans="1:19" x14ac:dyDescent="0.25">
      <c r="A795" t="s">
        <v>889</v>
      </c>
      <c r="B795" s="5">
        <v>46145</v>
      </c>
      <c r="C795" t="s">
        <v>43</v>
      </c>
      <c r="D795" t="s">
        <v>44</v>
      </c>
      <c r="E795" t="s">
        <v>93</v>
      </c>
      <c r="F795" t="s">
        <v>31</v>
      </c>
      <c r="G795" t="s">
        <v>24</v>
      </c>
      <c r="H795">
        <v>254</v>
      </c>
      <c r="I795">
        <v>221</v>
      </c>
      <c r="J795">
        <v>20</v>
      </c>
      <c r="K795">
        <v>2.5</v>
      </c>
      <c r="L795">
        <v>26154.21</v>
      </c>
      <c r="M795">
        <v>4.12</v>
      </c>
      <c r="N795">
        <v>107.12</v>
      </c>
      <c r="O795">
        <v>339</v>
      </c>
      <c r="P795" s="5">
        <v>46153</v>
      </c>
      <c r="Q795" s="5">
        <v>46153</v>
      </c>
      <c r="R795" t="s">
        <v>100</v>
      </c>
      <c r="S795" t="s">
        <v>72</v>
      </c>
    </row>
    <row r="796" spans="1:19" x14ac:dyDescent="0.25">
      <c r="A796" t="s">
        <v>890</v>
      </c>
      <c r="B796" s="5">
        <v>46102</v>
      </c>
      <c r="C796" t="s">
        <v>59</v>
      </c>
      <c r="D796" t="s">
        <v>49</v>
      </c>
      <c r="E796" t="s">
        <v>76</v>
      </c>
      <c r="F796" t="s">
        <v>114</v>
      </c>
      <c r="G796" t="s">
        <v>57</v>
      </c>
      <c r="H796">
        <v>139</v>
      </c>
      <c r="I796">
        <v>134</v>
      </c>
      <c r="J796">
        <v>11</v>
      </c>
      <c r="K796">
        <v>8.5</v>
      </c>
      <c r="L796">
        <v>20619.169999999998</v>
      </c>
      <c r="M796">
        <v>4.5999999999999996</v>
      </c>
      <c r="N796">
        <v>101.2</v>
      </c>
      <c r="O796">
        <v>100</v>
      </c>
      <c r="P796" s="5">
        <v>46113</v>
      </c>
      <c r="Q796" s="5">
        <v>46111</v>
      </c>
      <c r="R796" t="s">
        <v>25</v>
      </c>
      <c r="S796" t="s">
        <v>33</v>
      </c>
    </row>
    <row r="797" spans="1:19" x14ac:dyDescent="0.25">
      <c r="A797" t="s">
        <v>891</v>
      </c>
      <c r="B797" s="5">
        <v>46180</v>
      </c>
      <c r="C797" t="s">
        <v>20</v>
      </c>
      <c r="D797" t="s">
        <v>21</v>
      </c>
      <c r="E797" t="s">
        <v>66</v>
      </c>
      <c r="F797" t="s">
        <v>96</v>
      </c>
      <c r="G797" t="s">
        <v>57</v>
      </c>
      <c r="H797">
        <v>185</v>
      </c>
      <c r="I797">
        <v>191</v>
      </c>
      <c r="J797">
        <v>13</v>
      </c>
      <c r="K797">
        <v>2.2000000000000002</v>
      </c>
      <c r="L797">
        <v>68558.759999999995</v>
      </c>
      <c r="M797">
        <v>4.26</v>
      </c>
      <c r="N797">
        <v>85.2</v>
      </c>
      <c r="O797">
        <v>152</v>
      </c>
      <c r="P797" s="5">
        <v>46192</v>
      </c>
      <c r="Q797" s="5">
        <v>46196</v>
      </c>
      <c r="R797" t="s">
        <v>25</v>
      </c>
      <c r="S797" t="s">
        <v>33</v>
      </c>
    </row>
    <row r="798" spans="1:19" x14ac:dyDescent="0.25">
      <c r="A798" t="s">
        <v>892</v>
      </c>
      <c r="B798" s="5">
        <v>46126</v>
      </c>
      <c r="C798" t="s">
        <v>35</v>
      </c>
      <c r="D798" t="s">
        <v>36</v>
      </c>
      <c r="E798" t="s">
        <v>69</v>
      </c>
      <c r="F798" t="s">
        <v>46</v>
      </c>
      <c r="G798" t="s">
        <v>57</v>
      </c>
      <c r="H798">
        <v>177</v>
      </c>
      <c r="I798">
        <v>180</v>
      </c>
      <c r="J798">
        <v>3</v>
      </c>
      <c r="K798">
        <v>3.1</v>
      </c>
      <c r="L798">
        <v>13613.07</v>
      </c>
      <c r="M798">
        <v>6.3</v>
      </c>
      <c r="N798">
        <v>138.6</v>
      </c>
      <c r="O798">
        <v>264</v>
      </c>
      <c r="P798" s="5">
        <v>46129</v>
      </c>
      <c r="Q798" s="5">
        <v>46129</v>
      </c>
      <c r="R798" t="s">
        <v>25</v>
      </c>
      <c r="S798" t="s">
        <v>51</v>
      </c>
    </row>
    <row r="799" spans="1:19" x14ac:dyDescent="0.25">
      <c r="A799" t="s">
        <v>893</v>
      </c>
      <c r="B799" s="5">
        <v>46112</v>
      </c>
      <c r="C799" t="s">
        <v>20</v>
      </c>
      <c r="D799" t="s">
        <v>21</v>
      </c>
      <c r="E799" t="s">
        <v>90</v>
      </c>
      <c r="F799" t="s">
        <v>135</v>
      </c>
      <c r="G799" t="s">
        <v>57</v>
      </c>
      <c r="H799">
        <v>195</v>
      </c>
      <c r="I799">
        <v>203</v>
      </c>
      <c r="J799">
        <v>10</v>
      </c>
      <c r="K799">
        <v>0.2</v>
      </c>
      <c r="L799">
        <v>77061.66</v>
      </c>
      <c r="M799">
        <v>3.94</v>
      </c>
      <c r="N799">
        <v>86.68</v>
      </c>
      <c r="O799">
        <v>179</v>
      </c>
      <c r="P799" s="5">
        <v>46116</v>
      </c>
      <c r="Q799" s="5">
        <v>46114</v>
      </c>
      <c r="R799" t="s">
        <v>39</v>
      </c>
      <c r="S799" t="s">
        <v>86</v>
      </c>
    </row>
    <row r="800" spans="1:19" x14ac:dyDescent="0.25">
      <c r="A800" t="s">
        <v>894</v>
      </c>
      <c r="B800" s="5">
        <v>46121</v>
      </c>
      <c r="C800" t="s">
        <v>59</v>
      </c>
      <c r="D800" t="s">
        <v>49</v>
      </c>
      <c r="E800" t="s">
        <v>50</v>
      </c>
      <c r="F800" t="s">
        <v>56</v>
      </c>
      <c r="G800" t="s">
        <v>24</v>
      </c>
      <c r="H800">
        <v>284</v>
      </c>
      <c r="I800">
        <v>315</v>
      </c>
      <c r="J800">
        <v>17</v>
      </c>
      <c r="K800">
        <v>7.7</v>
      </c>
      <c r="L800">
        <v>58691</v>
      </c>
      <c r="M800">
        <v>10.36</v>
      </c>
      <c r="N800">
        <v>207.2</v>
      </c>
      <c r="O800">
        <v>381</v>
      </c>
      <c r="P800" s="5">
        <v>46126</v>
      </c>
      <c r="Q800" s="5">
        <v>46127</v>
      </c>
      <c r="R800" t="s">
        <v>25</v>
      </c>
      <c r="S800" t="s">
        <v>51</v>
      </c>
    </row>
    <row r="801" spans="1:19" x14ac:dyDescent="0.25">
      <c r="A801" t="s">
        <v>895</v>
      </c>
      <c r="B801" s="5">
        <v>46176</v>
      </c>
      <c r="C801" t="s">
        <v>48</v>
      </c>
      <c r="D801" t="s">
        <v>49</v>
      </c>
      <c r="E801" t="s">
        <v>60</v>
      </c>
      <c r="F801" t="s">
        <v>67</v>
      </c>
      <c r="G801" t="s">
        <v>32</v>
      </c>
      <c r="H801">
        <v>125</v>
      </c>
      <c r="I801">
        <v>137</v>
      </c>
      <c r="J801">
        <v>9</v>
      </c>
      <c r="K801">
        <v>7.9</v>
      </c>
      <c r="L801">
        <v>21944.75</v>
      </c>
      <c r="M801">
        <v>5.16</v>
      </c>
      <c r="N801">
        <v>92.88</v>
      </c>
      <c r="O801">
        <v>94</v>
      </c>
      <c r="P801" s="5">
        <v>46186</v>
      </c>
      <c r="Q801" s="5">
        <v>46185</v>
      </c>
      <c r="R801" t="s">
        <v>25</v>
      </c>
      <c r="S801" t="s">
        <v>33</v>
      </c>
    </row>
    <row r="802" spans="1:19" x14ac:dyDescent="0.25">
      <c r="A802" t="s">
        <v>896</v>
      </c>
      <c r="B802" s="5">
        <v>46112</v>
      </c>
      <c r="C802" t="s">
        <v>43</v>
      </c>
      <c r="D802" t="s">
        <v>44</v>
      </c>
      <c r="E802" t="s">
        <v>45</v>
      </c>
      <c r="F802" t="s">
        <v>41</v>
      </c>
      <c r="G802" t="s">
        <v>24</v>
      </c>
      <c r="H802">
        <v>212</v>
      </c>
      <c r="I802">
        <v>167</v>
      </c>
      <c r="J802">
        <v>2</v>
      </c>
      <c r="K802">
        <v>1.7</v>
      </c>
      <c r="L802">
        <v>17704.23</v>
      </c>
      <c r="M802">
        <v>4.3600000000000003</v>
      </c>
      <c r="N802">
        <v>104.64</v>
      </c>
      <c r="O802">
        <v>312</v>
      </c>
      <c r="P802" s="5">
        <v>46120</v>
      </c>
      <c r="Q802" s="5">
        <v>46124</v>
      </c>
      <c r="R802" t="s">
        <v>25</v>
      </c>
      <c r="S802" t="s">
        <v>33</v>
      </c>
    </row>
    <row r="803" spans="1:19" x14ac:dyDescent="0.25">
      <c r="A803" t="s">
        <v>897</v>
      </c>
      <c r="B803" s="5">
        <v>46109</v>
      </c>
      <c r="C803" t="s">
        <v>28</v>
      </c>
      <c r="D803" t="s">
        <v>29</v>
      </c>
      <c r="E803" t="s">
        <v>95</v>
      </c>
      <c r="F803" t="s">
        <v>67</v>
      </c>
      <c r="G803" t="s">
        <v>24</v>
      </c>
      <c r="H803">
        <v>116</v>
      </c>
      <c r="I803">
        <v>95</v>
      </c>
      <c r="J803">
        <v>7</v>
      </c>
      <c r="K803">
        <v>1.7</v>
      </c>
      <c r="L803">
        <v>20173.349999999999</v>
      </c>
      <c r="M803">
        <v>3.8</v>
      </c>
      <c r="N803">
        <v>91.2</v>
      </c>
      <c r="O803">
        <v>101</v>
      </c>
      <c r="P803" s="5">
        <v>46119</v>
      </c>
      <c r="Q803" s="5">
        <v>46118</v>
      </c>
      <c r="R803" t="s">
        <v>25</v>
      </c>
      <c r="S803" t="s">
        <v>26</v>
      </c>
    </row>
    <row r="804" spans="1:19" x14ac:dyDescent="0.25">
      <c r="A804" t="s">
        <v>898</v>
      </c>
      <c r="B804" s="5">
        <v>46170</v>
      </c>
      <c r="C804" t="s">
        <v>35</v>
      </c>
      <c r="D804" t="s">
        <v>36</v>
      </c>
      <c r="E804" t="s">
        <v>37</v>
      </c>
      <c r="F804" t="s">
        <v>96</v>
      </c>
      <c r="G804" t="s">
        <v>24</v>
      </c>
      <c r="H804">
        <v>152</v>
      </c>
      <c r="I804">
        <v>130</v>
      </c>
      <c r="J804">
        <v>5</v>
      </c>
      <c r="K804">
        <v>1.8</v>
      </c>
      <c r="L804">
        <v>13610.19</v>
      </c>
      <c r="M804">
        <v>3.7</v>
      </c>
      <c r="N804">
        <v>66.599999999999994</v>
      </c>
      <c r="O804">
        <v>237</v>
      </c>
      <c r="P804" s="5">
        <v>46172</v>
      </c>
      <c r="Q804" s="5">
        <v>46176</v>
      </c>
      <c r="R804" t="s">
        <v>25</v>
      </c>
      <c r="S804" t="s">
        <v>72</v>
      </c>
    </row>
    <row r="805" spans="1:19" x14ac:dyDescent="0.25">
      <c r="A805" t="s">
        <v>899</v>
      </c>
      <c r="B805" s="5">
        <v>46179</v>
      </c>
      <c r="C805" t="s">
        <v>35</v>
      </c>
      <c r="D805" t="s">
        <v>36</v>
      </c>
      <c r="E805" t="s">
        <v>69</v>
      </c>
      <c r="F805" t="s">
        <v>112</v>
      </c>
      <c r="G805" t="s">
        <v>57</v>
      </c>
      <c r="H805">
        <v>207</v>
      </c>
      <c r="I805">
        <v>237</v>
      </c>
      <c r="J805">
        <v>17</v>
      </c>
      <c r="K805">
        <v>6.9</v>
      </c>
      <c r="L805">
        <v>23556.79</v>
      </c>
      <c r="M805">
        <v>4.5</v>
      </c>
      <c r="N805">
        <v>81</v>
      </c>
      <c r="O805">
        <v>245</v>
      </c>
      <c r="P805" s="5">
        <v>46190</v>
      </c>
      <c r="Q805" s="5">
        <v>46190</v>
      </c>
      <c r="R805" t="s">
        <v>25</v>
      </c>
      <c r="S805" t="s">
        <v>26</v>
      </c>
    </row>
    <row r="806" spans="1:19" x14ac:dyDescent="0.25">
      <c r="A806" t="s">
        <v>900</v>
      </c>
      <c r="B806" s="5">
        <v>46030</v>
      </c>
      <c r="C806" t="s">
        <v>80</v>
      </c>
      <c r="D806" t="s">
        <v>21</v>
      </c>
      <c r="E806" t="s">
        <v>90</v>
      </c>
      <c r="F806" t="s">
        <v>67</v>
      </c>
      <c r="G806" t="s">
        <v>57</v>
      </c>
      <c r="H806">
        <v>178</v>
      </c>
      <c r="I806">
        <v>142</v>
      </c>
      <c r="J806">
        <v>13</v>
      </c>
      <c r="K806">
        <v>0.5</v>
      </c>
      <c r="L806">
        <v>46540.49</v>
      </c>
      <c r="M806">
        <v>5.07</v>
      </c>
      <c r="N806">
        <v>131.82</v>
      </c>
      <c r="O806">
        <v>183</v>
      </c>
      <c r="P806" s="5">
        <v>46040</v>
      </c>
      <c r="Q806" s="5">
        <v>46041</v>
      </c>
      <c r="R806" t="s">
        <v>25</v>
      </c>
      <c r="S806" t="s">
        <v>33</v>
      </c>
    </row>
    <row r="807" spans="1:19" x14ac:dyDescent="0.25">
      <c r="A807" t="s">
        <v>901</v>
      </c>
      <c r="B807" s="5">
        <v>46140</v>
      </c>
      <c r="C807" t="s">
        <v>43</v>
      </c>
      <c r="D807" t="s">
        <v>44</v>
      </c>
      <c r="E807" t="s">
        <v>93</v>
      </c>
      <c r="F807" t="s">
        <v>38</v>
      </c>
      <c r="G807" t="s">
        <v>57</v>
      </c>
      <c r="H807">
        <v>262</v>
      </c>
      <c r="I807">
        <v>224</v>
      </c>
      <c r="J807">
        <v>15</v>
      </c>
      <c r="K807">
        <v>4.5</v>
      </c>
      <c r="L807">
        <v>27804.95</v>
      </c>
      <c r="M807">
        <v>4.28</v>
      </c>
      <c r="N807">
        <v>102.72</v>
      </c>
      <c r="O807">
        <v>274</v>
      </c>
      <c r="P807" s="5">
        <v>46143</v>
      </c>
      <c r="Q807" s="5">
        <v>46143</v>
      </c>
      <c r="R807" t="s">
        <v>25</v>
      </c>
      <c r="S807" t="s">
        <v>86</v>
      </c>
    </row>
    <row r="808" spans="1:19" x14ac:dyDescent="0.25">
      <c r="A808" t="s">
        <v>902</v>
      </c>
      <c r="B808" s="5">
        <v>46068</v>
      </c>
      <c r="C808" t="s">
        <v>35</v>
      </c>
      <c r="D808" t="s">
        <v>36</v>
      </c>
      <c r="E808" t="s">
        <v>37</v>
      </c>
      <c r="F808" t="s">
        <v>106</v>
      </c>
      <c r="G808" t="s">
        <v>57</v>
      </c>
      <c r="H808">
        <v>175</v>
      </c>
      <c r="I808">
        <v>195</v>
      </c>
      <c r="J808">
        <v>8</v>
      </c>
      <c r="K808">
        <v>1.4</v>
      </c>
      <c r="L808">
        <v>19199.02</v>
      </c>
      <c r="M808">
        <v>4.72</v>
      </c>
      <c r="N808">
        <v>113.28</v>
      </c>
      <c r="O808">
        <v>214</v>
      </c>
      <c r="P808" s="5">
        <v>46073</v>
      </c>
      <c r="Q808" s="5">
        <v>46073</v>
      </c>
      <c r="R808" t="s">
        <v>100</v>
      </c>
      <c r="S808" t="s">
        <v>72</v>
      </c>
    </row>
    <row r="809" spans="1:19" x14ac:dyDescent="0.25">
      <c r="A809" t="s">
        <v>903</v>
      </c>
      <c r="B809" s="5">
        <v>46128</v>
      </c>
      <c r="C809" t="s">
        <v>35</v>
      </c>
      <c r="D809" t="s">
        <v>36</v>
      </c>
      <c r="E809" t="s">
        <v>69</v>
      </c>
      <c r="F809" t="s">
        <v>110</v>
      </c>
      <c r="G809" t="s">
        <v>57</v>
      </c>
      <c r="H809">
        <v>295</v>
      </c>
      <c r="I809">
        <v>326</v>
      </c>
      <c r="J809">
        <v>25</v>
      </c>
      <c r="K809">
        <v>4.4000000000000004</v>
      </c>
      <c r="L809">
        <v>32151.94</v>
      </c>
      <c r="M809">
        <v>8.9600000000000009</v>
      </c>
      <c r="N809">
        <v>215.04</v>
      </c>
      <c r="O809">
        <v>287</v>
      </c>
      <c r="P809" s="5">
        <v>46140</v>
      </c>
      <c r="Q809" s="5">
        <v>46140</v>
      </c>
      <c r="R809" t="s">
        <v>25</v>
      </c>
      <c r="S809" t="s">
        <v>33</v>
      </c>
    </row>
    <row r="810" spans="1:19" x14ac:dyDescent="0.25">
      <c r="A810" t="s">
        <v>904</v>
      </c>
      <c r="B810" s="5">
        <v>46063</v>
      </c>
      <c r="C810" t="s">
        <v>53</v>
      </c>
      <c r="D810" t="s">
        <v>54</v>
      </c>
      <c r="E810" t="s">
        <v>55</v>
      </c>
      <c r="F810" t="s">
        <v>122</v>
      </c>
      <c r="G810" t="s">
        <v>57</v>
      </c>
      <c r="H810">
        <v>126</v>
      </c>
      <c r="I810">
        <v>119</v>
      </c>
      <c r="J810">
        <v>2</v>
      </c>
      <c r="K810">
        <v>6.7</v>
      </c>
      <c r="L810">
        <v>20928.18</v>
      </c>
      <c r="M810">
        <v>4.13</v>
      </c>
      <c r="N810">
        <v>90.86</v>
      </c>
      <c r="O810">
        <v>223</v>
      </c>
      <c r="P810" s="5">
        <v>46069</v>
      </c>
      <c r="Q810" s="5">
        <v>46069</v>
      </c>
      <c r="R810" t="s">
        <v>39</v>
      </c>
      <c r="S810" t="s">
        <v>33</v>
      </c>
    </row>
    <row r="811" spans="1:19" x14ac:dyDescent="0.25">
      <c r="A811" t="s">
        <v>905</v>
      </c>
      <c r="B811" s="5">
        <v>46124</v>
      </c>
      <c r="C811" t="s">
        <v>28</v>
      </c>
      <c r="D811" t="s">
        <v>29</v>
      </c>
      <c r="E811" t="s">
        <v>63</v>
      </c>
      <c r="F811" t="s">
        <v>23</v>
      </c>
      <c r="G811" t="s">
        <v>32</v>
      </c>
      <c r="H811">
        <v>222</v>
      </c>
      <c r="I811">
        <v>240</v>
      </c>
      <c r="J811">
        <v>5</v>
      </c>
      <c r="K811">
        <v>4.7</v>
      </c>
      <c r="L811">
        <v>45434.400000000001</v>
      </c>
      <c r="M811">
        <v>4.96</v>
      </c>
      <c r="N811">
        <v>89.28</v>
      </c>
      <c r="O811">
        <v>281</v>
      </c>
      <c r="P811" s="5">
        <v>46128</v>
      </c>
      <c r="Q811" s="5">
        <v>46127</v>
      </c>
      <c r="R811" t="s">
        <v>25</v>
      </c>
      <c r="S811" t="s">
        <v>26</v>
      </c>
    </row>
    <row r="812" spans="1:19" x14ac:dyDescent="0.25">
      <c r="A812" t="s">
        <v>906</v>
      </c>
      <c r="B812" s="5">
        <v>46117</v>
      </c>
      <c r="C812" t="s">
        <v>53</v>
      </c>
      <c r="D812" t="s">
        <v>54</v>
      </c>
      <c r="E812" t="s">
        <v>55</v>
      </c>
      <c r="F812" t="s">
        <v>96</v>
      </c>
      <c r="G812" t="s">
        <v>32</v>
      </c>
      <c r="H812">
        <v>193</v>
      </c>
      <c r="I812">
        <v>188</v>
      </c>
      <c r="J812">
        <v>1</v>
      </c>
      <c r="K812">
        <v>8.4</v>
      </c>
      <c r="L812">
        <v>26988.87</v>
      </c>
      <c r="M812">
        <v>4.33</v>
      </c>
      <c r="N812">
        <v>95.26</v>
      </c>
      <c r="O812">
        <v>164</v>
      </c>
      <c r="P812" s="5">
        <v>46128</v>
      </c>
      <c r="Q812" s="5">
        <v>46126</v>
      </c>
      <c r="R812" t="s">
        <v>25</v>
      </c>
      <c r="S812" t="s">
        <v>51</v>
      </c>
    </row>
    <row r="813" spans="1:19" x14ac:dyDescent="0.25">
      <c r="A813" t="s">
        <v>907</v>
      </c>
      <c r="B813" s="5">
        <v>46112</v>
      </c>
      <c r="C813" t="s">
        <v>53</v>
      </c>
      <c r="D813" t="s">
        <v>54</v>
      </c>
      <c r="E813" t="s">
        <v>55</v>
      </c>
      <c r="F813" t="s">
        <v>56</v>
      </c>
      <c r="G813" t="s">
        <v>32</v>
      </c>
      <c r="H813">
        <v>310</v>
      </c>
      <c r="I813">
        <v>309</v>
      </c>
      <c r="J813">
        <v>12</v>
      </c>
      <c r="K813">
        <v>1.4</v>
      </c>
      <c r="L813">
        <v>36068.660000000003</v>
      </c>
      <c r="M813">
        <v>6.93</v>
      </c>
      <c r="N813">
        <v>138.6</v>
      </c>
      <c r="O813">
        <v>355</v>
      </c>
      <c r="P813" s="5">
        <v>46124</v>
      </c>
      <c r="Q813" s="5">
        <v>46128</v>
      </c>
      <c r="R813" t="s">
        <v>25</v>
      </c>
      <c r="S813" t="s">
        <v>33</v>
      </c>
    </row>
    <row r="814" spans="1:19" x14ac:dyDescent="0.25">
      <c r="A814" t="s">
        <v>908</v>
      </c>
      <c r="B814" s="5">
        <v>46085</v>
      </c>
      <c r="C814" t="s">
        <v>59</v>
      </c>
      <c r="D814" t="s">
        <v>49</v>
      </c>
      <c r="E814" t="s">
        <v>60</v>
      </c>
      <c r="F814" t="s">
        <v>170</v>
      </c>
      <c r="G814" t="s">
        <v>57</v>
      </c>
      <c r="H814">
        <v>121</v>
      </c>
      <c r="I814">
        <v>94</v>
      </c>
      <c r="J814">
        <v>8</v>
      </c>
      <c r="K814">
        <v>0.5</v>
      </c>
      <c r="L814">
        <v>17084.400000000001</v>
      </c>
      <c r="M814">
        <v>2.9</v>
      </c>
      <c r="N814">
        <v>75.400000000000006</v>
      </c>
      <c r="O814">
        <v>124</v>
      </c>
      <c r="P814" s="5">
        <v>46092</v>
      </c>
      <c r="Q814" s="5">
        <v>46093</v>
      </c>
      <c r="R814" t="s">
        <v>25</v>
      </c>
      <c r="S814" t="s">
        <v>51</v>
      </c>
    </row>
    <row r="815" spans="1:19" x14ac:dyDescent="0.25">
      <c r="A815" t="s">
        <v>909</v>
      </c>
      <c r="B815" s="5">
        <v>46024</v>
      </c>
      <c r="C815" t="s">
        <v>35</v>
      </c>
      <c r="D815" t="s">
        <v>36</v>
      </c>
      <c r="E815" t="s">
        <v>37</v>
      </c>
      <c r="F815" t="s">
        <v>110</v>
      </c>
      <c r="G815" t="s">
        <v>32</v>
      </c>
      <c r="H815">
        <v>224</v>
      </c>
      <c r="I815">
        <v>166</v>
      </c>
      <c r="J815">
        <v>6</v>
      </c>
      <c r="K815">
        <v>5.0999999999999996</v>
      </c>
      <c r="L815">
        <v>18459.5</v>
      </c>
      <c r="M815">
        <v>3.13</v>
      </c>
      <c r="N815">
        <v>81.38</v>
      </c>
      <c r="O815">
        <v>202</v>
      </c>
      <c r="P815" s="5">
        <v>46026</v>
      </c>
      <c r="Q815" s="5">
        <v>46030</v>
      </c>
      <c r="R815" t="s">
        <v>39</v>
      </c>
      <c r="S815" t="s">
        <v>86</v>
      </c>
    </row>
    <row r="816" spans="1:19" x14ac:dyDescent="0.25">
      <c r="A816" t="s">
        <v>910</v>
      </c>
      <c r="B816" s="5">
        <v>46198</v>
      </c>
      <c r="C816" t="s">
        <v>35</v>
      </c>
      <c r="D816" t="s">
        <v>36</v>
      </c>
      <c r="E816" t="s">
        <v>69</v>
      </c>
      <c r="F816" t="s">
        <v>170</v>
      </c>
      <c r="G816" t="s">
        <v>32</v>
      </c>
      <c r="H816">
        <v>313</v>
      </c>
      <c r="I816">
        <v>326</v>
      </c>
      <c r="J816">
        <v>21</v>
      </c>
      <c r="K816">
        <v>5.5</v>
      </c>
      <c r="L816">
        <v>32045.85</v>
      </c>
      <c r="M816">
        <v>9.43</v>
      </c>
      <c r="N816">
        <v>188.6</v>
      </c>
      <c r="O816">
        <v>389</v>
      </c>
      <c r="P816" s="5">
        <v>46208</v>
      </c>
      <c r="Q816" s="5">
        <v>46209</v>
      </c>
      <c r="R816" t="s">
        <v>25</v>
      </c>
      <c r="S816" t="s">
        <v>51</v>
      </c>
    </row>
    <row r="817" spans="1:19" x14ac:dyDescent="0.25">
      <c r="A817" t="s">
        <v>911</v>
      </c>
      <c r="B817" s="5">
        <v>46122</v>
      </c>
      <c r="C817" t="s">
        <v>59</v>
      </c>
      <c r="D817" t="s">
        <v>49</v>
      </c>
      <c r="E817" t="s">
        <v>50</v>
      </c>
      <c r="F817" t="s">
        <v>46</v>
      </c>
      <c r="G817" t="s">
        <v>32</v>
      </c>
      <c r="H817">
        <v>174</v>
      </c>
      <c r="I817">
        <v>180</v>
      </c>
      <c r="J817">
        <v>7</v>
      </c>
      <c r="K817">
        <v>2.7</v>
      </c>
      <c r="L817">
        <v>25626.17</v>
      </c>
      <c r="M817">
        <v>7.04</v>
      </c>
      <c r="N817">
        <v>140.80000000000001</v>
      </c>
      <c r="O817">
        <v>236</v>
      </c>
      <c r="P817" s="5">
        <v>46126</v>
      </c>
      <c r="Q817" s="5">
        <v>46127</v>
      </c>
      <c r="R817" t="s">
        <v>25</v>
      </c>
      <c r="S817" t="s">
        <v>72</v>
      </c>
    </row>
    <row r="818" spans="1:19" x14ac:dyDescent="0.25">
      <c r="A818" t="s">
        <v>912</v>
      </c>
      <c r="B818" s="5">
        <v>46140</v>
      </c>
      <c r="C818" t="s">
        <v>53</v>
      </c>
      <c r="D818" t="s">
        <v>54</v>
      </c>
      <c r="E818" t="s">
        <v>131</v>
      </c>
      <c r="F818" t="s">
        <v>137</v>
      </c>
      <c r="G818" t="s">
        <v>32</v>
      </c>
      <c r="H818">
        <v>179</v>
      </c>
      <c r="I818">
        <v>164</v>
      </c>
      <c r="J818">
        <v>5</v>
      </c>
      <c r="K818">
        <v>6</v>
      </c>
      <c r="L818">
        <v>20499.689999999999</v>
      </c>
      <c r="M818">
        <v>3.92</v>
      </c>
      <c r="N818">
        <v>78.400000000000006</v>
      </c>
      <c r="O818">
        <v>188</v>
      </c>
      <c r="P818" s="5">
        <v>46152</v>
      </c>
      <c r="Q818" s="5">
        <v>46153</v>
      </c>
      <c r="R818" t="s">
        <v>100</v>
      </c>
      <c r="S818" t="s">
        <v>86</v>
      </c>
    </row>
    <row r="819" spans="1:19" x14ac:dyDescent="0.25">
      <c r="A819" t="s">
        <v>913</v>
      </c>
      <c r="B819" s="5">
        <v>46187</v>
      </c>
      <c r="C819" t="s">
        <v>59</v>
      </c>
      <c r="D819" t="s">
        <v>49</v>
      </c>
      <c r="E819" t="s">
        <v>50</v>
      </c>
      <c r="F819" t="s">
        <v>96</v>
      </c>
      <c r="G819" t="s">
        <v>24</v>
      </c>
      <c r="H819">
        <v>180</v>
      </c>
      <c r="I819">
        <v>140</v>
      </c>
      <c r="J819">
        <v>2</v>
      </c>
      <c r="K819">
        <v>5.9</v>
      </c>
      <c r="L819">
        <v>24712.23</v>
      </c>
      <c r="M819">
        <v>5.12</v>
      </c>
      <c r="N819">
        <v>133.12</v>
      </c>
      <c r="O819">
        <v>245</v>
      </c>
      <c r="P819" s="5">
        <v>46189</v>
      </c>
      <c r="Q819" s="5">
        <v>46189</v>
      </c>
      <c r="R819" t="s">
        <v>25</v>
      </c>
      <c r="S819" t="s">
        <v>51</v>
      </c>
    </row>
    <row r="820" spans="1:19" x14ac:dyDescent="0.25">
      <c r="A820" t="s">
        <v>914</v>
      </c>
      <c r="B820" s="5">
        <v>46191</v>
      </c>
      <c r="C820" t="s">
        <v>35</v>
      </c>
      <c r="D820" t="s">
        <v>36</v>
      </c>
      <c r="E820" t="s">
        <v>69</v>
      </c>
      <c r="F820" t="s">
        <v>83</v>
      </c>
      <c r="G820" t="s">
        <v>57</v>
      </c>
      <c r="H820">
        <v>126</v>
      </c>
      <c r="I820">
        <v>141</v>
      </c>
      <c r="J820">
        <v>1</v>
      </c>
      <c r="K820">
        <v>1.9</v>
      </c>
      <c r="L820">
        <v>12131.09</v>
      </c>
      <c r="M820">
        <v>5.87</v>
      </c>
      <c r="N820">
        <v>152.62</v>
      </c>
      <c r="O820">
        <v>125</v>
      </c>
      <c r="P820" s="5">
        <v>46203</v>
      </c>
      <c r="Q820" s="5">
        <v>46205</v>
      </c>
      <c r="R820" t="s">
        <v>39</v>
      </c>
      <c r="S820" t="s">
        <v>51</v>
      </c>
    </row>
    <row r="821" spans="1:19" x14ac:dyDescent="0.25">
      <c r="A821" t="s">
        <v>915</v>
      </c>
      <c r="B821" s="5">
        <v>46128</v>
      </c>
      <c r="C821" t="s">
        <v>48</v>
      </c>
      <c r="D821" t="s">
        <v>49</v>
      </c>
      <c r="E821" t="s">
        <v>76</v>
      </c>
      <c r="F821" t="s">
        <v>135</v>
      </c>
      <c r="G821" t="s">
        <v>57</v>
      </c>
      <c r="H821">
        <v>142</v>
      </c>
      <c r="I821">
        <v>155</v>
      </c>
      <c r="J821">
        <v>2</v>
      </c>
      <c r="K821">
        <v>8.4</v>
      </c>
      <c r="L821">
        <v>32308.95</v>
      </c>
      <c r="M821">
        <v>5.07</v>
      </c>
      <c r="N821">
        <v>91.26</v>
      </c>
      <c r="O821">
        <v>126</v>
      </c>
      <c r="P821" s="5">
        <v>46131</v>
      </c>
      <c r="Q821" s="5">
        <v>46130</v>
      </c>
      <c r="R821" t="s">
        <v>25</v>
      </c>
      <c r="S821" t="s">
        <v>86</v>
      </c>
    </row>
    <row r="822" spans="1:19" x14ac:dyDescent="0.25">
      <c r="A822" t="s">
        <v>916</v>
      </c>
      <c r="B822" s="5">
        <v>46046</v>
      </c>
      <c r="C822" t="s">
        <v>48</v>
      </c>
      <c r="D822" t="s">
        <v>49</v>
      </c>
      <c r="E822" t="s">
        <v>76</v>
      </c>
      <c r="F822" t="s">
        <v>125</v>
      </c>
      <c r="G822" t="s">
        <v>57</v>
      </c>
      <c r="H822">
        <v>131</v>
      </c>
      <c r="I822">
        <v>136</v>
      </c>
      <c r="J822">
        <v>12</v>
      </c>
      <c r="K822">
        <v>2.8</v>
      </c>
      <c r="L822">
        <v>23710.63</v>
      </c>
      <c r="M822">
        <v>3.48</v>
      </c>
      <c r="N822">
        <v>83.52</v>
      </c>
      <c r="O822">
        <v>212</v>
      </c>
      <c r="P822" s="5">
        <v>46053</v>
      </c>
      <c r="Q822" s="5">
        <v>46053</v>
      </c>
      <c r="R822" t="s">
        <v>25</v>
      </c>
      <c r="S822" t="s">
        <v>26</v>
      </c>
    </row>
    <row r="823" spans="1:19" x14ac:dyDescent="0.25">
      <c r="A823" t="s">
        <v>917</v>
      </c>
      <c r="B823" s="5">
        <v>46063</v>
      </c>
      <c r="C823" t="s">
        <v>43</v>
      </c>
      <c r="D823" t="s">
        <v>44</v>
      </c>
      <c r="E823" t="s">
        <v>93</v>
      </c>
      <c r="F823" t="s">
        <v>71</v>
      </c>
      <c r="G823" t="s">
        <v>57</v>
      </c>
      <c r="H823">
        <v>186</v>
      </c>
      <c r="I823">
        <v>143</v>
      </c>
      <c r="J823">
        <v>12</v>
      </c>
      <c r="K823">
        <v>3.7</v>
      </c>
      <c r="L823">
        <v>17763.419999999998</v>
      </c>
      <c r="M823">
        <v>4.9800000000000004</v>
      </c>
      <c r="N823">
        <v>109.56</v>
      </c>
      <c r="O823">
        <v>209</v>
      </c>
      <c r="P823" s="5">
        <v>46066</v>
      </c>
      <c r="Q823" s="5">
        <v>46066</v>
      </c>
      <c r="R823" t="s">
        <v>100</v>
      </c>
      <c r="S823" t="s">
        <v>51</v>
      </c>
    </row>
    <row r="824" spans="1:19" x14ac:dyDescent="0.25">
      <c r="A824" t="s">
        <v>918</v>
      </c>
      <c r="B824" s="5">
        <v>46120</v>
      </c>
      <c r="C824" t="s">
        <v>53</v>
      </c>
      <c r="D824" t="s">
        <v>54</v>
      </c>
      <c r="E824" t="s">
        <v>131</v>
      </c>
      <c r="F824" t="s">
        <v>91</v>
      </c>
      <c r="G824" t="s">
        <v>32</v>
      </c>
      <c r="H824">
        <v>202</v>
      </c>
      <c r="I824">
        <v>160</v>
      </c>
      <c r="J824">
        <v>1</v>
      </c>
      <c r="K824">
        <v>6.2</v>
      </c>
      <c r="L824">
        <v>28415.86</v>
      </c>
      <c r="M824">
        <v>5.13</v>
      </c>
      <c r="N824">
        <v>102.6</v>
      </c>
      <c r="O824">
        <v>276</v>
      </c>
      <c r="P824" s="5">
        <v>46122</v>
      </c>
      <c r="Q824" s="5">
        <v>46126</v>
      </c>
      <c r="R824" t="s">
        <v>39</v>
      </c>
      <c r="S824" t="s">
        <v>33</v>
      </c>
    </row>
    <row r="825" spans="1:19" x14ac:dyDescent="0.25">
      <c r="A825" t="s">
        <v>919</v>
      </c>
      <c r="B825" s="5">
        <v>46117</v>
      </c>
      <c r="C825" t="s">
        <v>20</v>
      </c>
      <c r="D825" t="s">
        <v>21</v>
      </c>
      <c r="E825" t="s">
        <v>22</v>
      </c>
      <c r="F825" t="s">
        <v>104</v>
      </c>
      <c r="G825" t="s">
        <v>32</v>
      </c>
      <c r="H825">
        <v>114</v>
      </c>
      <c r="I825">
        <v>112</v>
      </c>
      <c r="J825">
        <v>7</v>
      </c>
      <c r="K825">
        <v>8.3000000000000007</v>
      </c>
      <c r="L825">
        <v>34824.1</v>
      </c>
      <c r="M825">
        <v>4.5999999999999996</v>
      </c>
      <c r="N825">
        <v>92</v>
      </c>
      <c r="O825">
        <v>156</v>
      </c>
      <c r="P825" s="5">
        <v>46123</v>
      </c>
      <c r="Q825" s="5">
        <v>46122</v>
      </c>
      <c r="R825" t="s">
        <v>25</v>
      </c>
      <c r="S825" t="s">
        <v>33</v>
      </c>
    </row>
    <row r="826" spans="1:19" x14ac:dyDescent="0.25">
      <c r="A826" t="s">
        <v>920</v>
      </c>
      <c r="B826" s="5">
        <v>46182</v>
      </c>
      <c r="C826" t="s">
        <v>35</v>
      </c>
      <c r="D826" t="s">
        <v>36</v>
      </c>
      <c r="E826" t="s">
        <v>37</v>
      </c>
      <c r="F826" t="s">
        <v>122</v>
      </c>
      <c r="G826" t="s">
        <v>32</v>
      </c>
      <c r="H826">
        <v>173</v>
      </c>
      <c r="I826">
        <v>187</v>
      </c>
      <c r="J826">
        <v>4</v>
      </c>
      <c r="K826">
        <v>2.5</v>
      </c>
      <c r="L826">
        <v>19276</v>
      </c>
      <c r="M826">
        <v>5.56</v>
      </c>
      <c r="N826">
        <v>111.2</v>
      </c>
      <c r="O826">
        <v>146</v>
      </c>
      <c r="P826" s="5">
        <v>46194</v>
      </c>
      <c r="Q826" s="5">
        <v>46194</v>
      </c>
      <c r="R826" t="s">
        <v>25</v>
      </c>
      <c r="S826" t="s">
        <v>72</v>
      </c>
    </row>
    <row r="827" spans="1:19" x14ac:dyDescent="0.25">
      <c r="A827" t="s">
        <v>921</v>
      </c>
      <c r="B827" s="5">
        <v>46109</v>
      </c>
      <c r="C827" t="s">
        <v>80</v>
      </c>
      <c r="D827" t="s">
        <v>21</v>
      </c>
      <c r="E827" t="s">
        <v>90</v>
      </c>
      <c r="F827" t="s">
        <v>46</v>
      </c>
      <c r="G827" t="s">
        <v>57</v>
      </c>
      <c r="H827">
        <v>271</v>
      </c>
      <c r="I827">
        <v>311</v>
      </c>
      <c r="J827">
        <v>19</v>
      </c>
      <c r="K827">
        <v>5.9</v>
      </c>
      <c r="L827">
        <v>68174.58</v>
      </c>
      <c r="M827">
        <v>12.11</v>
      </c>
      <c r="N827">
        <v>314.86</v>
      </c>
      <c r="O827">
        <v>233</v>
      </c>
      <c r="P827" s="5">
        <v>46120</v>
      </c>
      <c r="Q827" s="5">
        <v>46118</v>
      </c>
      <c r="R827" t="s">
        <v>25</v>
      </c>
      <c r="S827" t="s">
        <v>72</v>
      </c>
    </row>
    <row r="828" spans="1:19" x14ac:dyDescent="0.25">
      <c r="A828" t="s">
        <v>922</v>
      </c>
      <c r="B828" s="5">
        <v>46120</v>
      </c>
      <c r="C828" t="s">
        <v>35</v>
      </c>
      <c r="D828" t="s">
        <v>36</v>
      </c>
      <c r="E828" t="s">
        <v>37</v>
      </c>
      <c r="F828" t="s">
        <v>137</v>
      </c>
      <c r="G828" t="s">
        <v>57</v>
      </c>
      <c r="H828">
        <v>257</v>
      </c>
      <c r="I828">
        <v>259</v>
      </c>
      <c r="J828">
        <v>17</v>
      </c>
      <c r="K828">
        <v>3</v>
      </c>
      <c r="L828">
        <v>28954.02</v>
      </c>
      <c r="M828">
        <v>9.5399999999999991</v>
      </c>
      <c r="N828">
        <v>228.96</v>
      </c>
      <c r="O828">
        <v>304</v>
      </c>
      <c r="P828" s="5">
        <v>46124</v>
      </c>
      <c r="Q828" s="5">
        <v>46125</v>
      </c>
      <c r="R828" t="s">
        <v>25</v>
      </c>
      <c r="S828" t="s">
        <v>72</v>
      </c>
    </row>
    <row r="829" spans="1:19" x14ac:dyDescent="0.25">
      <c r="A829" t="s">
        <v>923</v>
      </c>
      <c r="B829" s="5">
        <v>46095</v>
      </c>
      <c r="C829" t="s">
        <v>59</v>
      </c>
      <c r="D829" t="s">
        <v>49</v>
      </c>
      <c r="E829" t="s">
        <v>50</v>
      </c>
      <c r="F829" t="s">
        <v>244</v>
      </c>
      <c r="G829" t="s">
        <v>32</v>
      </c>
      <c r="H829">
        <v>313</v>
      </c>
      <c r="I829">
        <v>285</v>
      </c>
      <c r="J829">
        <v>18</v>
      </c>
      <c r="K829">
        <v>7.2</v>
      </c>
      <c r="L829">
        <v>62706.7</v>
      </c>
      <c r="M829">
        <v>11.26</v>
      </c>
      <c r="N829">
        <v>202.68</v>
      </c>
      <c r="O829">
        <v>305</v>
      </c>
      <c r="P829" s="5">
        <v>46098</v>
      </c>
      <c r="Q829" s="5">
        <v>46098</v>
      </c>
      <c r="R829" t="s">
        <v>25</v>
      </c>
      <c r="S829" t="s">
        <v>33</v>
      </c>
    </row>
    <row r="830" spans="1:19" x14ac:dyDescent="0.25">
      <c r="A830" t="s">
        <v>924</v>
      </c>
      <c r="B830" s="5">
        <v>46062</v>
      </c>
      <c r="C830" t="s">
        <v>28</v>
      </c>
      <c r="D830" t="s">
        <v>29</v>
      </c>
      <c r="E830" t="s">
        <v>63</v>
      </c>
      <c r="F830" t="s">
        <v>104</v>
      </c>
      <c r="G830" t="s">
        <v>406</v>
      </c>
      <c r="H830">
        <v>301</v>
      </c>
      <c r="I830">
        <v>226</v>
      </c>
      <c r="J830">
        <v>15</v>
      </c>
      <c r="K830">
        <v>6.6</v>
      </c>
      <c r="L830">
        <v>54041.16</v>
      </c>
      <c r="M830">
        <v>4.45</v>
      </c>
      <c r="N830">
        <v>115.7</v>
      </c>
      <c r="O830">
        <v>378</v>
      </c>
      <c r="P830" s="5">
        <v>46074</v>
      </c>
      <c r="Q830" s="5">
        <v>46075</v>
      </c>
      <c r="R830" t="s">
        <v>25</v>
      </c>
      <c r="S830" t="s">
        <v>33</v>
      </c>
    </row>
    <row r="831" spans="1:19" x14ac:dyDescent="0.25">
      <c r="A831" t="s">
        <v>925</v>
      </c>
      <c r="B831" s="5">
        <v>46058</v>
      </c>
      <c r="C831" t="s">
        <v>28</v>
      </c>
      <c r="D831" t="s">
        <v>29</v>
      </c>
      <c r="E831" t="s">
        <v>30</v>
      </c>
      <c r="F831" t="s">
        <v>31</v>
      </c>
      <c r="G831" t="s">
        <v>32</v>
      </c>
      <c r="H831">
        <v>317</v>
      </c>
      <c r="I831">
        <v>239</v>
      </c>
      <c r="J831">
        <v>3</v>
      </c>
      <c r="K831">
        <v>8.6</v>
      </c>
      <c r="L831">
        <v>48379.83</v>
      </c>
      <c r="M831">
        <v>5.64</v>
      </c>
      <c r="N831">
        <v>101.52</v>
      </c>
      <c r="O831">
        <v>297</v>
      </c>
      <c r="P831" s="5">
        <v>46066</v>
      </c>
      <c r="Q831" s="5">
        <v>46067</v>
      </c>
      <c r="R831" t="s">
        <v>39</v>
      </c>
      <c r="S831" t="s">
        <v>51</v>
      </c>
    </row>
    <row r="832" spans="1:19" x14ac:dyDescent="0.25">
      <c r="A832" t="s">
        <v>926</v>
      </c>
      <c r="B832" s="5">
        <v>46149</v>
      </c>
      <c r="C832" t="s">
        <v>43</v>
      </c>
      <c r="D832" t="s">
        <v>44</v>
      </c>
      <c r="E832" t="s">
        <v>161</v>
      </c>
      <c r="F832" t="s">
        <v>106</v>
      </c>
      <c r="G832" t="s">
        <v>57</v>
      </c>
      <c r="H832">
        <v>153</v>
      </c>
      <c r="I832">
        <v>158</v>
      </c>
      <c r="J832">
        <v>9</v>
      </c>
      <c r="K832">
        <v>7.7</v>
      </c>
      <c r="L832">
        <v>18213.849999999999</v>
      </c>
      <c r="M832">
        <v>3.15</v>
      </c>
      <c r="N832">
        <v>63</v>
      </c>
      <c r="O832">
        <v>180</v>
      </c>
      <c r="P832" s="5">
        <v>46153</v>
      </c>
      <c r="Q832" s="5">
        <v>46153</v>
      </c>
      <c r="R832" t="s">
        <v>25</v>
      </c>
      <c r="S832" t="s">
        <v>51</v>
      </c>
    </row>
    <row r="833" spans="1:19" x14ac:dyDescent="0.25">
      <c r="A833" t="s">
        <v>927</v>
      </c>
      <c r="B833" s="5">
        <v>46070</v>
      </c>
      <c r="C833" t="s">
        <v>48</v>
      </c>
      <c r="D833" t="s">
        <v>49</v>
      </c>
      <c r="E833" t="s">
        <v>50</v>
      </c>
      <c r="F833" t="s">
        <v>125</v>
      </c>
      <c r="G833" t="s">
        <v>57</v>
      </c>
      <c r="H833">
        <v>121</v>
      </c>
      <c r="I833">
        <v>107</v>
      </c>
      <c r="J833">
        <v>8</v>
      </c>
      <c r="K833">
        <v>2.7</v>
      </c>
      <c r="L833">
        <v>21506.959999999999</v>
      </c>
      <c r="M833">
        <v>2.4900000000000002</v>
      </c>
      <c r="N833">
        <v>54.78</v>
      </c>
      <c r="O833">
        <v>169</v>
      </c>
      <c r="P833" s="5">
        <v>46075</v>
      </c>
      <c r="Q833" s="5">
        <v>46073</v>
      </c>
      <c r="R833" t="s">
        <v>25</v>
      </c>
      <c r="S833" t="s">
        <v>33</v>
      </c>
    </row>
    <row r="834" spans="1:19" x14ac:dyDescent="0.25">
      <c r="A834" t="s">
        <v>928</v>
      </c>
      <c r="B834" s="5">
        <v>46038</v>
      </c>
      <c r="C834" t="s">
        <v>20</v>
      </c>
      <c r="D834" t="s">
        <v>21</v>
      </c>
      <c r="E834" t="s">
        <v>90</v>
      </c>
      <c r="F834" t="s">
        <v>114</v>
      </c>
      <c r="G834" t="s">
        <v>32</v>
      </c>
      <c r="H834">
        <v>168</v>
      </c>
      <c r="I834">
        <v>186</v>
      </c>
      <c r="J834">
        <v>1</v>
      </c>
      <c r="K834">
        <v>6.8</v>
      </c>
      <c r="L834">
        <v>61456.1</v>
      </c>
      <c r="M834">
        <v>7.36</v>
      </c>
      <c r="N834">
        <v>176.64</v>
      </c>
      <c r="O834">
        <v>131</v>
      </c>
      <c r="P834" s="5">
        <v>46050</v>
      </c>
      <c r="Q834" s="5">
        <v>46049</v>
      </c>
      <c r="R834" t="s">
        <v>25</v>
      </c>
      <c r="S834" t="s">
        <v>26</v>
      </c>
    </row>
    <row r="835" spans="1:19" x14ac:dyDescent="0.25">
      <c r="A835" t="s">
        <v>929</v>
      </c>
      <c r="B835" s="5">
        <v>46196</v>
      </c>
      <c r="C835" t="s">
        <v>20</v>
      </c>
      <c r="D835" t="s">
        <v>21</v>
      </c>
      <c r="E835" t="s">
        <v>66</v>
      </c>
      <c r="F835" t="s">
        <v>114</v>
      </c>
      <c r="G835" t="s">
        <v>57</v>
      </c>
      <c r="H835">
        <v>147</v>
      </c>
      <c r="I835">
        <v>151</v>
      </c>
      <c r="J835">
        <v>5</v>
      </c>
      <c r="K835">
        <v>3.2</v>
      </c>
      <c r="L835">
        <v>52489.74</v>
      </c>
      <c r="M835">
        <v>3.81</v>
      </c>
      <c r="N835">
        <v>91.44</v>
      </c>
      <c r="O835">
        <v>187</v>
      </c>
      <c r="P835" s="5">
        <v>46206</v>
      </c>
      <c r="Q835" s="5">
        <v>46206</v>
      </c>
      <c r="R835" t="s">
        <v>25</v>
      </c>
      <c r="S835" t="s">
        <v>33</v>
      </c>
    </row>
    <row r="836" spans="1:19" x14ac:dyDescent="0.25">
      <c r="A836" t="s">
        <v>930</v>
      </c>
      <c r="B836" s="5">
        <v>46199</v>
      </c>
      <c r="C836" t="s">
        <v>48</v>
      </c>
      <c r="D836" t="s">
        <v>49</v>
      </c>
      <c r="E836" t="s">
        <v>76</v>
      </c>
      <c r="F836" t="s">
        <v>77</v>
      </c>
      <c r="G836" t="s">
        <v>57</v>
      </c>
      <c r="H836">
        <v>199</v>
      </c>
      <c r="I836">
        <v>218</v>
      </c>
      <c r="J836">
        <v>7</v>
      </c>
      <c r="K836">
        <v>7.2</v>
      </c>
      <c r="L836">
        <v>49283.8</v>
      </c>
      <c r="M836">
        <v>8.4700000000000006</v>
      </c>
      <c r="N836">
        <v>203.28</v>
      </c>
      <c r="O836">
        <v>274</v>
      </c>
      <c r="P836" s="5">
        <v>46203</v>
      </c>
      <c r="Q836" s="5">
        <v>46203</v>
      </c>
      <c r="R836" t="s">
        <v>100</v>
      </c>
      <c r="S836" t="s">
        <v>51</v>
      </c>
    </row>
    <row r="837" spans="1:19" x14ac:dyDescent="0.25">
      <c r="A837" t="s">
        <v>931</v>
      </c>
      <c r="B837" s="5">
        <v>46104</v>
      </c>
      <c r="C837" t="s">
        <v>35</v>
      </c>
      <c r="D837" t="s">
        <v>36</v>
      </c>
      <c r="E837" t="s">
        <v>37</v>
      </c>
      <c r="F837" t="s">
        <v>170</v>
      </c>
      <c r="G837" t="s">
        <v>32</v>
      </c>
      <c r="H837">
        <v>182</v>
      </c>
      <c r="I837">
        <v>159</v>
      </c>
      <c r="J837">
        <v>7</v>
      </c>
      <c r="K837">
        <v>7.4</v>
      </c>
      <c r="L837">
        <v>15209.04</v>
      </c>
      <c r="M837">
        <v>6.47</v>
      </c>
      <c r="N837">
        <v>129.4</v>
      </c>
      <c r="O837">
        <v>166</v>
      </c>
      <c r="P837" s="5">
        <v>46106</v>
      </c>
      <c r="Q837" s="5">
        <v>46108</v>
      </c>
      <c r="R837" t="s">
        <v>100</v>
      </c>
      <c r="S837" t="s">
        <v>86</v>
      </c>
    </row>
    <row r="838" spans="1:19" x14ac:dyDescent="0.25">
      <c r="A838" t="s">
        <v>932</v>
      </c>
      <c r="B838" s="5">
        <v>46073</v>
      </c>
      <c r="C838" t="s">
        <v>80</v>
      </c>
      <c r="D838" t="s">
        <v>21</v>
      </c>
      <c r="E838" t="s">
        <v>90</v>
      </c>
      <c r="F838" t="s">
        <v>41</v>
      </c>
      <c r="G838" t="s">
        <v>57</v>
      </c>
      <c r="H838">
        <v>180</v>
      </c>
      <c r="I838">
        <v>141</v>
      </c>
      <c r="J838">
        <v>11</v>
      </c>
      <c r="K838">
        <v>7.7</v>
      </c>
      <c r="L838">
        <v>31723.26</v>
      </c>
      <c r="M838">
        <v>4.59</v>
      </c>
      <c r="N838">
        <v>110.16</v>
      </c>
      <c r="O838">
        <v>250</v>
      </c>
      <c r="P838" s="5">
        <v>46081</v>
      </c>
      <c r="Q838" s="5">
        <v>46081</v>
      </c>
      <c r="R838" t="s">
        <v>100</v>
      </c>
      <c r="S838" t="s">
        <v>86</v>
      </c>
    </row>
    <row r="839" spans="1:19" x14ac:dyDescent="0.25">
      <c r="A839" t="s">
        <v>933</v>
      </c>
      <c r="B839" s="5">
        <v>46050</v>
      </c>
      <c r="C839" t="s">
        <v>20</v>
      </c>
      <c r="D839" t="s">
        <v>21</v>
      </c>
      <c r="E839" t="s">
        <v>90</v>
      </c>
      <c r="F839" t="s">
        <v>110</v>
      </c>
      <c r="G839" t="s">
        <v>32</v>
      </c>
      <c r="H839">
        <v>260</v>
      </c>
      <c r="I839">
        <v>240</v>
      </c>
      <c r="J839">
        <v>7</v>
      </c>
      <c r="K839">
        <v>2.1</v>
      </c>
      <c r="L839">
        <v>97454.97</v>
      </c>
      <c r="M839">
        <v>6.72</v>
      </c>
      <c r="N839">
        <v>120.96</v>
      </c>
      <c r="O839">
        <v>298</v>
      </c>
      <c r="P839" s="5">
        <v>46062</v>
      </c>
      <c r="Q839" s="5">
        <v>46062</v>
      </c>
      <c r="R839" t="s">
        <v>25</v>
      </c>
      <c r="S839" t="s">
        <v>26</v>
      </c>
    </row>
    <row r="840" spans="1:19" x14ac:dyDescent="0.25">
      <c r="A840" t="s">
        <v>934</v>
      </c>
      <c r="B840" s="5">
        <v>46132</v>
      </c>
      <c r="C840" t="s">
        <v>20</v>
      </c>
      <c r="D840" t="s">
        <v>21</v>
      </c>
      <c r="E840" t="s">
        <v>66</v>
      </c>
      <c r="F840" t="s">
        <v>77</v>
      </c>
      <c r="G840" t="s">
        <v>57</v>
      </c>
      <c r="H840">
        <v>113</v>
      </c>
      <c r="I840">
        <v>107</v>
      </c>
      <c r="J840">
        <v>3</v>
      </c>
      <c r="K840">
        <v>3.4</v>
      </c>
      <c r="L840">
        <v>33319.72</v>
      </c>
      <c r="M840">
        <v>3.38</v>
      </c>
      <c r="N840">
        <v>81.12</v>
      </c>
      <c r="O840">
        <v>89</v>
      </c>
      <c r="P840" s="5">
        <v>46134</v>
      </c>
      <c r="Q840" s="5">
        <v>46138</v>
      </c>
      <c r="R840" t="s">
        <v>25</v>
      </c>
      <c r="S840" t="s">
        <v>51</v>
      </c>
    </row>
    <row r="841" spans="1:19" x14ac:dyDescent="0.25">
      <c r="A841" t="s">
        <v>935</v>
      </c>
      <c r="B841" s="5">
        <v>46106</v>
      </c>
      <c r="C841" t="s">
        <v>28</v>
      </c>
      <c r="D841" t="s">
        <v>29</v>
      </c>
      <c r="E841" t="s">
        <v>95</v>
      </c>
      <c r="F841" t="s">
        <v>104</v>
      </c>
      <c r="G841" t="s">
        <v>57</v>
      </c>
      <c r="H841">
        <v>242</v>
      </c>
      <c r="I841">
        <v>269</v>
      </c>
      <c r="J841">
        <v>24</v>
      </c>
      <c r="K841">
        <v>7.1</v>
      </c>
      <c r="L841">
        <v>64007.3</v>
      </c>
      <c r="M841">
        <v>6.98</v>
      </c>
      <c r="N841">
        <v>139.6</v>
      </c>
      <c r="O841">
        <v>234</v>
      </c>
      <c r="P841" s="5">
        <v>46113</v>
      </c>
      <c r="Q841" s="5">
        <v>46113</v>
      </c>
      <c r="R841" t="s">
        <v>39</v>
      </c>
      <c r="S841" t="s">
        <v>51</v>
      </c>
    </row>
    <row r="842" spans="1:19" x14ac:dyDescent="0.25">
      <c r="A842" t="s">
        <v>936</v>
      </c>
      <c r="B842" s="5">
        <v>46148</v>
      </c>
      <c r="C842" t="s">
        <v>53</v>
      </c>
      <c r="D842" t="s">
        <v>54</v>
      </c>
      <c r="E842" t="s">
        <v>55</v>
      </c>
      <c r="F842" t="s">
        <v>197</v>
      </c>
      <c r="G842" t="s">
        <v>57</v>
      </c>
      <c r="H842">
        <v>160</v>
      </c>
      <c r="I842">
        <v>150</v>
      </c>
      <c r="J842">
        <v>2</v>
      </c>
      <c r="K842">
        <v>6.8</v>
      </c>
      <c r="L842">
        <v>19875.77</v>
      </c>
      <c r="M842">
        <v>4.47</v>
      </c>
      <c r="N842">
        <v>116.22</v>
      </c>
      <c r="O842">
        <v>188</v>
      </c>
      <c r="P842" s="5">
        <v>46151</v>
      </c>
      <c r="Q842" s="5">
        <v>46155</v>
      </c>
      <c r="R842" t="s">
        <v>100</v>
      </c>
      <c r="S842" t="s">
        <v>86</v>
      </c>
    </row>
    <row r="843" spans="1:19" x14ac:dyDescent="0.25">
      <c r="A843" t="s">
        <v>937</v>
      </c>
      <c r="B843" s="5">
        <v>46059</v>
      </c>
      <c r="C843" t="s">
        <v>48</v>
      </c>
      <c r="D843" t="s">
        <v>49</v>
      </c>
      <c r="E843" t="s">
        <v>50</v>
      </c>
      <c r="F843" t="s">
        <v>38</v>
      </c>
      <c r="G843" t="s">
        <v>24</v>
      </c>
      <c r="H843">
        <v>201</v>
      </c>
      <c r="I843">
        <v>166</v>
      </c>
      <c r="J843">
        <v>10</v>
      </c>
      <c r="K843">
        <v>2.9</v>
      </c>
      <c r="L843">
        <v>36913.86</v>
      </c>
      <c r="M843">
        <v>3.57</v>
      </c>
      <c r="N843">
        <v>78.540000000000006</v>
      </c>
      <c r="O843">
        <v>242</v>
      </c>
      <c r="P843" s="5">
        <v>46068</v>
      </c>
      <c r="Q843" s="5">
        <v>46069</v>
      </c>
      <c r="R843" t="s">
        <v>39</v>
      </c>
      <c r="S843" t="s">
        <v>51</v>
      </c>
    </row>
    <row r="844" spans="1:19" x14ac:dyDescent="0.25">
      <c r="A844" t="s">
        <v>938</v>
      </c>
      <c r="B844" s="5">
        <v>46188</v>
      </c>
      <c r="C844" t="s">
        <v>28</v>
      </c>
      <c r="D844" t="s">
        <v>29</v>
      </c>
      <c r="E844" t="s">
        <v>30</v>
      </c>
      <c r="F844" t="s">
        <v>31</v>
      </c>
      <c r="G844" t="s">
        <v>57</v>
      </c>
      <c r="H844">
        <v>234</v>
      </c>
      <c r="I844">
        <v>180</v>
      </c>
      <c r="J844">
        <v>12</v>
      </c>
      <c r="K844">
        <v>6.6</v>
      </c>
      <c r="L844">
        <v>39559.68</v>
      </c>
      <c r="M844">
        <v>4.46</v>
      </c>
      <c r="N844">
        <v>107.04</v>
      </c>
      <c r="O844">
        <v>302</v>
      </c>
      <c r="P844" s="5">
        <v>46190</v>
      </c>
      <c r="Q844" s="5">
        <v>46190</v>
      </c>
      <c r="R844" t="s">
        <v>25</v>
      </c>
      <c r="S844" t="s">
        <v>86</v>
      </c>
    </row>
    <row r="845" spans="1:19" x14ac:dyDescent="0.25">
      <c r="A845" t="s">
        <v>939</v>
      </c>
      <c r="B845" s="5">
        <v>46029</v>
      </c>
      <c r="C845" t="s">
        <v>80</v>
      </c>
      <c r="D845" t="s">
        <v>21</v>
      </c>
      <c r="E845" t="s">
        <v>66</v>
      </c>
      <c r="F845" t="s">
        <v>71</v>
      </c>
      <c r="G845" t="s">
        <v>32</v>
      </c>
      <c r="H845">
        <v>244</v>
      </c>
      <c r="I845">
        <v>255</v>
      </c>
      <c r="J845">
        <v>3</v>
      </c>
      <c r="K845">
        <v>4.2</v>
      </c>
      <c r="L845">
        <v>70679.399999999994</v>
      </c>
      <c r="M845">
        <v>8.42</v>
      </c>
      <c r="N845">
        <v>218.92</v>
      </c>
      <c r="O845">
        <v>244</v>
      </c>
      <c r="P845" s="5">
        <v>46040</v>
      </c>
      <c r="Q845" s="5">
        <v>46044</v>
      </c>
      <c r="R845" t="s">
        <v>25</v>
      </c>
      <c r="S845" t="s">
        <v>72</v>
      </c>
    </row>
    <row r="846" spans="1:19" x14ac:dyDescent="0.25">
      <c r="A846" t="s">
        <v>940</v>
      </c>
      <c r="B846" s="5">
        <v>46093</v>
      </c>
      <c r="C846" t="s">
        <v>28</v>
      </c>
      <c r="D846" t="s">
        <v>29</v>
      </c>
      <c r="E846" t="s">
        <v>30</v>
      </c>
      <c r="F846" t="s">
        <v>61</v>
      </c>
      <c r="G846" t="s">
        <v>24</v>
      </c>
      <c r="H846">
        <v>235</v>
      </c>
      <c r="I846">
        <v>215</v>
      </c>
      <c r="J846">
        <v>4</v>
      </c>
      <c r="K846">
        <v>1.2</v>
      </c>
      <c r="L846">
        <v>51458.1</v>
      </c>
      <c r="M846">
        <v>8.35</v>
      </c>
      <c r="N846">
        <v>217.1</v>
      </c>
      <c r="O846">
        <v>317</v>
      </c>
      <c r="P846" s="5">
        <v>46100</v>
      </c>
      <c r="Q846" s="5">
        <v>46100</v>
      </c>
      <c r="R846" t="s">
        <v>25</v>
      </c>
      <c r="S846" t="s">
        <v>72</v>
      </c>
    </row>
    <row r="847" spans="1:19" x14ac:dyDescent="0.25">
      <c r="A847" t="s">
        <v>941</v>
      </c>
      <c r="B847" s="5">
        <v>46163</v>
      </c>
      <c r="C847" t="s">
        <v>80</v>
      </c>
      <c r="D847" t="s">
        <v>21</v>
      </c>
      <c r="E847" t="s">
        <v>66</v>
      </c>
      <c r="F847" t="s">
        <v>119</v>
      </c>
      <c r="G847" t="s">
        <v>57</v>
      </c>
      <c r="H847">
        <v>191</v>
      </c>
      <c r="I847">
        <v>190</v>
      </c>
      <c r="J847">
        <v>7</v>
      </c>
      <c r="K847">
        <v>2.9</v>
      </c>
      <c r="L847">
        <v>49725.26</v>
      </c>
      <c r="M847">
        <v>4.71</v>
      </c>
      <c r="N847">
        <v>122.46</v>
      </c>
      <c r="O847">
        <v>161</v>
      </c>
      <c r="P847" s="5">
        <v>46173</v>
      </c>
      <c r="Q847" s="5">
        <v>46171</v>
      </c>
      <c r="R847" t="s">
        <v>25</v>
      </c>
      <c r="S847" t="s">
        <v>33</v>
      </c>
    </row>
    <row r="848" spans="1:19" x14ac:dyDescent="0.25">
      <c r="A848" t="s">
        <v>942</v>
      </c>
      <c r="B848" s="5">
        <v>46058</v>
      </c>
      <c r="C848" t="s">
        <v>43</v>
      </c>
      <c r="D848" t="s">
        <v>44</v>
      </c>
      <c r="E848" t="s">
        <v>93</v>
      </c>
      <c r="F848" t="s">
        <v>64</v>
      </c>
      <c r="G848" t="s">
        <v>24</v>
      </c>
      <c r="H848">
        <v>213</v>
      </c>
      <c r="I848">
        <v>168</v>
      </c>
      <c r="J848">
        <v>11</v>
      </c>
      <c r="K848">
        <v>0.8</v>
      </c>
      <c r="L848">
        <v>18026.21</v>
      </c>
      <c r="M848">
        <v>3.35</v>
      </c>
      <c r="N848">
        <v>73.7</v>
      </c>
      <c r="O848">
        <v>190</v>
      </c>
      <c r="P848" s="5">
        <v>46067</v>
      </c>
      <c r="Q848" s="5">
        <v>46069</v>
      </c>
      <c r="R848" t="s">
        <v>39</v>
      </c>
      <c r="S848" t="s">
        <v>72</v>
      </c>
    </row>
    <row r="849" spans="1:19" x14ac:dyDescent="0.25">
      <c r="A849" t="s">
        <v>943</v>
      </c>
      <c r="B849" s="5">
        <v>46187</v>
      </c>
      <c r="C849" t="s">
        <v>35</v>
      </c>
      <c r="D849" t="s">
        <v>36</v>
      </c>
      <c r="E849" t="s">
        <v>37</v>
      </c>
      <c r="F849" t="s">
        <v>110</v>
      </c>
      <c r="G849" t="s">
        <v>24</v>
      </c>
      <c r="H849">
        <v>220</v>
      </c>
      <c r="I849">
        <v>236</v>
      </c>
      <c r="J849">
        <v>18</v>
      </c>
      <c r="K849">
        <v>4</v>
      </c>
      <c r="L849">
        <v>20781.82</v>
      </c>
      <c r="M849">
        <v>5.72</v>
      </c>
      <c r="N849">
        <v>114.4</v>
      </c>
      <c r="O849">
        <v>194</v>
      </c>
      <c r="P849" s="5">
        <v>46199</v>
      </c>
      <c r="Q849" s="5">
        <v>46197</v>
      </c>
      <c r="R849" t="s">
        <v>25</v>
      </c>
      <c r="S849" t="s">
        <v>51</v>
      </c>
    </row>
    <row r="850" spans="1:19" x14ac:dyDescent="0.25">
      <c r="A850" t="s">
        <v>944</v>
      </c>
      <c r="B850" s="5">
        <v>46145</v>
      </c>
      <c r="C850" t="s">
        <v>80</v>
      </c>
      <c r="D850" t="s">
        <v>21</v>
      </c>
      <c r="E850" t="s">
        <v>22</v>
      </c>
      <c r="F850" t="s">
        <v>135</v>
      </c>
      <c r="G850" t="s">
        <v>24</v>
      </c>
      <c r="H850">
        <v>136</v>
      </c>
      <c r="I850">
        <v>142</v>
      </c>
      <c r="J850">
        <v>12</v>
      </c>
      <c r="K850">
        <v>8.6</v>
      </c>
      <c r="L850">
        <v>31339.84</v>
      </c>
      <c r="M850">
        <v>3.88</v>
      </c>
      <c r="N850">
        <v>93.12</v>
      </c>
      <c r="O850">
        <v>100</v>
      </c>
      <c r="P850" s="5">
        <v>46155</v>
      </c>
      <c r="Q850" s="5">
        <v>46155</v>
      </c>
      <c r="R850" t="s">
        <v>100</v>
      </c>
      <c r="S850" t="s">
        <v>72</v>
      </c>
    </row>
    <row r="851" spans="1:19" x14ac:dyDescent="0.25">
      <c r="A851" t="s">
        <v>945</v>
      </c>
      <c r="B851" s="5">
        <v>46163</v>
      </c>
      <c r="C851" t="s">
        <v>20</v>
      </c>
      <c r="D851" t="s">
        <v>21</v>
      </c>
      <c r="E851" t="s">
        <v>22</v>
      </c>
      <c r="F851" t="s">
        <v>170</v>
      </c>
      <c r="G851" t="s">
        <v>24</v>
      </c>
      <c r="H851">
        <v>131</v>
      </c>
      <c r="I851">
        <v>127</v>
      </c>
      <c r="J851">
        <v>3</v>
      </c>
      <c r="K851">
        <v>5.2</v>
      </c>
      <c r="L851">
        <v>35659.620000000003</v>
      </c>
      <c r="M851">
        <v>4.0599999999999996</v>
      </c>
      <c r="N851">
        <v>89.32</v>
      </c>
      <c r="O851">
        <v>221</v>
      </c>
      <c r="P851" s="5">
        <v>46167</v>
      </c>
      <c r="Q851" s="5">
        <v>46169</v>
      </c>
      <c r="R851" t="s">
        <v>25</v>
      </c>
      <c r="S851" t="s">
        <v>33</v>
      </c>
    </row>
    <row r="852" spans="1:19" x14ac:dyDescent="0.25">
      <c r="A852" t="s">
        <v>946</v>
      </c>
      <c r="B852" s="5">
        <v>46183</v>
      </c>
      <c r="C852" t="s">
        <v>59</v>
      </c>
      <c r="D852" t="s">
        <v>49</v>
      </c>
      <c r="E852" t="s">
        <v>76</v>
      </c>
      <c r="F852" t="s">
        <v>135</v>
      </c>
      <c r="G852" t="s">
        <v>32</v>
      </c>
      <c r="H852">
        <v>222</v>
      </c>
      <c r="I852">
        <v>195</v>
      </c>
      <c r="J852">
        <v>7</v>
      </c>
      <c r="K852">
        <v>7.5</v>
      </c>
      <c r="L852">
        <v>34742.550000000003</v>
      </c>
      <c r="M852">
        <v>4.43</v>
      </c>
      <c r="N852">
        <v>97.46</v>
      </c>
      <c r="O852">
        <v>282</v>
      </c>
      <c r="P852" s="5">
        <v>46186</v>
      </c>
      <c r="Q852" s="5">
        <v>46186</v>
      </c>
      <c r="R852" t="s">
        <v>100</v>
      </c>
      <c r="S852" t="s">
        <v>26</v>
      </c>
    </row>
    <row r="853" spans="1:19" x14ac:dyDescent="0.25">
      <c r="A853" t="s">
        <v>947</v>
      </c>
      <c r="B853" s="5">
        <v>46189</v>
      </c>
      <c r="C853" t="s">
        <v>35</v>
      </c>
      <c r="D853" t="s">
        <v>36</v>
      </c>
      <c r="E853" t="s">
        <v>37</v>
      </c>
      <c r="F853" t="s">
        <v>74</v>
      </c>
      <c r="G853" t="s">
        <v>57</v>
      </c>
      <c r="H853">
        <v>127</v>
      </c>
      <c r="I853">
        <v>97</v>
      </c>
      <c r="J853">
        <v>3</v>
      </c>
      <c r="K853">
        <v>1</v>
      </c>
      <c r="L853">
        <v>9510.0300000000007</v>
      </c>
      <c r="M853">
        <v>3.51</v>
      </c>
      <c r="N853">
        <v>77.22</v>
      </c>
      <c r="O853">
        <v>141</v>
      </c>
      <c r="P853" s="5">
        <v>46200</v>
      </c>
      <c r="Q853" s="5">
        <v>46200</v>
      </c>
      <c r="R853" t="s">
        <v>25</v>
      </c>
      <c r="S853" t="s">
        <v>51</v>
      </c>
    </row>
    <row r="854" spans="1:19" x14ac:dyDescent="0.25">
      <c r="A854" t="s">
        <v>948</v>
      </c>
      <c r="B854" s="5">
        <v>46168</v>
      </c>
      <c r="C854" t="s">
        <v>59</v>
      </c>
      <c r="D854" t="s">
        <v>49</v>
      </c>
      <c r="E854" t="s">
        <v>50</v>
      </c>
      <c r="F854" t="s">
        <v>197</v>
      </c>
      <c r="G854" t="s">
        <v>57</v>
      </c>
      <c r="H854">
        <v>210</v>
      </c>
      <c r="I854">
        <v>153</v>
      </c>
      <c r="J854">
        <v>0</v>
      </c>
      <c r="K854">
        <v>7.5</v>
      </c>
      <c r="L854">
        <v>27810.81</v>
      </c>
      <c r="M854">
        <v>6.23</v>
      </c>
      <c r="N854">
        <v>149.52000000000001</v>
      </c>
      <c r="O854">
        <v>253</v>
      </c>
      <c r="P854" s="5">
        <v>46177</v>
      </c>
      <c r="Q854" s="5">
        <v>46179</v>
      </c>
      <c r="R854" t="s">
        <v>39</v>
      </c>
      <c r="S854" t="s">
        <v>72</v>
      </c>
    </row>
    <row r="855" spans="1:19" x14ac:dyDescent="0.25">
      <c r="A855" t="s">
        <v>949</v>
      </c>
      <c r="B855" s="5">
        <v>46145</v>
      </c>
      <c r="C855" t="s">
        <v>59</v>
      </c>
      <c r="D855" t="s">
        <v>49</v>
      </c>
      <c r="E855" t="s">
        <v>60</v>
      </c>
      <c r="F855" t="s">
        <v>46</v>
      </c>
      <c r="G855" t="s">
        <v>24</v>
      </c>
      <c r="H855">
        <v>299</v>
      </c>
      <c r="I855">
        <v>335</v>
      </c>
      <c r="J855">
        <v>4</v>
      </c>
      <c r="K855">
        <v>1</v>
      </c>
      <c r="L855">
        <v>41954.04</v>
      </c>
      <c r="M855">
        <v>6.43</v>
      </c>
      <c r="N855">
        <v>115.74</v>
      </c>
      <c r="O855">
        <v>329</v>
      </c>
      <c r="P855" s="5">
        <v>46147</v>
      </c>
      <c r="Q855" s="5">
        <v>46147</v>
      </c>
      <c r="R855" t="s">
        <v>100</v>
      </c>
      <c r="S855" t="s">
        <v>26</v>
      </c>
    </row>
    <row r="856" spans="1:19" x14ac:dyDescent="0.25">
      <c r="A856" t="s">
        <v>950</v>
      </c>
      <c r="B856" s="5">
        <v>46063</v>
      </c>
      <c r="C856" t="s">
        <v>20</v>
      </c>
      <c r="D856" t="s">
        <v>21</v>
      </c>
      <c r="E856" t="s">
        <v>22</v>
      </c>
      <c r="F856" t="s">
        <v>170</v>
      </c>
      <c r="G856" t="s">
        <v>32</v>
      </c>
      <c r="H856">
        <v>174</v>
      </c>
      <c r="I856">
        <v>141</v>
      </c>
      <c r="J856">
        <v>3</v>
      </c>
      <c r="K856">
        <v>3.8</v>
      </c>
      <c r="L856">
        <v>45966.75</v>
      </c>
      <c r="M856">
        <v>3.95</v>
      </c>
      <c r="N856">
        <v>71.099999999999994</v>
      </c>
      <c r="O856">
        <v>210</v>
      </c>
      <c r="P856" s="5">
        <v>46065</v>
      </c>
      <c r="Q856" s="5">
        <v>46064</v>
      </c>
      <c r="R856" t="s">
        <v>25</v>
      </c>
      <c r="S856" t="s">
        <v>72</v>
      </c>
    </row>
    <row r="857" spans="1:19" x14ac:dyDescent="0.25">
      <c r="A857" t="s">
        <v>951</v>
      </c>
      <c r="B857" s="5">
        <v>46075</v>
      </c>
      <c r="C857" t="s">
        <v>20</v>
      </c>
      <c r="D857" t="s">
        <v>21</v>
      </c>
      <c r="E857" t="s">
        <v>66</v>
      </c>
      <c r="F857" t="s">
        <v>135</v>
      </c>
      <c r="G857" t="s">
        <v>24</v>
      </c>
      <c r="H857">
        <v>270</v>
      </c>
      <c r="I857">
        <v>304</v>
      </c>
      <c r="J857">
        <v>23</v>
      </c>
      <c r="K857">
        <v>7.9</v>
      </c>
      <c r="L857">
        <v>103851.91</v>
      </c>
      <c r="M857">
        <v>6.29</v>
      </c>
      <c r="N857">
        <v>125.8</v>
      </c>
      <c r="O857">
        <v>346</v>
      </c>
      <c r="P857" s="5">
        <v>46086</v>
      </c>
      <c r="Q857" s="5">
        <v>46086</v>
      </c>
      <c r="R857" t="s">
        <v>25</v>
      </c>
      <c r="S857" t="s">
        <v>26</v>
      </c>
    </row>
    <row r="858" spans="1:19" x14ac:dyDescent="0.25">
      <c r="A858" t="s">
        <v>952</v>
      </c>
      <c r="B858" s="5">
        <v>46145</v>
      </c>
      <c r="C858" t="s">
        <v>20</v>
      </c>
      <c r="D858" t="s">
        <v>21</v>
      </c>
      <c r="E858" t="s">
        <v>66</v>
      </c>
      <c r="F858" t="s">
        <v>197</v>
      </c>
      <c r="G858" t="s">
        <v>32</v>
      </c>
      <c r="H858">
        <v>257</v>
      </c>
      <c r="I858">
        <v>201</v>
      </c>
      <c r="J858">
        <v>2</v>
      </c>
      <c r="K858">
        <v>6.1</v>
      </c>
      <c r="L858">
        <v>54040.28</v>
      </c>
      <c r="M858">
        <v>7.62</v>
      </c>
      <c r="N858">
        <v>182.88</v>
      </c>
      <c r="O858">
        <v>261</v>
      </c>
      <c r="P858" s="5">
        <v>46147</v>
      </c>
      <c r="Q858" s="5">
        <v>46145</v>
      </c>
      <c r="R858" t="s">
        <v>25</v>
      </c>
      <c r="S858" t="s">
        <v>86</v>
      </c>
    </row>
    <row r="859" spans="1:19" x14ac:dyDescent="0.25">
      <c r="A859" t="s">
        <v>953</v>
      </c>
      <c r="B859" s="5">
        <v>46145</v>
      </c>
      <c r="C859" t="s">
        <v>28</v>
      </c>
      <c r="D859" t="s">
        <v>29</v>
      </c>
      <c r="E859" t="s">
        <v>95</v>
      </c>
      <c r="F859" t="s">
        <v>106</v>
      </c>
      <c r="G859" t="s">
        <v>24</v>
      </c>
      <c r="H859">
        <v>86</v>
      </c>
      <c r="I859">
        <v>86</v>
      </c>
      <c r="J859">
        <v>7</v>
      </c>
      <c r="K859">
        <v>1.7</v>
      </c>
      <c r="L859">
        <v>22747.01</v>
      </c>
      <c r="M859">
        <v>3.6</v>
      </c>
      <c r="N859">
        <v>64.8</v>
      </c>
      <c r="O859">
        <v>161</v>
      </c>
      <c r="P859" s="5">
        <v>46155</v>
      </c>
      <c r="Q859" s="5">
        <v>46159</v>
      </c>
      <c r="R859" t="s">
        <v>25</v>
      </c>
      <c r="S859" t="s">
        <v>33</v>
      </c>
    </row>
    <row r="860" spans="1:19" x14ac:dyDescent="0.25">
      <c r="A860" t="s">
        <v>954</v>
      </c>
      <c r="B860" s="5">
        <v>46096</v>
      </c>
      <c r="C860" t="s">
        <v>48</v>
      </c>
      <c r="D860" t="s">
        <v>49</v>
      </c>
      <c r="E860" t="s">
        <v>50</v>
      </c>
      <c r="F860" t="s">
        <v>244</v>
      </c>
      <c r="G860" t="s">
        <v>24</v>
      </c>
      <c r="H860">
        <v>233</v>
      </c>
      <c r="I860">
        <v>204</v>
      </c>
      <c r="J860">
        <v>16</v>
      </c>
      <c r="K860">
        <v>4.9000000000000004</v>
      </c>
      <c r="L860">
        <v>43132.72</v>
      </c>
      <c r="M860">
        <v>7.23</v>
      </c>
      <c r="N860">
        <v>187.98</v>
      </c>
      <c r="O860">
        <v>230</v>
      </c>
      <c r="P860" s="5">
        <v>46103</v>
      </c>
      <c r="Q860" s="5">
        <v>46104</v>
      </c>
      <c r="R860" t="s">
        <v>100</v>
      </c>
      <c r="S860" t="s">
        <v>72</v>
      </c>
    </row>
    <row r="861" spans="1:19" x14ac:dyDescent="0.25">
      <c r="A861" t="s">
        <v>955</v>
      </c>
      <c r="B861" s="5">
        <v>46118</v>
      </c>
      <c r="C861" t="s">
        <v>53</v>
      </c>
      <c r="D861" t="s">
        <v>54</v>
      </c>
      <c r="E861" t="s">
        <v>131</v>
      </c>
      <c r="F861" t="s">
        <v>96</v>
      </c>
      <c r="G861" t="s">
        <v>32</v>
      </c>
      <c r="H861">
        <v>276</v>
      </c>
      <c r="I861">
        <v>233</v>
      </c>
      <c r="J861">
        <v>18</v>
      </c>
      <c r="K861">
        <v>6.8</v>
      </c>
      <c r="L861">
        <v>33600.050000000003</v>
      </c>
      <c r="M861">
        <v>6.21</v>
      </c>
      <c r="N861">
        <v>149.04</v>
      </c>
      <c r="O861">
        <v>258</v>
      </c>
      <c r="P861" s="5">
        <v>46129</v>
      </c>
      <c r="Q861" s="5">
        <v>46129</v>
      </c>
      <c r="R861" t="s">
        <v>25</v>
      </c>
      <c r="S861" t="s">
        <v>72</v>
      </c>
    </row>
    <row r="862" spans="1:19" x14ac:dyDescent="0.25">
      <c r="A862" t="s">
        <v>956</v>
      </c>
      <c r="B862" s="5">
        <v>46138</v>
      </c>
      <c r="C862" t="s">
        <v>43</v>
      </c>
      <c r="D862" t="s">
        <v>44</v>
      </c>
      <c r="E862" t="s">
        <v>93</v>
      </c>
      <c r="F862" t="s">
        <v>61</v>
      </c>
      <c r="G862" t="s">
        <v>32</v>
      </c>
      <c r="H862">
        <v>167</v>
      </c>
      <c r="I862">
        <v>156</v>
      </c>
      <c r="J862">
        <v>12</v>
      </c>
      <c r="K862">
        <v>5.6</v>
      </c>
      <c r="L862">
        <v>19182.169999999998</v>
      </c>
      <c r="M862">
        <v>5.92</v>
      </c>
      <c r="N862">
        <v>118.4</v>
      </c>
      <c r="O862">
        <v>162</v>
      </c>
      <c r="P862" s="5">
        <v>46143</v>
      </c>
      <c r="Q862" s="5">
        <v>46145</v>
      </c>
      <c r="R862" t="s">
        <v>25</v>
      </c>
      <c r="S862" t="s">
        <v>33</v>
      </c>
    </row>
    <row r="863" spans="1:19" x14ac:dyDescent="0.25">
      <c r="A863" t="s">
        <v>957</v>
      </c>
      <c r="B863" s="5">
        <v>46151</v>
      </c>
      <c r="C863" t="s">
        <v>80</v>
      </c>
      <c r="D863" t="s">
        <v>21</v>
      </c>
      <c r="E863" t="s">
        <v>66</v>
      </c>
      <c r="F863" t="s">
        <v>137</v>
      </c>
      <c r="G863" t="s">
        <v>32</v>
      </c>
      <c r="H863">
        <v>106</v>
      </c>
      <c r="I863">
        <v>102</v>
      </c>
      <c r="J863">
        <v>2</v>
      </c>
      <c r="K863">
        <v>5</v>
      </c>
      <c r="L863">
        <v>33558.58</v>
      </c>
      <c r="M863">
        <v>3.51</v>
      </c>
      <c r="N863">
        <v>77.22</v>
      </c>
      <c r="O863">
        <v>191</v>
      </c>
      <c r="P863" s="5">
        <v>46154</v>
      </c>
      <c r="Q863" s="5">
        <v>46155</v>
      </c>
      <c r="R863" t="s">
        <v>25</v>
      </c>
      <c r="S863" t="s">
        <v>26</v>
      </c>
    </row>
    <row r="864" spans="1:19" x14ac:dyDescent="0.25">
      <c r="A864" t="s">
        <v>958</v>
      </c>
      <c r="B864" s="5">
        <v>46191</v>
      </c>
      <c r="C864" t="s">
        <v>35</v>
      </c>
      <c r="D864" t="s">
        <v>36</v>
      </c>
      <c r="E864" t="s">
        <v>37</v>
      </c>
      <c r="F864" t="s">
        <v>170</v>
      </c>
      <c r="G864" t="s">
        <v>57</v>
      </c>
      <c r="H864">
        <v>227</v>
      </c>
      <c r="I864">
        <v>197</v>
      </c>
      <c r="J864">
        <v>8</v>
      </c>
      <c r="K864">
        <v>6.8</v>
      </c>
      <c r="L864">
        <v>16154.24</v>
      </c>
      <c r="M864">
        <v>5.69</v>
      </c>
      <c r="N864">
        <v>113.8</v>
      </c>
      <c r="O864">
        <v>187</v>
      </c>
      <c r="P864" s="5">
        <v>46201</v>
      </c>
      <c r="Q864" s="5">
        <v>46200</v>
      </c>
      <c r="R864" t="s">
        <v>100</v>
      </c>
      <c r="S864" t="s">
        <v>86</v>
      </c>
    </row>
    <row r="865" spans="1:19" x14ac:dyDescent="0.25">
      <c r="A865" t="s">
        <v>959</v>
      </c>
      <c r="B865" s="5">
        <v>46084</v>
      </c>
      <c r="C865" t="s">
        <v>35</v>
      </c>
      <c r="D865" t="s">
        <v>36</v>
      </c>
      <c r="E865" t="s">
        <v>69</v>
      </c>
      <c r="F865" t="s">
        <v>122</v>
      </c>
      <c r="G865" t="s">
        <v>32</v>
      </c>
      <c r="H865">
        <v>291</v>
      </c>
      <c r="I865">
        <v>235</v>
      </c>
      <c r="J865">
        <v>14</v>
      </c>
      <c r="K865">
        <v>8.6</v>
      </c>
      <c r="L865">
        <v>16740.02</v>
      </c>
      <c r="M865">
        <v>5.9</v>
      </c>
      <c r="N865">
        <v>118</v>
      </c>
      <c r="O865">
        <v>298</v>
      </c>
      <c r="P865" s="5">
        <v>46096</v>
      </c>
      <c r="Q865" s="5">
        <v>46095</v>
      </c>
      <c r="R865" t="s">
        <v>25</v>
      </c>
      <c r="S865" t="s">
        <v>33</v>
      </c>
    </row>
    <row r="866" spans="1:19" x14ac:dyDescent="0.25">
      <c r="A866" t="s">
        <v>960</v>
      </c>
      <c r="B866" s="5">
        <v>46131</v>
      </c>
      <c r="C866" t="s">
        <v>48</v>
      </c>
      <c r="D866" t="s">
        <v>49</v>
      </c>
      <c r="E866" t="s">
        <v>60</v>
      </c>
      <c r="F866" t="s">
        <v>119</v>
      </c>
      <c r="G866" t="s">
        <v>32</v>
      </c>
      <c r="H866">
        <v>183</v>
      </c>
      <c r="I866">
        <v>132</v>
      </c>
      <c r="J866">
        <v>7</v>
      </c>
      <c r="K866">
        <v>3.1</v>
      </c>
      <c r="L866">
        <v>23889.85</v>
      </c>
      <c r="M866">
        <v>4.34</v>
      </c>
      <c r="N866">
        <v>104.16</v>
      </c>
      <c r="O866">
        <v>153</v>
      </c>
      <c r="P866" s="5">
        <v>46143</v>
      </c>
      <c r="Q866" s="5">
        <v>46147</v>
      </c>
      <c r="R866" t="s">
        <v>25</v>
      </c>
      <c r="S866" t="s">
        <v>86</v>
      </c>
    </row>
    <row r="867" spans="1:19" x14ac:dyDescent="0.25">
      <c r="A867" t="s">
        <v>961</v>
      </c>
      <c r="B867" s="5">
        <v>46030</v>
      </c>
      <c r="C867" t="s">
        <v>59</v>
      </c>
      <c r="D867" t="s">
        <v>49</v>
      </c>
      <c r="E867" t="s">
        <v>60</v>
      </c>
      <c r="F867" t="s">
        <v>119</v>
      </c>
      <c r="G867" t="s">
        <v>57</v>
      </c>
      <c r="H867">
        <v>201</v>
      </c>
      <c r="I867">
        <v>219</v>
      </c>
      <c r="J867">
        <v>8</v>
      </c>
      <c r="K867">
        <v>4.9000000000000004</v>
      </c>
      <c r="L867">
        <v>34359.879999999997</v>
      </c>
      <c r="M867">
        <v>7.2</v>
      </c>
      <c r="N867">
        <v>158.4</v>
      </c>
      <c r="O867">
        <v>286</v>
      </c>
      <c r="P867" s="5">
        <v>46032</v>
      </c>
      <c r="Q867" s="5">
        <v>46034</v>
      </c>
      <c r="R867" t="s">
        <v>25</v>
      </c>
      <c r="S867" t="s">
        <v>72</v>
      </c>
    </row>
    <row r="868" spans="1:19" x14ac:dyDescent="0.25">
      <c r="A868" t="s">
        <v>962</v>
      </c>
      <c r="B868" s="5">
        <v>46087</v>
      </c>
      <c r="C868" t="s">
        <v>20</v>
      </c>
      <c r="D868" t="s">
        <v>21</v>
      </c>
      <c r="E868" t="s">
        <v>22</v>
      </c>
      <c r="F868" t="s">
        <v>197</v>
      </c>
      <c r="G868" t="s">
        <v>24</v>
      </c>
      <c r="H868">
        <v>142</v>
      </c>
      <c r="I868">
        <v>146</v>
      </c>
      <c r="J868">
        <v>10</v>
      </c>
      <c r="K868">
        <v>8.3000000000000007</v>
      </c>
      <c r="L868">
        <v>49611.91</v>
      </c>
      <c r="M868">
        <v>3.47</v>
      </c>
      <c r="N868">
        <v>83.28</v>
      </c>
      <c r="O868">
        <v>110</v>
      </c>
      <c r="P868" s="5">
        <v>46094</v>
      </c>
      <c r="Q868" s="5">
        <v>46094</v>
      </c>
      <c r="R868" t="s">
        <v>39</v>
      </c>
      <c r="S868" t="s">
        <v>72</v>
      </c>
    </row>
    <row r="869" spans="1:19" x14ac:dyDescent="0.25">
      <c r="A869" t="s">
        <v>963</v>
      </c>
      <c r="B869" s="5">
        <v>46078</v>
      </c>
      <c r="C869" t="s">
        <v>35</v>
      </c>
      <c r="D869" t="s">
        <v>36</v>
      </c>
      <c r="E869" t="s">
        <v>37</v>
      </c>
      <c r="F869" t="s">
        <v>110</v>
      </c>
      <c r="G869" t="s">
        <v>24</v>
      </c>
      <c r="H869">
        <v>82</v>
      </c>
      <c r="I869">
        <v>83</v>
      </c>
      <c r="J869">
        <v>4</v>
      </c>
      <c r="K869">
        <v>6.1</v>
      </c>
      <c r="L869">
        <v>6355</v>
      </c>
      <c r="M869">
        <v>1.63</v>
      </c>
      <c r="N869">
        <v>32.6</v>
      </c>
      <c r="O869">
        <v>168</v>
      </c>
      <c r="P869" s="5">
        <v>46084</v>
      </c>
      <c r="Q869" s="5">
        <v>46086</v>
      </c>
      <c r="R869" t="s">
        <v>39</v>
      </c>
      <c r="S869" t="s">
        <v>33</v>
      </c>
    </row>
    <row r="870" spans="1:19" x14ac:dyDescent="0.25">
      <c r="A870" t="s">
        <v>964</v>
      </c>
      <c r="B870" s="5">
        <v>46087</v>
      </c>
      <c r="C870" t="s">
        <v>20</v>
      </c>
      <c r="D870" t="s">
        <v>21</v>
      </c>
      <c r="E870" t="s">
        <v>66</v>
      </c>
      <c r="F870" t="s">
        <v>119</v>
      </c>
      <c r="G870" t="s">
        <v>57</v>
      </c>
      <c r="H870">
        <v>212</v>
      </c>
      <c r="I870">
        <v>197</v>
      </c>
      <c r="J870">
        <v>16</v>
      </c>
      <c r="K870">
        <v>2.6</v>
      </c>
      <c r="L870">
        <v>52905.59</v>
      </c>
      <c r="M870">
        <v>5.1100000000000003</v>
      </c>
      <c r="N870">
        <v>91.98</v>
      </c>
      <c r="O870">
        <v>211</v>
      </c>
      <c r="P870" s="5">
        <v>46090</v>
      </c>
      <c r="Q870" s="5">
        <v>46090</v>
      </c>
      <c r="R870" t="s">
        <v>100</v>
      </c>
      <c r="S870" t="s">
        <v>33</v>
      </c>
    </row>
    <row r="871" spans="1:19" x14ac:dyDescent="0.25">
      <c r="A871" t="s">
        <v>965</v>
      </c>
      <c r="B871" s="5">
        <v>46122</v>
      </c>
      <c r="C871" t="s">
        <v>43</v>
      </c>
      <c r="D871" t="s">
        <v>44</v>
      </c>
      <c r="E871" t="s">
        <v>161</v>
      </c>
      <c r="F871" t="s">
        <v>112</v>
      </c>
      <c r="G871" t="s">
        <v>24</v>
      </c>
      <c r="H871">
        <v>91</v>
      </c>
      <c r="I871">
        <v>77</v>
      </c>
      <c r="J871">
        <v>1</v>
      </c>
      <c r="K871">
        <v>7.8</v>
      </c>
      <c r="L871">
        <v>9301.1299999999992</v>
      </c>
      <c r="M871">
        <v>2.71</v>
      </c>
      <c r="N871">
        <v>48.78</v>
      </c>
      <c r="O871">
        <v>76</v>
      </c>
      <c r="P871" s="5">
        <v>46126</v>
      </c>
      <c r="Q871" s="5">
        <v>46126</v>
      </c>
      <c r="R871" t="s">
        <v>25</v>
      </c>
      <c r="S871" t="s">
        <v>26</v>
      </c>
    </row>
    <row r="872" spans="1:19" x14ac:dyDescent="0.25">
      <c r="A872" t="s">
        <v>966</v>
      </c>
      <c r="B872" s="5">
        <v>46029</v>
      </c>
      <c r="C872" t="s">
        <v>53</v>
      </c>
      <c r="D872" t="s">
        <v>54</v>
      </c>
      <c r="E872" t="s">
        <v>131</v>
      </c>
      <c r="F872" t="s">
        <v>137</v>
      </c>
      <c r="G872" t="s">
        <v>24</v>
      </c>
      <c r="H872">
        <v>173</v>
      </c>
      <c r="I872">
        <v>183</v>
      </c>
      <c r="J872">
        <v>7</v>
      </c>
      <c r="K872">
        <v>6.4</v>
      </c>
      <c r="L872">
        <v>28835.48</v>
      </c>
      <c r="M872">
        <v>5.68</v>
      </c>
      <c r="N872">
        <v>136.32</v>
      </c>
      <c r="O872">
        <v>254</v>
      </c>
      <c r="P872" s="5">
        <v>46031</v>
      </c>
      <c r="Q872" s="5">
        <v>46031</v>
      </c>
      <c r="R872" t="s">
        <v>100</v>
      </c>
      <c r="S872" t="s">
        <v>72</v>
      </c>
    </row>
    <row r="873" spans="1:19" x14ac:dyDescent="0.25">
      <c r="A873" t="s">
        <v>967</v>
      </c>
      <c r="B873" s="5">
        <v>46040</v>
      </c>
      <c r="C873" t="s">
        <v>20</v>
      </c>
      <c r="D873" t="s">
        <v>21</v>
      </c>
      <c r="E873" t="s">
        <v>22</v>
      </c>
      <c r="F873" t="s">
        <v>114</v>
      </c>
      <c r="G873" t="s">
        <v>57</v>
      </c>
      <c r="H873">
        <v>147</v>
      </c>
      <c r="I873">
        <v>161</v>
      </c>
      <c r="J873">
        <v>10</v>
      </c>
      <c r="K873">
        <v>4.3</v>
      </c>
      <c r="L873">
        <v>48680.05</v>
      </c>
      <c r="M873">
        <v>6.48</v>
      </c>
      <c r="N873">
        <v>129.6</v>
      </c>
      <c r="O873">
        <v>137</v>
      </c>
      <c r="P873" s="5">
        <v>46042</v>
      </c>
      <c r="Q873" s="5">
        <v>46042</v>
      </c>
      <c r="R873" t="s">
        <v>25</v>
      </c>
      <c r="S873" t="s">
        <v>51</v>
      </c>
    </row>
    <row r="874" spans="1:19" x14ac:dyDescent="0.25">
      <c r="A874" t="s">
        <v>968</v>
      </c>
      <c r="B874" s="5">
        <v>46137</v>
      </c>
      <c r="C874" t="s">
        <v>48</v>
      </c>
      <c r="D874" t="s">
        <v>49</v>
      </c>
      <c r="E874" t="s">
        <v>60</v>
      </c>
      <c r="F874" t="s">
        <v>135</v>
      </c>
      <c r="G874" t="s">
        <v>32</v>
      </c>
      <c r="H874">
        <v>147</v>
      </c>
      <c r="I874">
        <v>136</v>
      </c>
      <c r="J874">
        <v>12</v>
      </c>
      <c r="K874">
        <v>5.9</v>
      </c>
      <c r="L874">
        <v>25127.23</v>
      </c>
      <c r="M874">
        <v>2.58</v>
      </c>
      <c r="N874">
        <v>51.6</v>
      </c>
      <c r="O874">
        <v>144</v>
      </c>
      <c r="P874" s="5">
        <v>46143</v>
      </c>
      <c r="Q874" s="5">
        <v>46143</v>
      </c>
      <c r="R874" t="s">
        <v>100</v>
      </c>
      <c r="S874" t="s">
        <v>33</v>
      </c>
    </row>
    <row r="875" spans="1:19" x14ac:dyDescent="0.25">
      <c r="A875" t="s">
        <v>969</v>
      </c>
      <c r="B875" s="5">
        <v>46153</v>
      </c>
      <c r="C875" t="s">
        <v>80</v>
      </c>
      <c r="D875" t="s">
        <v>21</v>
      </c>
      <c r="E875" t="s">
        <v>22</v>
      </c>
      <c r="F875" t="s">
        <v>119</v>
      </c>
      <c r="G875" t="s">
        <v>57</v>
      </c>
      <c r="H875">
        <v>214</v>
      </c>
      <c r="I875">
        <v>215</v>
      </c>
      <c r="J875">
        <v>12</v>
      </c>
      <c r="K875">
        <v>0.1</v>
      </c>
      <c r="L875">
        <v>58858.21</v>
      </c>
      <c r="M875">
        <v>8.6199999999999992</v>
      </c>
      <c r="N875">
        <v>206.88</v>
      </c>
      <c r="O875">
        <v>228</v>
      </c>
      <c r="P875" s="5">
        <v>46158</v>
      </c>
      <c r="Q875" s="5">
        <v>46162</v>
      </c>
      <c r="R875" t="s">
        <v>100</v>
      </c>
      <c r="S875" t="s">
        <v>33</v>
      </c>
    </row>
    <row r="876" spans="1:19" x14ac:dyDescent="0.25">
      <c r="A876" t="s">
        <v>970</v>
      </c>
      <c r="B876" s="5">
        <v>46067</v>
      </c>
      <c r="C876" t="s">
        <v>35</v>
      </c>
      <c r="D876" t="s">
        <v>36</v>
      </c>
      <c r="E876" t="s">
        <v>37</v>
      </c>
      <c r="F876" t="s">
        <v>23</v>
      </c>
      <c r="G876" t="s">
        <v>32</v>
      </c>
      <c r="H876">
        <v>117</v>
      </c>
      <c r="I876">
        <v>117</v>
      </c>
      <c r="J876">
        <v>9</v>
      </c>
      <c r="K876">
        <v>1.3</v>
      </c>
      <c r="L876">
        <v>11712.73</v>
      </c>
      <c r="M876">
        <v>4.8899999999999997</v>
      </c>
      <c r="N876">
        <v>88.02</v>
      </c>
      <c r="O876">
        <v>119</v>
      </c>
      <c r="P876" s="5">
        <v>46072</v>
      </c>
      <c r="Q876" s="5">
        <v>46074</v>
      </c>
      <c r="R876" t="s">
        <v>25</v>
      </c>
      <c r="S876" t="s">
        <v>72</v>
      </c>
    </row>
    <row r="877" spans="1:19" x14ac:dyDescent="0.25">
      <c r="A877" t="s">
        <v>971</v>
      </c>
      <c r="B877" s="5">
        <v>46038</v>
      </c>
      <c r="C877" t="s">
        <v>35</v>
      </c>
      <c r="D877" t="s">
        <v>36</v>
      </c>
      <c r="E877" t="s">
        <v>37</v>
      </c>
      <c r="F877" t="s">
        <v>23</v>
      </c>
      <c r="G877" t="s">
        <v>24</v>
      </c>
      <c r="H877">
        <v>302</v>
      </c>
      <c r="I877">
        <v>259</v>
      </c>
      <c r="J877">
        <v>10</v>
      </c>
      <c r="K877">
        <v>1.7</v>
      </c>
      <c r="L877">
        <v>24919.69</v>
      </c>
      <c r="M877">
        <v>7.46</v>
      </c>
      <c r="N877">
        <v>149.19999999999999</v>
      </c>
      <c r="O877">
        <v>294</v>
      </c>
      <c r="P877" s="5">
        <v>46047</v>
      </c>
      <c r="Q877" s="5">
        <v>46049</v>
      </c>
      <c r="R877" t="s">
        <v>25</v>
      </c>
      <c r="S877" t="s">
        <v>26</v>
      </c>
    </row>
    <row r="878" spans="1:19" x14ac:dyDescent="0.25">
      <c r="A878" t="s">
        <v>972</v>
      </c>
      <c r="B878" s="5">
        <v>46096</v>
      </c>
      <c r="C878" t="s">
        <v>53</v>
      </c>
      <c r="D878" t="s">
        <v>54</v>
      </c>
      <c r="E878" t="s">
        <v>55</v>
      </c>
      <c r="F878" t="s">
        <v>74</v>
      </c>
      <c r="G878" t="s">
        <v>24</v>
      </c>
      <c r="H878">
        <v>190</v>
      </c>
      <c r="I878">
        <v>185</v>
      </c>
      <c r="J878">
        <v>7</v>
      </c>
      <c r="K878">
        <v>5.0999999999999996</v>
      </c>
      <c r="L878">
        <v>30482.32</v>
      </c>
      <c r="M878">
        <v>6.76</v>
      </c>
      <c r="N878">
        <v>121.68</v>
      </c>
      <c r="O878">
        <v>244</v>
      </c>
      <c r="P878" s="5">
        <v>46102</v>
      </c>
      <c r="Q878" s="5">
        <v>46104</v>
      </c>
      <c r="R878" t="s">
        <v>25</v>
      </c>
      <c r="S878" t="s">
        <v>86</v>
      </c>
    </row>
    <row r="879" spans="1:19" x14ac:dyDescent="0.25">
      <c r="A879" t="s">
        <v>973</v>
      </c>
      <c r="B879" s="5">
        <v>46100</v>
      </c>
      <c r="C879" t="s">
        <v>48</v>
      </c>
      <c r="D879" t="s">
        <v>49</v>
      </c>
      <c r="E879" t="s">
        <v>76</v>
      </c>
      <c r="F879" t="s">
        <v>106</v>
      </c>
      <c r="G879" t="s">
        <v>32</v>
      </c>
      <c r="H879">
        <v>298</v>
      </c>
      <c r="I879">
        <v>336</v>
      </c>
      <c r="J879">
        <v>17</v>
      </c>
      <c r="K879">
        <v>3.5</v>
      </c>
      <c r="L879">
        <v>80032.44</v>
      </c>
      <c r="M879">
        <v>11.65</v>
      </c>
      <c r="N879">
        <v>302.89999999999998</v>
      </c>
      <c r="O879">
        <v>293</v>
      </c>
      <c r="P879" s="5">
        <v>46109</v>
      </c>
      <c r="Q879" s="5">
        <v>46110</v>
      </c>
      <c r="R879" t="s">
        <v>25</v>
      </c>
      <c r="S879" t="s">
        <v>86</v>
      </c>
    </row>
    <row r="880" spans="1:19" x14ac:dyDescent="0.25">
      <c r="A880" t="s">
        <v>974</v>
      </c>
      <c r="B880" s="5">
        <v>46159</v>
      </c>
      <c r="C880" t="s">
        <v>20</v>
      </c>
      <c r="D880" t="s">
        <v>21</v>
      </c>
      <c r="E880" t="s">
        <v>90</v>
      </c>
      <c r="F880" t="s">
        <v>61</v>
      </c>
      <c r="G880" t="s">
        <v>32</v>
      </c>
      <c r="H880">
        <v>241</v>
      </c>
      <c r="I880">
        <v>201</v>
      </c>
      <c r="J880">
        <v>5</v>
      </c>
      <c r="K880">
        <v>2.6</v>
      </c>
      <c r="L880">
        <v>62136.88</v>
      </c>
      <c r="M880">
        <v>7.99</v>
      </c>
      <c r="N880">
        <v>159.80000000000001</v>
      </c>
      <c r="O880">
        <v>249</v>
      </c>
      <c r="P880" s="5">
        <v>46166</v>
      </c>
      <c r="Q880" s="5">
        <v>46166</v>
      </c>
      <c r="R880" t="s">
        <v>25</v>
      </c>
      <c r="S880" t="s">
        <v>26</v>
      </c>
    </row>
    <row r="881" spans="1:19" x14ac:dyDescent="0.25">
      <c r="A881" t="s">
        <v>975</v>
      </c>
      <c r="B881" s="5">
        <v>46196</v>
      </c>
      <c r="C881" t="s">
        <v>35</v>
      </c>
      <c r="D881" t="s">
        <v>36</v>
      </c>
      <c r="E881" t="s">
        <v>69</v>
      </c>
      <c r="F881" t="s">
        <v>137</v>
      </c>
      <c r="G881" t="s">
        <v>32</v>
      </c>
      <c r="H881">
        <v>147</v>
      </c>
      <c r="I881">
        <v>143</v>
      </c>
      <c r="J881">
        <v>9</v>
      </c>
      <c r="K881">
        <v>1.7</v>
      </c>
      <c r="L881">
        <v>14755.05</v>
      </c>
      <c r="M881">
        <v>5.33</v>
      </c>
      <c r="N881">
        <v>117.26</v>
      </c>
      <c r="O881">
        <v>155</v>
      </c>
      <c r="P881" s="5">
        <v>46208</v>
      </c>
      <c r="Q881" s="5">
        <v>46209</v>
      </c>
      <c r="R881" t="s">
        <v>39</v>
      </c>
      <c r="S881" t="s">
        <v>51</v>
      </c>
    </row>
    <row r="882" spans="1:19" x14ac:dyDescent="0.25">
      <c r="A882" t="s">
        <v>976</v>
      </c>
      <c r="B882" s="5">
        <v>46141</v>
      </c>
      <c r="C882" t="s">
        <v>43</v>
      </c>
      <c r="D882" t="s">
        <v>44</v>
      </c>
      <c r="E882" t="s">
        <v>93</v>
      </c>
      <c r="F882" t="s">
        <v>106</v>
      </c>
      <c r="G882" t="s">
        <v>32</v>
      </c>
      <c r="H882">
        <v>265</v>
      </c>
      <c r="I882">
        <v>273</v>
      </c>
      <c r="J882">
        <v>8</v>
      </c>
      <c r="K882">
        <v>2.2000000000000002</v>
      </c>
      <c r="L882">
        <v>34389.85</v>
      </c>
      <c r="M882">
        <v>7.12</v>
      </c>
      <c r="N882">
        <v>170.88</v>
      </c>
      <c r="O882">
        <v>320</v>
      </c>
      <c r="P882" s="5">
        <v>46146</v>
      </c>
      <c r="Q882" s="5">
        <v>46148</v>
      </c>
      <c r="R882" t="s">
        <v>100</v>
      </c>
      <c r="S882" t="s">
        <v>26</v>
      </c>
    </row>
    <row r="883" spans="1:19" x14ac:dyDescent="0.25">
      <c r="A883" t="s">
        <v>977</v>
      </c>
      <c r="B883" s="5">
        <v>46140</v>
      </c>
      <c r="C883" t="s">
        <v>48</v>
      </c>
      <c r="D883" t="s">
        <v>49</v>
      </c>
      <c r="E883" t="s">
        <v>50</v>
      </c>
      <c r="F883" t="s">
        <v>114</v>
      </c>
      <c r="G883" t="s">
        <v>32</v>
      </c>
      <c r="H883">
        <v>145</v>
      </c>
      <c r="I883">
        <v>142</v>
      </c>
      <c r="J883">
        <v>3</v>
      </c>
      <c r="K883">
        <v>8.6999999999999993</v>
      </c>
      <c r="L883">
        <v>35699.35</v>
      </c>
      <c r="M883">
        <v>2.57</v>
      </c>
      <c r="N883">
        <v>51.4</v>
      </c>
      <c r="O883">
        <v>170</v>
      </c>
      <c r="P883" s="5">
        <v>46149</v>
      </c>
      <c r="Q883" s="5">
        <v>46153</v>
      </c>
      <c r="R883" t="s">
        <v>39</v>
      </c>
      <c r="S883" t="s">
        <v>26</v>
      </c>
    </row>
    <row r="884" spans="1:19" x14ac:dyDescent="0.25">
      <c r="A884" t="s">
        <v>978</v>
      </c>
      <c r="B884" s="5">
        <v>46168</v>
      </c>
      <c r="C884" t="s">
        <v>35</v>
      </c>
      <c r="D884" t="s">
        <v>36</v>
      </c>
      <c r="E884" t="s">
        <v>37</v>
      </c>
      <c r="F884" t="s">
        <v>197</v>
      </c>
      <c r="G884" t="s">
        <v>57</v>
      </c>
      <c r="H884">
        <v>148</v>
      </c>
      <c r="I884">
        <v>109</v>
      </c>
      <c r="J884">
        <v>4</v>
      </c>
      <c r="K884">
        <v>8.8000000000000007</v>
      </c>
      <c r="L884">
        <v>10314.719999999999</v>
      </c>
      <c r="M884">
        <v>2.97</v>
      </c>
      <c r="N884">
        <v>53.46</v>
      </c>
      <c r="O884">
        <v>143</v>
      </c>
      <c r="P884" s="5">
        <v>46172</v>
      </c>
      <c r="Q884" s="5">
        <v>46171</v>
      </c>
      <c r="R884" t="s">
        <v>25</v>
      </c>
      <c r="S884" t="s">
        <v>33</v>
      </c>
    </row>
    <row r="885" spans="1:19" x14ac:dyDescent="0.25">
      <c r="A885" t="s">
        <v>979</v>
      </c>
      <c r="B885" s="5">
        <v>46040</v>
      </c>
      <c r="C885" t="s">
        <v>59</v>
      </c>
      <c r="D885" t="s">
        <v>49</v>
      </c>
      <c r="E885" t="s">
        <v>50</v>
      </c>
      <c r="F885" t="s">
        <v>104</v>
      </c>
      <c r="G885" t="s">
        <v>24</v>
      </c>
      <c r="H885">
        <v>220</v>
      </c>
      <c r="I885">
        <v>209</v>
      </c>
      <c r="J885">
        <v>3</v>
      </c>
      <c r="K885">
        <v>0.9</v>
      </c>
      <c r="L885">
        <v>38874.29</v>
      </c>
      <c r="M885">
        <v>3.96</v>
      </c>
      <c r="N885">
        <v>102.96</v>
      </c>
      <c r="O885">
        <v>195</v>
      </c>
      <c r="P885" s="5">
        <v>46042</v>
      </c>
      <c r="Q885" s="5">
        <v>46041</v>
      </c>
      <c r="R885" t="s">
        <v>25</v>
      </c>
      <c r="S885" t="s">
        <v>86</v>
      </c>
    </row>
    <row r="886" spans="1:19" x14ac:dyDescent="0.25">
      <c r="A886" t="s">
        <v>980</v>
      </c>
      <c r="B886" s="5">
        <v>46095</v>
      </c>
      <c r="C886" t="s">
        <v>35</v>
      </c>
      <c r="D886" t="s">
        <v>36</v>
      </c>
      <c r="E886" t="s">
        <v>37</v>
      </c>
      <c r="F886" t="s">
        <v>31</v>
      </c>
      <c r="G886" t="s">
        <v>24</v>
      </c>
      <c r="H886">
        <v>139</v>
      </c>
      <c r="I886">
        <v>113</v>
      </c>
      <c r="J886">
        <v>6</v>
      </c>
      <c r="K886">
        <v>6.8</v>
      </c>
      <c r="L886">
        <v>11536.28</v>
      </c>
      <c r="M886">
        <v>2.68</v>
      </c>
      <c r="N886">
        <v>48.24</v>
      </c>
      <c r="O886">
        <v>180</v>
      </c>
      <c r="P886" s="5">
        <v>46100</v>
      </c>
      <c r="Q886" s="5">
        <v>46100</v>
      </c>
      <c r="R886" t="s">
        <v>100</v>
      </c>
      <c r="S886" t="s">
        <v>26</v>
      </c>
    </row>
    <row r="887" spans="1:19" x14ac:dyDescent="0.25">
      <c r="A887" t="s">
        <v>981</v>
      </c>
      <c r="B887" s="5">
        <v>46027</v>
      </c>
      <c r="C887" t="s">
        <v>43</v>
      </c>
      <c r="D887" t="s">
        <v>44</v>
      </c>
      <c r="E887" t="s">
        <v>93</v>
      </c>
      <c r="F887" t="s">
        <v>67</v>
      </c>
      <c r="G887" t="s">
        <v>57</v>
      </c>
      <c r="H887">
        <v>226</v>
      </c>
      <c r="I887">
        <v>234</v>
      </c>
      <c r="J887">
        <v>21</v>
      </c>
      <c r="K887">
        <v>2.4</v>
      </c>
      <c r="L887">
        <v>24392.38</v>
      </c>
      <c r="M887">
        <v>8.9600000000000009</v>
      </c>
      <c r="N887">
        <v>179.2</v>
      </c>
      <c r="O887">
        <v>247</v>
      </c>
      <c r="P887" s="5">
        <v>46036</v>
      </c>
      <c r="Q887" s="5">
        <v>46036</v>
      </c>
      <c r="R887" t="s">
        <v>25</v>
      </c>
      <c r="S887" t="s">
        <v>86</v>
      </c>
    </row>
    <row r="888" spans="1:19" x14ac:dyDescent="0.25">
      <c r="A888" t="s">
        <v>982</v>
      </c>
      <c r="B888" s="5">
        <v>46050</v>
      </c>
      <c r="C888" t="s">
        <v>80</v>
      </c>
      <c r="D888" t="s">
        <v>21</v>
      </c>
      <c r="E888" t="s">
        <v>22</v>
      </c>
      <c r="F888" t="s">
        <v>112</v>
      </c>
      <c r="G888" t="s">
        <v>32</v>
      </c>
      <c r="H888">
        <v>251</v>
      </c>
      <c r="I888">
        <v>214</v>
      </c>
      <c r="J888">
        <v>12</v>
      </c>
      <c r="K888">
        <v>5.4</v>
      </c>
      <c r="L888">
        <v>50545.24</v>
      </c>
      <c r="M888">
        <v>4.37</v>
      </c>
      <c r="N888">
        <v>78.66</v>
      </c>
      <c r="O888">
        <v>315</v>
      </c>
      <c r="P888" s="5">
        <v>46059</v>
      </c>
      <c r="Q888" s="5">
        <v>46063</v>
      </c>
      <c r="R888" t="s">
        <v>25</v>
      </c>
      <c r="S888" t="s">
        <v>26</v>
      </c>
    </row>
    <row r="889" spans="1:19" x14ac:dyDescent="0.25">
      <c r="A889" t="s">
        <v>983</v>
      </c>
      <c r="B889" s="5">
        <v>46120</v>
      </c>
      <c r="C889" t="s">
        <v>80</v>
      </c>
      <c r="D889" t="s">
        <v>21</v>
      </c>
      <c r="E889" t="s">
        <v>66</v>
      </c>
      <c r="F889" t="s">
        <v>104</v>
      </c>
      <c r="G889" t="s">
        <v>57</v>
      </c>
      <c r="H889">
        <v>275</v>
      </c>
      <c r="I889">
        <v>230</v>
      </c>
      <c r="J889">
        <v>19</v>
      </c>
      <c r="K889">
        <v>4.4000000000000004</v>
      </c>
      <c r="L889">
        <v>68169.94</v>
      </c>
      <c r="M889">
        <v>5.92</v>
      </c>
      <c r="N889">
        <v>142.08000000000001</v>
      </c>
      <c r="O889">
        <v>364</v>
      </c>
      <c r="P889" s="5">
        <v>46131</v>
      </c>
      <c r="Q889" s="5">
        <v>46133</v>
      </c>
      <c r="R889" t="s">
        <v>100</v>
      </c>
      <c r="S889" t="s">
        <v>86</v>
      </c>
    </row>
    <row r="890" spans="1:19" x14ac:dyDescent="0.25">
      <c r="A890" t="s">
        <v>984</v>
      </c>
      <c r="B890" s="5">
        <v>46059</v>
      </c>
      <c r="C890" t="s">
        <v>20</v>
      </c>
      <c r="D890" t="s">
        <v>21</v>
      </c>
      <c r="E890" t="s">
        <v>66</v>
      </c>
      <c r="F890" t="s">
        <v>38</v>
      </c>
      <c r="G890" t="s">
        <v>32</v>
      </c>
      <c r="H890">
        <v>294</v>
      </c>
      <c r="I890">
        <v>300</v>
      </c>
      <c r="J890">
        <v>11</v>
      </c>
      <c r="K890">
        <v>7.1</v>
      </c>
      <c r="L890">
        <v>82588.81</v>
      </c>
      <c r="M890">
        <v>8.32</v>
      </c>
      <c r="N890">
        <v>166.4</v>
      </c>
      <c r="O890">
        <v>328</v>
      </c>
      <c r="P890" s="5">
        <v>46064</v>
      </c>
      <c r="Q890" s="5">
        <v>46066</v>
      </c>
      <c r="R890" t="s">
        <v>39</v>
      </c>
      <c r="S890" t="s">
        <v>33</v>
      </c>
    </row>
    <row r="891" spans="1:19" x14ac:dyDescent="0.25">
      <c r="A891" t="s">
        <v>985</v>
      </c>
      <c r="B891" s="5">
        <v>46198</v>
      </c>
      <c r="C891" t="s">
        <v>28</v>
      </c>
      <c r="D891" t="s">
        <v>29</v>
      </c>
      <c r="E891" t="s">
        <v>30</v>
      </c>
      <c r="G891" t="s">
        <v>32</v>
      </c>
      <c r="H891">
        <v>258</v>
      </c>
      <c r="I891">
        <v>192</v>
      </c>
      <c r="J891">
        <v>13</v>
      </c>
      <c r="K891">
        <v>0.2</v>
      </c>
      <c r="L891">
        <v>43330.16</v>
      </c>
      <c r="M891">
        <v>3.55</v>
      </c>
      <c r="N891">
        <v>85.2</v>
      </c>
      <c r="O891">
        <v>332</v>
      </c>
      <c r="P891" s="5">
        <v>46206</v>
      </c>
      <c r="Q891" s="5">
        <v>46205</v>
      </c>
      <c r="R891" t="s">
        <v>100</v>
      </c>
      <c r="S891" t="s">
        <v>51</v>
      </c>
    </row>
    <row r="892" spans="1:19" x14ac:dyDescent="0.25">
      <c r="A892" t="s">
        <v>986</v>
      </c>
      <c r="B892" s="5">
        <v>46091</v>
      </c>
      <c r="C892" t="s">
        <v>48</v>
      </c>
      <c r="D892" t="s">
        <v>49</v>
      </c>
      <c r="E892" t="s">
        <v>76</v>
      </c>
      <c r="F892" t="s">
        <v>88</v>
      </c>
      <c r="G892" t="s">
        <v>24</v>
      </c>
      <c r="H892">
        <v>202</v>
      </c>
      <c r="I892">
        <v>159</v>
      </c>
      <c r="J892">
        <v>3</v>
      </c>
      <c r="K892">
        <v>5.3</v>
      </c>
      <c r="L892">
        <v>32265.599999999999</v>
      </c>
      <c r="M892">
        <v>3.61</v>
      </c>
      <c r="N892">
        <v>64.98</v>
      </c>
      <c r="O892">
        <v>259</v>
      </c>
      <c r="P892" s="5">
        <v>46098</v>
      </c>
      <c r="Q892" s="5">
        <v>46096</v>
      </c>
      <c r="R892" t="s">
        <v>25</v>
      </c>
      <c r="S892" t="s">
        <v>51</v>
      </c>
    </row>
    <row r="893" spans="1:19" x14ac:dyDescent="0.25">
      <c r="A893" t="s">
        <v>987</v>
      </c>
      <c r="B893" s="5">
        <v>46046</v>
      </c>
      <c r="C893" t="s">
        <v>80</v>
      </c>
      <c r="D893" t="s">
        <v>21</v>
      </c>
      <c r="E893" t="s">
        <v>90</v>
      </c>
      <c r="F893" t="s">
        <v>85</v>
      </c>
      <c r="G893" t="s">
        <v>57</v>
      </c>
      <c r="H893">
        <v>100</v>
      </c>
      <c r="I893">
        <v>94</v>
      </c>
      <c r="J893">
        <v>2</v>
      </c>
      <c r="K893">
        <v>1.3</v>
      </c>
      <c r="L893">
        <v>21460.75</v>
      </c>
      <c r="M893">
        <v>3.66</v>
      </c>
      <c r="N893">
        <v>73.2</v>
      </c>
      <c r="O893">
        <v>118</v>
      </c>
      <c r="P893" s="5">
        <v>46054</v>
      </c>
      <c r="Q893" s="5">
        <v>46054</v>
      </c>
      <c r="R893" t="s">
        <v>25</v>
      </c>
      <c r="S893" t="s">
        <v>51</v>
      </c>
    </row>
    <row r="894" spans="1:19" x14ac:dyDescent="0.25">
      <c r="A894" t="s">
        <v>988</v>
      </c>
      <c r="B894" s="5">
        <v>46046</v>
      </c>
      <c r="C894" t="s">
        <v>80</v>
      </c>
      <c r="D894" t="s">
        <v>21</v>
      </c>
      <c r="E894" t="s">
        <v>66</v>
      </c>
      <c r="F894" t="s">
        <v>104</v>
      </c>
      <c r="G894" t="s">
        <v>24</v>
      </c>
      <c r="H894">
        <v>247</v>
      </c>
      <c r="I894">
        <v>261</v>
      </c>
      <c r="J894">
        <v>21</v>
      </c>
      <c r="K894">
        <v>7.8</v>
      </c>
      <c r="L894">
        <v>71361.649999999994</v>
      </c>
      <c r="M894">
        <v>7.64</v>
      </c>
      <c r="N894">
        <v>183.36</v>
      </c>
      <c r="O894">
        <v>249</v>
      </c>
      <c r="P894" s="5">
        <v>46051</v>
      </c>
      <c r="Q894" s="5">
        <v>46049</v>
      </c>
      <c r="R894" t="s">
        <v>25</v>
      </c>
      <c r="S894" t="s">
        <v>33</v>
      </c>
    </row>
    <row r="895" spans="1:19" x14ac:dyDescent="0.25">
      <c r="A895" t="s">
        <v>989</v>
      </c>
      <c r="B895" s="5">
        <v>46040</v>
      </c>
      <c r="C895" t="s">
        <v>20</v>
      </c>
      <c r="D895" t="s">
        <v>21</v>
      </c>
      <c r="E895" t="s">
        <v>90</v>
      </c>
      <c r="F895" t="s">
        <v>56</v>
      </c>
      <c r="G895" t="s">
        <v>57</v>
      </c>
      <c r="H895">
        <v>289</v>
      </c>
      <c r="I895">
        <v>305</v>
      </c>
      <c r="J895">
        <v>16</v>
      </c>
      <c r="K895">
        <v>7</v>
      </c>
      <c r="L895">
        <v>97141.85</v>
      </c>
      <c r="M895">
        <v>6.8</v>
      </c>
      <c r="N895">
        <v>176.8</v>
      </c>
      <c r="O895">
        <v>296</v>
      </c>
      <c r="P895" s="5">
        <v>46045</v>
      </c>
      <c r="Q895" s="5">
        <v>46043</v>
      </c>
      <c r="R895" t="s">
        <v>25</v>
      </c>
      <c r="S895" t="s">
        <v>86</v>
      </c>
    </row>
    <row r="896" spans="1:19" x14ac:dyDescent="0.25">
      <c r="A896" t="s">
        <v>990</v>
      </c>
      <c r="B896" s="5">
        <v>46154</v>
      </c>
      <c r="C896" t="s">
        <v>80</v>
      </c>
      <c r="D896" t="s">
        <v>21</v>
      </c>
      <c r="E896" t="s">
        <v>66</v>
      </c>
      <c r="F896" t="s">
        <v>23</v>
      </c>
      <c r="G896" t="s">
        <v>32</v>
      </c>
      <c r="H896">
        <v>209</v>
      </c>
      <c r="I896">
        <v>230</v>
      </c>
      <c r="J896">
        <v>9</v>
      </c>
      <c r="K896">
        <v>1.5</v>
      </c>
      <c r="L896">
        <v>66285.37</v>
      </c>
      <c r="M896">
        <v>5.48</v>
      </c>
      <c r="N896">
        <v>142.47999999999999</v>
      </c>
      <c r="O896">
        <v>263</v>
      </c>
      <c r="P896" s="5">
        <v>46165</v>
      </c>
      <c r="Q896" s="5">
        <v>46165</v>
      </c>
      <c r="R896" t="s">
        <v>100</v>
      </c>
      <c r="S896" t="s">
        <v>51</v>
      </c>
    </row>
    <row r="897" spans="1:19" x14ac:dyDescent="0.25">
      <c r="A897" t="s">
        <v>991</v>
      </c>
      <c r="B897" s="5">
        <v>46051</v>
      </c>
      <c r="C897" t="s">
        <v>28</v>
      </c>
      <c r="D897" t="s">
        <v>29</v>
      </c>
      <c r="E897" t="s">
        <v>63</v>
      </c>
      <c r="F897" t="s">
        <v>74</v>
      </c>
      <c r="G897" t="s">
        <v>24</v>
      </c>
      <c r="H897">
        <v>243</v>
      </c>
      <c r="I897">
        <v>238</v>
      </c>
      <c r="J897">
        <v>2</v>
      </c>
      <c r="K897">
        <v>8.8000000000000007</v>
      </c>
      <c r="L897">
        <v>44582.2</v>
      </c>
      <c r="M897">
        <v>7.31</v>
      </c>
      <c r="N897">
        <v>175.44</v>
      </c>
      <c r="O897">
        <v>304</v>
      </c>
      <c r="P897" s="5">
        <v>46061</v>
      </c>
      <c r="Q897" s="5">
        <v>46063</v>
      </c>
      <c r="R897" t="s">
        <v>39</v>
      </c>
      <c r="S897" t="s">
        <v>26</v>
      </c>
    </row>
    <row r="898" spans="1:19" x14ac:dyDescent="0.25">
      <c r="A898" t="s">
        <v>992</v>
      </c>
      <c r="B898" s="5">
        <v>46113</v>
      </c>
      <c r="C898" t="s">
        <v>35</v>
      </c>
      <c r="D898" t="s">
        <v>36</v>
      </c>
      <c r="E898" t="s">
        <v>69</v>
      </c>
      <c r="F898" t="s">
        <v>46</v>
      </c>
      <c r="G898" t="s">
        <v>32</v>
      </c>
      <c r="H898">
        <v>214</v>
      </c>
      <c r="I898">
        <v>240</v>
      </c>
      <c r="J898">
        <v>4</v>
      </c>
      <c r="K898">
        <v>7.7</v>
      </c>
      <c r="L898">
        <v>16751.099999999999</v>
      </c>
      <c r="M898">
        <v>4.74</v>
      </c>
      <c r="N898">
        <v>104.28</v>
      </c>
      <c r="O898">
        <v>250</v>
      </c>
      <c r="P898" s="5">
        <v>46116</v>
      </c>
      <c r="Q898" s="5">
        <v>46118</v>
      </c>
      <c r="R898" t="s">
        <v>100</v>
      </c>
      <c r="S898" t="s">
        <v>86</v>
      </c>
    </row>
    <row r="899" spans="1:19" x14ac:dyDescent="0.25">
      <c r="A899" t="s">
        <v>993</v>
      </c>
      <c r="B899" s="5">
        <v>46029</v>
      </c>
      <c r="C899" t="s">
        <v>48</v>
      </c>
      <c r="D899" t="s">
        <v>49</v>
      </c>
      <c r="E899" t="s">
        <v>76</v>
      </c>
      <c r="F899" t="s">
        <v>135</v>
      </c>
      <c r="G899" t="s">
        <v>57</v>
      </c>
      <c r="H899">
        <v>130</v>
      </c>
      <c r="I899">
        <v>135</v>
      </c>
      <c r="J899">
        <v>3</v>
      </c>
      <c r="K899">
        <v>7</v>
      </c>
      <c r="L899">
        <v>29042.55</v>
      </c>
      <c r="M899">
        <v>4.34</v>
      </c>
      <c r="N899">
        <v>86.8</v>
      </c>
      <c r="O899">
        <v>167</v>
      </c>
      <c r="P899" s="5">
        <v>46037</v>
      </c>
      <c r="Q899" s="5">
        <v>46037</v>
      </c>
      <c r="R899" t="s">
        <v>25</v>
      </c>
      <c r="S899" t="s">
        <v>72</v>
      </c>
    </row>
    <row r="900" spans="1:19" x14ac:dyDescent="0.25">
      <c r="A900" t="s">
        <v>994</v>
      </c>
      <c r="B900" s="5">
        <v>46087</v>
      </c>
      <c r="C900" t="s">
        <v>53</v>
      </c>
      <c r="D900" t="s">
        <v>54</v>
      </c>
      <c r="E900" t="s">
        <v>131</v>
      </c>
      <c r="F900" t="s">
        <v>91</v>
      </c>
      <c r="G900" t="s">
        <v>32</v>
      </c>
      <c r="H900">
        <v>199</v>
      </c>
      <c r="I900">
        <v>204</v>
      </c>
      <c r="J900">
        <v>7</v>
      </c>
      <c r="K900">
        <v>1.8</v>
      </c>
      <c r="L900">
        <v>28377.759999999998</v>
      </c>
      <c r="M900">
        <v>4.87</v>
      </c>
      <c r="N900">
        <v>97.4</v>
      </c>
      <c r="O900">
        <v>184</v>
      </c>
      <c r="P900" s="5">
        <v>46093</v>
      </c>
      <c r="Q900" s="5">
        <v>46094</v>
      </c>
      <c r="R900" t="s">
        <v>25</v>
      </c>
      <c r="S900" t="s">
        <v>72</v>
      </c>
    </row>
    <row r="901" spans="1:19" x14ac:dyDescent="0.25">
      <c r="A901" t="s">
        <v>995</v>
      </c>
      <c r="B901" s="5">
        <v>46190</v>
      </c>
      <c r="C901" t="s">
        <v>35</v>
      </c>
      <c r="D901" t="s">
        <v>36</v>
      </c>
      <c r="E901" t="s">
        <v>37</v>
      </c>
      <c r="F901" t="s">
        <v>67</v>
      </c>
      <c r="G901" t="s">
        <v>24</v>
      </c>
      <c r="H901">
        <v>233</v>
      </c>
      <c r="I901">
        <v>197</v>
      </c>
      <c r="J901">
        <v>15</v>
      </c>
      <c r="K901">
        <v>5</v>
      </c>
      <c r="L901">
        <v>17089.27</v>
      </c>
      <c r="M901">
        <v>7.55</v>
      </c>
      <c r="N901">
        <v>135.9</v>
      </c>
      <c r="O901">
        <v>283</v>
      </c>
      <c r="P901" s="5">
        <v>46197</v>
      </c>
      <c r="Q901" s="5">
        <v>46197</v>
      </c>
      <c r="R901" t="s">
        <v>25</v>
      </c>
      <c r="S901" t="s">
        <v>51</v>
      </c>
    </row>
    <row r="902" spans="1:19" x14ac:dyDescent="0.25">
      <c r="A902" t="s">
        <v>996</v>
      </c>
      <c r="B902" s="5">
        <v>46025</v>
      </c>
      <c r="C902" t="s">
        <v>20</v>
      </c>
      <c r="D902" t="s">
        <v>21</v>
      </c>
      <c r="E902" t="s">
        <v>22</v>
      </c>
      <c r="F902" t="s">
        <v>104</v>
      </c>
      <c r="G902" t="s">
        <v>32</v>
      </c>
      <c r="H902">
        <v>270</v>
      </c>
      <c r="I902">
        <v>276</v>
      </c>
      <c r="J902">
        <v>8</v>
      </c>
      <c r="K902">
        <v>0.2</v>
      </c>
      <c r="L902">
        <v>80784.38</v>
      </c>
      <c r="M902">
        <v>5.13</v>
      </c>
      <c r="N902">
        <v>123.12</v>
      </c>
      <c r="O902">
        <v>315</v>
      </c>
      <c r="P902" s="5">
        <v>46036</v>
      </c>
      <c r="Q902" s="5">
        <v>46040</v>
      </c>
      <c r="R902" t="s">
        <v>25</v>
      </c>
      <c r="S902" t="s">
        <v>86</v>
      </c>
    </row>
    <row r="903" spans="1:19" x14ac:dyDescent="0.25">
      <c r="A903" t="s">
        <v>997</v>
      </c>
      <c r="B903" s="5">
        <v>46117</v>
      </c>
      <c r="C903" t="s">
        <v>80</v>
      </c>
      <c r="D903" t="s">
        <v>21</v>
      </c>
      <c r="E903" t="s">
        <v>66</v>
      </c>
      <c r="F903" t="s">
        <v>96</v>
      </c>
      <c r="G903" t="s">
        <v>24</v>
      </c>
      <c r="H903">
        <v>229</v>
      </c>
      <c r="I903">
        <v>177</v>
      </c>
      <c r="J903">
        <v>7</v>
      </c>
      <c r="K903">
        <v>4.4000000000000004</v>
      </c>
      <c r="L903">
        <v>45267.9</v>
      </c>
      <c r="M903">
        <v>6.5</v>
      </c>
      <c r="N903">
        <v>169</v>
      </c>
      <c r="O903">
        <v>318</v>
      </c>
      <c r="P903" s="5">
        <v>46120</v>
      </c>
      <c r="Q903" s="5">
        <v>46120</v>
      </c>
      <c r="R903" t="s">
        <v>100</v>
      </c>
      <c r="S903" t="s">
        <v>72</v>
      </c>
    </row>
    <row r="904" spans="1:19" x14ac:dyDescent="0.25">
      <c r="A904" t="s">
        <v>998</v>
      </c>
      <c r="B904" s="5">
        <v>46185</v>
      </c>
      <c r="C904" t="s">
        <v>59</v>
      </c>
      <c r="D904" t="s">
        <v>49</v>
      </c>
      <c r="E904" t="s">
        <v>50</v>
      </c>
      <c r="F904" t="s">
        <v>31</v>
      </c>
      <c r="G904" t="s">
        <v>32</v>
      </c>
      <c r="H904">
        <v>116</v>
      </c>
      <c r="I904">
        <v>121</v>
      </c>
      <c r="J904">
        <v>2</v>
      </c>
      <c r="K904">
        <v>5.6</v>
      </c>
      <c r="L904">
        <v>17969.11</v>
      </c>
      <c r="M904">
        <v>2.31</v>
      </c>
      <c r="N904">
        <v>41.58</v>
      </c>
      <c r="O904">
        <v>110</v>
      </c>
      <c r="P904" s="5">
        <v>46190</v>
      </c>
      <c r="Q904" s="5">
        <v>46192</v>
      </c>
      <c r="R904" t="s">
        <v>39</v>
      </c>
      <c r="S904" t="s">
        <v>51</v>
      </c>
    </row>
    <row r="905" spans="1:19" x14ac:dyDescent="0.25">
      <c r="A905" t="s">
        <v>999</v>
      </c>
      <c r="B905" s="5">
        <v>46132</v>
      </c>
      <c r="C905" t="s">
        <v>59</v>
      </c>
      <c r="D905" t="s">
        <v>49</v>
      </c>
      <c r="E905" t="s">
        <v>50</v>
      </c>
      <c r="F905" t="s">
        <v>83</v>
      </c>
      <c r="G905" t="s">
        <v>32</v>
      </c>
      <c r="H905">
        <v>80</v>
      </c>
      <c r="I905">
        <v>91</v>
      </c>
      <c r="J905">
        <v>1</v>
      </c>
      <c r="K905">
        <v>0.3</v>
      </c>
      <c r="L905">
        <v>18511.75</v>
      </c>
      <c r="M905">
        <v>2.12</v>
      </c>
      <c r="N905">
        <v>42.4</v>
      </c>
      <c r="O905">
        <v>176</v>
      </c>
      <c r="P905" s="5">
        <v>46135</v>
      </c>
      <c r="Q905" s="5">
        <v>46134</v>
      </c>
      <c r="R905" t="s">
        <v>100</v>
      </c>
      <c r="S905" t="s">
        <v>26</v>
      </c>
    </row>
    <row r="906" spans="1:19" x14ac:dyDescent="0.25">
      <c r="A906" t="s">
        <v>1000</v>
      </c>
      <c r="B906" s="5">
        <v>46118</v>
      </c>
      <c r="C906" t="s">
        <v>53</v>
      </c>
      <c r="D906" t="s">
        <v>54</v>
      </c>
      <c r="E906" t="s">
        <v>131</v>
      </c>
      <c r="F906" t="s">
        <v>197</v>
      </c>
      <c r="G906" t="s">
        <v>57</v>
      </c>
      <c r="H906">
        <v>227</v>
      </c>
      <c r="I906">
        <v>217</v>
      </c>
      <c r="J906">
        <v>18</v>
      </c>
      <c r="K906">
        <v>7.3</v>
      </c>
      <c r="L906">
        <v>30398.7</v>
      </c>
      <c r="M906">
        <v>6.65</v>
      </c>
      <c r="N906">
        <v>172.9</v>
      </c>
      <c r="O906">
        <v>320</v>
      </c>
      <c r="P906" s="5">
        <v>46130</v>
      </c>
      <c r="Q906" s="5">
        <v>46130</v>
      </c>
      <c r="R906" t="s">
        <v>39</v>
      </c>
      <c r="S906" t="s">
        <v>51</v>
      </c>
    </row>
    <row r="907" spans="1:19" x14ac:dyDescent="0.25">
      <c r="A907" t="s">
        <v>1001</v>
      </c>
      <c r="B907" s="5">
        <v>46028</v>
      </c>
      <c r="C907" t="s">
        <v>35</v>
      </c>
      <c r="D907" t="s">
        <v>36</v>
      </c>
      <c r="E907" t="s">
        <v>69</v>
      </c>
      <c r="F907" t="s">
        <v>23</v>
      </c>
      <c r="G907" t="s">
        <v>57</v>
      </c>
      <c r="H907">
        <v>149</v>
      </c>
      <c r="I907">
        <v>128</v>
      </c>
      <c r="J907">
        <v>6</v>
      </c>
      <c r="K907">
        <v>4.5</v>
      </c>
      <c r="L907">
        <v>12412.23</v>
      </c>
      <c r="M907">
        <v>5.23</v>
      </c>
      <c r="N907">
        <v>115.06</v>
      </c>
      <c r="O907">
        <v>174</v>
      </c>
      <c r="P907" s="5">
        <v>46031</v>
      </c>
      <c r="Q907" s="5">
        <v>46031</v>
      </c>
      <c r="R907" t="s">
        <v>39</v>
      </c>
      <c r="S907" t="s">
        <v>51</v>
      </c>
    </row>
    <row r="908" spans="1:19" x14ac:dyDescent="0.25">
      <c r="A908" t="s">
        <v>1002</v>
      </c>
      <c r="B908" s="5">
        <v>46141</v>
      </c>
      <c r="C908" t="s">
        <v>43</v>
      </c>
      <c r="D908" t="s">
        <v>44</v>
      </c>
      <c r="E908" t="s">
        <v>93</v>
      </c>
      <c r="F908" t="s">
        <v>67</v>
      </c>
      <c r="G908" t="s">
        <v>57</v>
      </c>
      <c r="H908">
        <v>258</v>
      </c>
      <c r="I908">
        <v>245</v>
      </c>
      <c r="J908">
        <v>9</v>
      </c>
      <c r="K908">
        <v>6.7</v>
      </c>
      <c r="L908">
        <v>26682.37</v>
      </c>
      <c r="M908">
        <v>4.8899999999999997</v>
      </c>
      <c r="N908">
        <v>97.8</v>
      </c>
      <c r="O908">
        <v>341</v>
      </c>
      <c r="P908" s="5">
        <v>46153</v>
      </c>
      <c r="Q908" s="5">
        <v>46152</v>
      </c>
      <c r="R908" t="s">
        <v>25</v>
      </c>
      <c r="S908" t="s">
        <v>72</v>
      </c>
    </row>
    <row r="909" spans="1:19" x14ac:dyDescent="0.25">
      <c r="A909" t="s">
        <v>1003</v>
      </c>
      <c r="B909" s="5">
        <v>46126</v>
      </c>
      <c r="C909" t="s">
        <v>35</v>
      </c>
      <c r="D909" t="s">
        <v>36</v>
      </c>
      <c r="E909" t="s">
        <v>37</v>
      </c>
      <c r="F909" t="s">
        <v>77</v>
      </c>
      <c r="G909" t="s">
        <v>57</v>
      </c>
      <c r="H909">
        <v>186</v>
      </c>
      <c r="I909">
        <v>171</v>
      </c>
      <c r="J909">
        <v>1</v>
      </c>
      <c r="K909">
        <v>8.4</v>
      </c>
      <c r="L909">
        <v>12619.87</v>
      </c>
      <c r="M909">
        <v>6.69</v>
      </c>
      <c r="N909">
        <v>160.56</v>
      </c>
      <c r="O909">
        <v>247</v>
      </c>
      <c r="P909" s="5">
        <v>46137</v>
      </c>
      <c r="Q909" s="5">
        <v>46137</v>
      </c>
      <c r="R909" t="s">
        <v>100</v>
      </c>
      <c r="S909" t="s">
        <v>86</v>
      </c>
    </row>
    <row r="910" spans="1:19" x14ac:dyDescent="0.25">
      <c r="A910" t="s">
        <v>1004</v>
      </c>
      <c r="B910" s="5">
        <v>46085</v>
      </c>
      <c r="C910" t="s">
        <v>43</v>
      </c>
      <c r="D910" t="s">
        <v>44</v>
      </c>
      <c r="E910" t="s">
        <v>161</v>
      </c>
      <c r="F910" t="s">
        <v>67</v>
      </c>
      <c r="G910" t="s">
        <v>24</v>
      </c>
      <c r="H910">
        <v>120</v>
      </c>
      <c r="I910">
        <v>117</v>
      </c>
      <c r="J910">
        <v>6</v>
      </c>
      <c r="K910">
        <v>7.7</v>
      </c>
      <c r="L910">
        <v>10452.629999999999</v>
      </c>
      <c r="M910">
        <v>4.18</v>
      </c>
      <c r="N910">
        <v>83.6</v>
      </c>
      <c r="O910">
        <v>218</v>
      </c>
      <c r="P910" s="5">
        <v>46093</v>
      </c>
      <c r="Q910" s="5">
        <v>46097</v>
      </c>
      <c r="R910" t="s">
        <v>25</v>
      </c>
      <c r="S910" t="s">
        <v>51</v>
      </c>
    </row>
    <row r="911" spans="1:19" x14ac:dyDescent="0.25">
      <c r="A911" t="s">
        <v>1005</v>
      </c>
      <c r="B911" s="5">
        <v>46036</v>
      </c>
      <c r="C911" t="s">
        <v>80</v>
      </c>
      <c r="D911" t="s">
        <v>21</v>
      </c>
      <c r="E911" t="s">
        <v>90</v>
      </c>
      <c r="F911" t="s">
        <v>96</v>
      </c>
      <c r="G911" t="s">
        <v>57</v>
      </c>
      <c r="H911">
        <v>125</v>
      </c>
      <c r="I911">
        <v>91</v>
      </c>
      <c r="J911">
        <v>2</v>
      </c>
      <c r="K911">
        <v>7.6</v>
      </c>
      <c r="L911">
        <v>28722.62</v>
      </c>
      <c r="M911">
        <v>3.17</v>
      </c>
      <c r="N911">
        <v>82.42</v>
      </c>
      <c r="O911">
        <v>107</v>
      </c>
      <c r="P911" s="5">
        <v>46038</v>
      </c>
      <c r="Q911" s="5">
        <v>46038</v>
      </c>
      <c r="R911" t="s">
        <v>25</v>
      </c>
      <c r="S911" t="s">
        <v>33</v>
      </c>
    </row>
    <row r="912" spans="1:19" x14ac:dyDescent="0.25">
      <c r="A912" t="s">
        <v>1006</v>
      </c>
      <c r="B912" s="5">
        <v>46172</v>
      </c>
      <c r="C912" t="s">
        <v>20</v>
      </c>
      <c r="D912" t="s">
        <v>21</v>
      </c>
      <c r="E912" t="s">
        <v>22</v>
      </c>
      <c r="F912" t="s">
        <v>125</v>
      </c>
      <c r="G912" t="s">
        <v>406</v>
      </c>
      <c r="H912">
        <v>237</v>
      </c>
      <c r="I912">
        <v>170</v>
      </c>
      <c r="J912">
        <v>14</v>
      </c>
      <c r="K912">
        <v>7.1</v>
      </c>
      <c r="L912">
        <v>68385.259999999995</v>
      </c>
      <c r="M912">
        <v>5.0599999999999996</v>
      </c>
      <c r="N912">
        <v>111.32</v>
      </c>
      <c r="O912">
        <v>271</v>
      </c>
      <c r="P912" s="5">
        <v>46183</v>
      </c>
      <c r="Q912" s="5">
        <v>46182</v>
      </c>
      <c r="R912" t="s">
        <v>39</v>
      </c>
      <c r="S912" t="s">
        <v>33</v>
      </c>
    </row>
    <row r="913" spans="1:19" x14ac:dyDescent="0.25">
      <c r="A913" t="s">
        <v>1007</v>
      </c>
      <c r="B913" s="5">
        <v>46141</v>
      </c>
      <c r="C913" t="s">
        <v>59</v>
      </c>
      <c r="D913" t="s">
        <v>49</v>
      </c>
      <c r="E913" t="s">
        <v>50</v>
      </c>
      <c r="F913" t="s">
        <v>85</v>
      </c>
      <c r="G913" t="s">
        <v>32</v>
      </c>
      <c r="H913">
        <v>244</v>
      </c>
      <c r="I913">
        <v>257</v>
      </c>
      <c r="J913">
        <v>13</v>
      </c>
      <c r="K913">
        <v>4.5</v>
      </c>
      <c r="L913">
        <v>38075.71</v>
      </c>
      <c r="M913">
        <v>7.05</v>
      </c>
      <c r="N913">
        <v>155.1</v>
      </c>
      <c r="O913">
        <v>245</v>
      </c>
      <c r="P913" s="5">
        <v>46150</v>
      </c>
      <c r="Q913" s="5">
        <v>46154</v>
      </c>
      <c r="R913" t="s">
        <v>25</v>
      </c>
      <c r="S913" t="s">
        <v>86</v>
      </c>
    </row>
    <row r="914" spans="1:19" x14ac:dyDescent="0.25">
      <c r="A914" t="s">
        <v>1008</v>
      </c>
      <c r="B914" s="5">
        <v>46190</v>
      </c>
      <c r="C914" t="s">
        <v>35</v>
      </c>
      <c r="D914" t="s">
        <v>36</v>
      </c>
      <c r="E914" t="s">
        <v>69</v>
      </c>
      <c r="F914" t="s">
        <v>38</v>
      </c>
      <c r="G914" t="s">
        <v>57</v>
      </c>
      <c r="H914">
        <v>286</v>
      </c>
      <c r="I914">
        <v>320</v>
      </c>
      <c r="J914">
        <v>24</v>
      </c>
      <c r="K914">
        <v>7.6</v>
      </c>
      <c r="L914">
        <v>28807.62</v>
      </c>
      <c r="M914">
        <v>9.3000000000000007</v>
      </c>
      <c r="N914">
        <v>186</v>
      </c>
      <c r="O914">
        <v>255</v>
      </c>
      <c r="P914" s="5">
        <v>46193</v>
      </c>
      <c r="Q914" s="5">
        <v>46191</v>
      </c>
      <c r="R914" t="s">
        <v>39</v>
      </c>
      <c r="S914" t="s">
        <v>51</v>
      </c>
    </row>
    <row r="915" spans="1:19" x14ac:dyDescent="0.25">
      <c r="A915" t="s">
        <v>1009</v>
      </c>
      <c r="B915" s="5">
        <v>46050</v>
      </c>
      <c r="C915" t="s">
        <v>53</v>
      </c>
      <c r="D915" t="s">
        <v>54</v>
      </c>
      <c r="E915" t="s">
        <v>55</v>
      </c>
      <c r="F915" t="s">
        <v>38</v>
      </c>
      <c r="G915" t="s">
        <v>32</v>
      </c>
      <c r="H915">
        <v>118</v>
      </c>
      <c r="I915">
        <v>121</v>
      </c>
      <c r="J915">
        <v>3</v>
      </c>
      <c r="K915">
        <v>3</v>
      </c>
      <c r="L915">
        <v>15038.74</v>
      </c>
      <c r="M915">
        <v>3.58</v>
      </c>
      <c r="N915">
        <v>85.92</v>
      </c>
      <c r="O915">
        <v>109</v>
      </c>
      <c r="P915" s="5">
        <v>46062</v>
      </c>
      <c r="Q915" s="5">
        <v>46062</v>
      </c>
      <c r="R915" t="s">
        <v>25</v>
      </c>
      <c r="S915" t="s">
        <v>33</v>
      </c>
    </row>
    <row r="916" spans="1:19" x14ac:dyDescent="0.25">
      <c r="A916" t="s">
        <v>1010</v>
      </c>
      <c r="B916" s="5">
        <v>46116</v>
      </c>
      <c r="C916" t="s">
        <v>43</v>
      </c>
      <c r="D916" t="s">
        <v>44</v>
      </c>
      <c r="E916" t="s">
        <v>161</v>
      </c>
      <c r="F916" t="s">
        <v>61</v>
      </c>
      <c r="G916" t="s">
        <v>32</v>
      </c>
      <c r="H916">
        <v>129</v>
      </c>
      <c r="I916">
        <v>112</v>
      </c>
      <c r="J916">
        <v>1</v>
      </c>
      <c r="K916">
        <v>7.6</v>
      </c>
      <c r="L916">
        <v>14163.82</v>
      </c>
      <c r="M916">
        <v>4.2</v>
      </c>
      <c r="N916">
        <v>100.8</v>
      </c>
      <c r="O916">
        <v>190</v>
      </c>
      <c r="P916" s="5">
        <v>46123</v>
      </c>
      <c r="Q916" s="5">
        <v>46127</v>
      </c>
      <c r="R916" t="s">
        <v>25</v>
      </c>
      <c r="S916" t="s">
        <v>72</v>
      </c>
    </row>
    <row r="917" spans="1:19" x14ac:dyDescent="0.25">
      <c r="A917" t="s">
        <v>1011</v>
      </c>
      <c r="B917" s="5">
        <v>46191</v>
      </c>
      <c r="C917" t="s">
        <v>48</v>
      </c>
      <c r="D917" t="s">
        <v>49</v>
      </c>
      <c r="E917" t="s">
        <v>60</v>
      </c>
      <c r="F917" t="s">
        <v>85</v>
      </c>
      <c r="G917" t="s">
        <v>24</v>
      </c>
      <c r="H917">
        <v>302</v>
      </c>
      <c r="I917">
        <v>308</v>
      </c>
      <c r="J917">
        <v>1</v>
      </c>
      <c r="K917">
        <v>7</v>
      </c>
      <c r="L917">
        <v>70067.44</v>
      </c>
      <c r="M917">
        <v>9.14</v>
      </c>
      <c r="N917">
        <v>201.08</v>
      </c>
      <c r="O917">
        <v>299</v>
      </c>
      <c r="P917" s="5">
        <v>46193</v>
      </c>
      <c r="Q917" s="5">
        <v>46193</v>
      </c>
      <c r="R917" t="s">
        <v>25</v>
      </c>
      <c r="S917" t="s">
        <v>72</v>
      </c>
    </row>
    <row r="918" spans="1:19" x14ac:dyDescent="0.25">
      <c r="A918" t="s">
        <v>1012</v>
      </c>
      <c r="B918" s="5">
        <v>46094</v>
      </c>
      <c r="C918" t="s">
        <v>28</v>
      </c>
      <c r="D918" t="s">
        <v>29</v>
      </c>
      <c r="E918" t="s">
        <v>30</v>
      </c>
      <c r="F918" t="s">
        <v>170</v>
      </c>
      <c r="G918" t="s">
        <v>32</v>
      </c>
      <c r="H918">
        <v>126</v>
      </c>
      <c r="I918">
        <v>113</v>
      </c>
      <c r="J918">
        <v>8</v>
      </c>
      <c r="K918">
        <v>5.7</v>
      </c>
      <c r="L918">
        <v>30031.48</v>
      </c>
      <c r="M918">
        <v>3.05</v>
      </c>
      <c r="N918">
        <v>54.9</v>
      </c>
      <c r="O918">
        <v>112</v>
      </c>
      <c r="P918" s="5">
        <v>46103</v>
      </c>
      <c r="Q918" s="5">
        <v>46103</v>
      </c>
      <c r="R918" t="s">
        <v>25</v>
      </c>
      <c r="S918" t="s">
        <v>26</v>
      </c>
    </row>
    <row r="919" spans="1:19" x14ac:dyDescent="0.25">
      <c r="A919" t="s">
        <v>1013</v>
      </c>
      <c r="B919" s="5">
        <v>46093</v>
      </c>
      <c r="C919" t="s">
        <v>35</v>
      </c>
      <c r="D919" t="s">
        <v>36</v>
      </c>
      <c r="E919" t="s">
        <v>37</v>
      </c>
      <c r="F919" t="s">
        <v>77</v>
      </c>
      <c r="G919" t="s">
        <v>24</v>
      </c>
      <c r="H919">
        <v>191</v>
      </c>
      <c r="I919">
        <v>200</v>
      </c>
      <c r="J919">
        <v>14</v>
      </c>
      <c r="K919">
        <v>0.4</v>
      </c>
      <c r="L919">
        <v>22015.439999999999</v>
      </c>
      <c r="M919">
        <v>4.99</v>
      </c>
      <c r="N919">
        <v>119.76</v>
      </c>
      <c r="O919">
        <v>162</v>
      </c>
      <c r="P919" s="5">
        <v>46099</v>
      </c>
      <c r="Q919" s="5">
        <v>46100</v>
      </c>
      <c r="R919" t="s">
        <v>25</v>
      </c>
      <c r="S919" t="s">
        <v>33</v>
      </c>
    </row>
    <row r="920" spans="1:19" x14ac:dyDescent="0.25">
      <c r="A920" t="s">
        <v>1014</v>
      </c>
      <c r="B920" s="5">
        <v>46144</v>
      </c>
      <c r="C920" t="s">
        <v>35</v>
      </c>
      <c r="D920" t="s">
        <v>36</v>
      </c>
      <c r="E920" t="s">
        <v>69</v>
      </c>
      <c r="F920" t="s">
        <v>122</v>
      </c>
      <c r="G920" t="s">
        <v>57</v>
      </c>
      <c r="H920">
        <v>314</v>
      </c>
      <c r="I920">
        <v>345</v>
      </c>
      <c r="J920">
        <v>19</v>
      </c>
      <c r="K920">
        <v>8.3000000000000007</v>
      </c>
      <c r="L920">
        <v>32954.019999999997</v>
      </c>
      <c r="M920">
        <v>8.4</v>
      </c>
      <c r="N920">
        <v>151.19999999999999</v>
      </c>
      <c r="O920">
        <v>332</v>
      </c>
      <c r="P920" s="5">
        <v>46156</v>
      </c>
      <c r="Q920" s="5">
        <v>46156</v>
      </c>
      <c r="R920" t="s">
        <v>100</v>
      </c>
      <c r="S920" t="s">
        <v>26</v>
      </c>
    </row>
    <row r="921" spans="1:19" x14ac:dyDescent="0.25">
      <c r="A921" t="s">
        <v>1015</v>
      </c>
      <c r="B921" s="5">
        <v>46081</v>
      </c>
      <c r="C921" t="s">
        <v>80</v>
      </c>
      <c r="D921" t="s">
        <v>21</v>
      </c>
      <c r="E921" t="s">
        <v>22</v>
      </c>
      <c r="F921" t="s">
        <v>41</v>
      </c>
      <c r="G921" t="s">
        <v>57</v>
      </c>
      <c r="H921">
        <v>290</v>
      </c>
      <c r="I921">
        <v>264</v>
      </c>
      <c r="J921">
        <v>10</v>
      </c>
      <c r="K921">
        <v>3.9</v>
      </c>
      <c r="L921">
        <v>88675.03</v>
      </c>
      <c r="M921">
        <v>6.49</v>
      </c>
      <c r="N921">
        <v>168.74</v>
      </c>
      <c r="O921">
        <v>356</v>
      </c>
      <c r="P921" s="5">
        <v>46083</v>
      </c>
      <c r="Q921" s="5">
        <v>46083</v>
      </c>
      <c r="R921" t="s">
        <v>39</v>
      </c>
      <c r="S921" t="s">
        <v>72</v>
      </c>
    </row>
    <row r="922" spans="1:19" x14ac:dyDescent="0.25">
      <c r="A922" t="s">
        <v>1016</v>
      </c>
      <c r="B922" s="5">
        <v>46171</v>
      </c>
      <c r="C922" t="s">
        <v>28</v>
      </c>
      <c r="D922" t="s">
        <v>29</v>
      </c>
      <c r="E922" t="s">
        <v>30</v>
      </c>
      <c r="F922" t="s">
        <v>41</v>
      </c>
      <c r="G922" t="s">
        <v>32</v>
      </c>
      <c r="H922">
        <v>249</v>
      </c>
      <c r="I922">
        <v>238</v>
      </c>
      <c r="J922">
        <v>17</v>
      </c>
      <c r="K922">
        <v>7.7</v>
      </c>
      <c r="L922">
        <v>60879.29</v>
      </c>
      <c r="M922">
        <v>8.43</v>
      </c>
      <c r="N922">
        <v>168.6</v>
      </c>
      <c r="O922">
        <v>348</v>
      </c>
      <c r="P922" s="5">
        <v>46183</v>
      </c>
      <c r="Q922" s="5">
        <v>46183</v>
      </c>
      <c r="R922" t="s">
        <v>25</v>
      </c>
      <c r="S922" t="s">
        <v>33</v>
      </c>
    </row>
    <row r="923" spans="1:19" x14ac:dyDescent="0.25">
      <c r="A923" t="s">
        <v>1017</v>
      </c>
      <c r="B923" s="5">
        <v>46107</v>
      </c>
      <c r="C923" t="s">
        <v>28</v>
      </c>
      <c r="D923" t="s">
        <v>29</v>
      </c>
      <c r="E923" t="s">
        <v>95</v>
      </c>
      <c r="F923" t="s">
        <v>71</v>
      </c>
      <c r="G923" t="s">
        <v>32</v>
      </c>
      <c r="H923">
        <v>85</v>
      </c>
      <c r="I923">
        <v>64</v>
      </c>
      <c r="J923">
        <v>5</v>
      </c>
      <c r="K923">
        <v>6.6</v>
      </c>
      <c r="L923">
        <v>12170.63</v>
      </c>
      <c r="M923">
        <v>1.55</v>
      </c>
      <c r="N923">
        <v>31</v>
      </c>
      <c r="O923">
        <v>159</v>
      </c>
      <c r="P923" s="5">
        <v>46112</v>
      </c>
      <c r="Q923" s="5">
        <v>46112</v>
      </c>
      <c r="R923" t="s">
        <v>25</v>
      </c>
      <c r="S923" t="s">
        <v>86</v>
      </c>
    </row>
    <row r="924" spans="1:19" x14ac:dyDescent="0.25">
      <c r="A924" t="s">
        <v>1018</v>
      </c>
      <c r="B924" s="5">
        <v>46161</v>
      </c>
      <c r="C924" t="s">
        <v>20</v>
      </c>
      <c r="D924" t="s">
        <v>21</v>
      </c>
      <c r="E924" t="s">
        <v>22</v>
      </c>
      <c r="F924" t="s">
        <v>71</v>
      </c>
      <c r="G924" t="s">
        <v>24</v>
      </c>
      <c r="H924">
        <v>119</v>
      </c>
      <c r="I924">
        <v>130</v>
      </c>
      <c r="J924">
        <v>10</v>
      </c>
      <c r="K924">
        <v>0</v>
      </c>
      <c r="L924">
        <v>40999.440000000002</v>
      </c>
      <c r="M924">
        <v>4.82</v>
      </c>
      <c r="N924">
        <v>106.04</v>
      </c>
      <c r="O924">
        <v>124</v>
      </c>
      <c r="P924" s="5">
        <v>46164</v>
      </c>
      <c r="Q924" s="5">
        <v>46168</v>
      </c>
      <c r="R924" t="s">
        <v>25</v>
      </c>
      <c r="S924" t="s">
        <v>26</v>
      </c>
    </row>
    <row r="925" spans="1:19" x14ac:dyDescent="0.25">
      <c r="A925" t="s">
        <v>1019</v>
      </c>
      <c r="B925" s="5">
        <v>46142</v>
      </c>
      <c r="C925" t="s">
        <v>20</v>
      </c>
      <c r="D925" t="s">
        <v>21</v>
      </c>
      <c r="E925" t="s">
        <v>90</v>
      </c>
      <c r="F925" t="s">
        <v>244</v>
      </c>
      <c r="G925" t="s">
        <v>57</v>
      </c>
      <c r="H925">
        <v>251</v>
      </c>
      <c r="I925">
        <v>247</v>
      </c>
      <c r="J925">
        <v>18</v>
      </c>
      <c r="K925">
        <v>3.2</v>
      </c>
      <c r="L925">
        <v>62330.64</v>
      </c>
      <c r="M925">
        <v>9.23</v>
      </c>
      <c r="N925">
        <v>239.98</v>
      </c>
      <c r="O925">
        <v>275</v>
      </c>
      <c r="P925" s="5">
        <v>46144</v>
      </c>
      <c r="Q925" s="5">
        <v>46143</v>
      </c>
      <c r="R925" t="s">
        <v>25</v>
      </c>
      <c r="S925" t="s">
        <v>86</v>
      </c>
    </row>
    <row r="926" spans="1:19" x14ac:dyDescent="0.25">
      <c r="A926" t="s">
        <v>1020</v>
      </c>
      <c r="B926" s="5">
        <v>46064</v>
      </c>
      <c r="C926" t="s">
        <v>28</v>
      </c>
      <c r="D926" t="s">
        <v>29</v>
      </c>
      <c r="E926" t="s">
        <v>95</v>
      </c>
      <c r="F926" t="s">
        <v>104</v>
      </c>
      <c r="G926" t="s">
        <v>24</v>
      </c>
      <c r="H926">
        <v>316</v>
      </c>
      <c r="I926">
        <v>330</v>
      </c>
      <c r="J926">
        <v>12</v>
      </c>
      <c r="K926">
        <v>3.1</v>
      </c>
      <c r="L926">
        <v>77409.81</v>
      </c>
      <c r="M926">
        <v>6.76</v>
      </c>
      <c r="N926">
        <v>175.76</v>
      </c>
      <c r="O926">
        <v>379</v>
      </c>
      <c r="P926" s="5">
        <v>46069</v>
      </c>
      <c r="Q926" s="5">
        <v>46069</v>
      </c>
      <c r="R926" t="s">
        <v>25</v>
      </c>
      <c r="S926" t="s">
        <v>72</v>
      </c>
    </row>
    <row r="927" spans="1:19" x14ac:dyDescent="0.25">
      <c r="A927" t="s">
        <v>1021</v>
      </c>
      <c r="B927" s="5">
        <v>46173</v>
      </c>
      <c r="C927" t="s">
        <v>20</v>
      </c>
      <c r="D927" t="s">
        <v>21</v>
      </c>
      <c r="E927" t="s">
        <v>66</v>
      </c>
      <c r="F927" t="s">
        <v>31</v>
      </c>
      <c r="G927" t="s">
        <v>57</v>
      </c>
      <c r="H927">
        <v>138</v>
      </c>
      <c r="I927">
        <v>148</v>
      </c>
      <c r="J927">
        <v>13</v>
      </c>
      <c r="K927">
        <v>7</v>
      </c>
      <c r="L927">
        <v>48369.22</v>
      </c>
      <c r="M927">
        <v>3.81</v>
      </c>
      <c r="N927">
        <v>83.82</v>
      </c>
      <c r="O927">
        <v>148</v>
      </c>
      <c r="P927" s="5">
        <v>46175</v>
      </c>
      <c r="Q927" s="5">
        <v>46173</v>
      </c>
      <c r="R927" t="s">
        <v>100</v>
      </c>
      <c r="S927" t="s">
        <v>26</v>
      </c>
    </row>
    <row r="928" spans="1:19" x14ac:dyDescent="0.25">
      <c r="A928" t="s">
        <v>1022</v>
      </c>
      <c r="B928" s="5">
        <v>46113</v>
      </c>
      <c r="C928" t="s">
        <v>80</v>
      </c>
      <c r="D928" t="s">
        <v>21</v>
      </c>
      <c r="E928" t="s">
        <v>66</v>
      </c>
      <c r="F928" t="s">
        <v>170</v>
      </c>
      <c r="G928" t="s">
        <v>32</v>
      </c>
      <c r="H928">
        <v>319</v>
      </c>
      <c r="I928">
        <v>280</v>
      </c>
      <c r="J928">
        <v>9</v>
      </c>
      <c r="K928">
        <v>6.7</v>
      </c>
      <c r="L928">
        <v>58394.38</v>
      </c>
      <c r="M928">
        <v>8.15</v>
      </c>
      <c r="N928">
        <v>163</v>
      </c>
      <c r="O928">
        <v>303</v>
      </c>
      <c r="P928" s="5">
        <v>46124</v>
      </c>
      <c r="Q928" s="5">
        <v>46123</v>
      </c>
      <c r="R928" t="s">
        <v>39</v>
      </c>
      <c r="S928" t="s">
        <v>72</v>
      </c>
    </row>
    <row r="929" spans="1:19" x14ac:dyDescent="0.25">
      <c r="A929" t="s">
        <v>1023</v>
      </c>
      <c r="B929" s="5">
        <v>46164</v>
      </c>
      <c r="C929" t="s">
        <v>48</v>
      </c>
      <c r="D929" t="s">
        <v>49</v>
      </c>
      <c r="E929" t="s">
        <v>50</v>
      </c>
      <c r="F929" t="s">
        <v>106</v>
      </c>
      <c r="G929" t="s">
        <v>32</v>
      </c>
      <c r="H929">
        <v>239</v>
      </c>
      <c r="I929">
        <v>255</v>
      </c>
      <c r="J929">
        <v>19</v>
      </c>
      <c r="K929">
        <v>5.7</v>
      </c>
      <c r="L929">
        <v>46803.11</v>
      </c>
      <c r="M929">
        <v>7.19</v>
      </c>
      <c r="N929">
        <v>129.41999999999999</v>
      </c>
      <c r="O929">
        <v>226</v>
      </c>
      <c r="P929" s="5">
        <v>46166</v>
      </c>
      <c r="Q929" s="5">
        <v>46166</v>
      </c>
      <c r="R929" t="s">
        <v>25</v>
      </c>
      <c r="S929" t="s">
        <v>72</v>
      </c>
    </row>
    <row r="930" spans="1:19" x14ac:dyDescent="0.25">
      <c r="A930" t="s">
        <v>1024</v>
      </c>
      <c r="B930" s="5">
        <v>46062</v>
      </c>
      <c r="C930" t="s">
        <v>59</v>
      </c>
      <c r="D930" t="s">
        <v>49</v>
      </c>
      <c r="E930" t="s">
        <v>76</v>
      </c>
      <c r="F930" t="s">
        <v>106</v>
      </c>
      <c r="G930" t="s">
        <v>57</v>
      </c>
      <c r="H930">
        <v>297</v>
      </c>
      <c r="I930">
        <v>266</v>
      </c>
      <c r="J930">
        <v>3</v>
      </c>
      <c r="K930">
        <v>4.8</v>
      </c>
      <c r="L930">
        <v>37326.879999999997</v>
      </c>
      <c r="M930">
        <v>6.7</v>
      </c>
      <c r="N930">
        <v>120.6</v>
      </c>
      <c r="O930">
        <v>263</v>
      </c>
      <c r="P930" s="5">
        <v>46068</v>
      </c>
      <c r="Q930" s="5">
        <v>46069</v>
      </c>
      <c r="R930" t="s">
        <v>25</v>
      </c>
      <c r="S930" t="s">
        <v>51</v>
      </c>
    </row>
    <row r="931" spans="1:19" x14ac:dyDescent="0.25">
      <c r="A931" t="s">
        <v>1025</v>
      </c>
      <c r="B931" s="5">
        <v>46157</v>
      </c>
      <c r="C931" t="s">
        <v>20</v>
      </c>
      <c r="D931" t="s">
        <v>21</v>
      </c>
      <c r="E931" t="s">
        <v>90</v>
      </c>
      <c r="F931" t="s">
        <v>61</v>
      </c>
      <c r="G931" t="s">
        <v>24</v>
      </c>
      <c r="H931">
        <v>109</v>
      </c>
      <c r="I931">
        <v>82</v>
      </c>
      <c r="J931">
        <v>2</v>
      </c>
      <c r="K931">
        <v>3</v>
      </c>
      <c r="L931">
        <v>27697.01</v>
      </c>
      <c r="M931">
        <v>1.89</v>
      </c>
      <c r="N931">
        <v>34.020000000000003</v>
      </c>
      <c r="O931">
        <v>128</v>
      </c>
      <c r="P931" s="5">
        <v>46159</v>
      </c>
      <c r="Q931" s="5">
        <v>46159</v>
      </c>
      <c r="R931" t="s">
        <v>25</v>
      </c>
      <c r="S931" t="s">
        <v>26</v>
      </c>
    </row>
    <row r="932" spans="1:19" x14ac:dyDescent="0.25">
      <c r="A932" t="s">
        <v>1026</v>
      </c>
      <c r="B932" s="5">
        <v>46043</v>
      </c>
      <c r="C932" t="s">
        <v>59</v>
      </c>
      <c r="D932" t="s">
        <v>49</v>
      </c>
      <c r="E932" t="s">
        <v>60</v>
      </c>
      <c r="F932" t="s">
        <v>71</v>
      </c>
      <c r="G932" t="s">
        <v>24</v>
      </c>
      <c r="H932">
        <v>248</v>
      </c>
      <c r="I932">
        <v>210</v>
      </c>
      <c r="J932">
        <v>17</v>
      </c>
      <c r="K932">
        <v>6.8</v>
      </c>
      <c r="L932">
        <v>34040.32</v>
      </c>
      <c r="M932">
        <v>5.9</v>
      </c>
      <c r="N932">
        <v>129.80000000000001</v>
      </c>
      <c r="O932">
        <v>276</v>
      </c>
      <c r="P932" s="5">
        <v>46045</v>
      </c>
      <c r="Q932" s="5">
        <v>46045</v>
      </c>
      <c r="R932" t="s">
        <v>25</v>
      </c>
      <c r="S932" t="s">
        <v>33</v>
      </c>
    </row>
    <row r="933" spans="1:19" x14ac:dyDescent="0.25">
      <c r="A933" t="s">
        <v>1027</v>
      </c>
      <c r="B933" s="5">
        <v>46050</v>
      </c>
      <c r="C933" t="s">
        <v>53</v>
      </c>
      <c r="D933" t="s">
        <v>54</v>
      </c>
      <c r="E933" t="s">
        <v>55</v>
      </c>
      <c r="F933" t="s">
        <v>110</v>
      </c>
      <c r="G933" t="s">
        <v>24</v>
      </c>
      <c r="H933">
        <v>200</v>
      </c>
      <c r="I933">
        <v>213</v>
      </c>
      <c r="J933">
        <v>8</v>
      </c>
      <c r="K933">
        <v>1</v>
      </c>
      <c r="L933">
        <v>29836.400000000001</v>
      </c>
      <c r="M933">
        <v>8.41</v>
      </c>
      <c r="N933">
        <v>168.2</v>
      </c>
      <c r="O933">
        <v>180</v>
      </c>
      <c r="P933" s="5">
        <v>46057</v>
      </c>
      <c r="Q933" s="5">
        <v>46057</v>
      </c>
      <c r="R933" t="s">
        <v>25</v>
      </c>
      <c r="S933" t="s">
        <v>33</v>
      </c>
    </row>
    <row r="934" spans="1:19" x14ac:dyDescent="0.25">
      <c r="A934" t="s">
        <v>1028</v>
      </c>
      <c r="B934" s="5">
        <v>46184</v>
      </c>
      <c r="C934" t="s">
        <v>80</v>
      </c>
      <c r="D934" t="s">
        <v>21</v>
      </c>
      <c r="E934" t="s">
        <v>90</v>
      </c>
      <c r="F934" t="s">
        <v>83</v>
      </c>
      <c r="G934" t="s">
        <v>24</v>
      </c>
      <c r="H934">
        <v>135</v>
      </c>
      <c r="I934">
        <v>139</v>
      </c>
      <c r="J934">
        <v>2</v>
      </c>
      <c r="K934">
        <v>6.6</v>
      </c>
      <c r="L934">
        <v>43391.69</v>
      </c>
      <c r="M934">
        <v>3.3</v>
      </c>
      <c r="N934">
        <v>79.2</v>
      </c>
      <c r="O934">
        <v>96</v>
      </c>
      <c r="P934" s="5">
        <v>46196</v>
      </c>
      <c r="Q934" s="5">
        <v>46196</v>
      </c>
      <c r="R934" t="s">
        <v>39</v>
      </c>
      <c r="S934" t="s">
        <v>51</v>
      </c>
    </row>
    <row r="935" spans="1:19" x14ac:dyDescent="0.25">
      <c r="A935" t="s">
        <v>1029</v>
      </c>
      <c r="B935" s="5">
        <v>46149</v>
      </c>
      <c r="C935" t="s">
        <v>28</v>
      </c>
      <c r="D935" t="s">
        <v>29</v>
      </c>
      <c r="E935" t="s">
        <v>63</v>
      </c>
      <c r="F935" t="s">
        <v>23</v>
      </c>
      <c r="G935" t="s">
        <v>24</v>
      </c>
      <c r="H935">
        <v>190</v>
      </c>
      <c r="I935">
        <v>154</v>
      </c>
      <c r="J935">
        <v>10</v>
      </c>
      <c r="K935">
        <v>1.7</v>
      </c>
      <c r="L935">
        <v>34074.06</v>
      </c>
      <c r="M935">
        <v>4.2699999999999996</v>
      </c>
      <c r="N935">
        <v>111.02</v>
      </c>
      <c r="O935">
        <v>255</v>
      </c>
      <c r="P935" s="5">
        <v>46160</v>
      </c>
      <c r="Q935" s="5">
        <v>46160</v>
      </c>
      <c r="R935" t="s">
        <v>25</v>
      </c>
      <c r="S935" t="s">
        <v>33</v>
      </c>
    </row>
    <row r="936" spans="1:19" x14ac:dyDescent="0.25">
      <c r="A936" t="s">
        <v>1030</v>
      </c>
      <c r="B936" s="5">
        <v>46130</v>
      </c>
      <c r="C936" t="s">
        <v>59</v>
      </c>
      <c r="D936" t="s">
        <v>49</v>
      </c>
      <c r="E936" t="s">
        <v>60</v>
      </c>
      <c r="F936" t="s">
        <v>106</v>
      </c>
      <c r="G936" t="s">
        <v>57</v>
      </c>
      <c r="H936">
        <v>234</v>
      </c>
      <c r="I936">
        <v>218</v>
      </c>
      <c r="J936">
        <v>20</v>
      </c>
      <c r="K936">
        <v>3.6</v>
      </c>
      <c r="L936">
        <v>31597.8</v>
      </c>
      <c r="M936">
        <v>4.59</v>
      </c>
      <c r="N936">
        <v>91.8</v>
      </c>
      <c r="O936">
        <v>224</v>
      </c>
      <c r="P936" s="5">
        <v>46142</v>
      </c>
      <c r="Q936" s="5">
        <v>46142</v>
      </c>
      <c r="R936" t="s">
        <v>25</v>
      </c>
      <c r="S936" t="s">
        <v>51</v>
      </c>
    </row>
    <row r="937" spans="1:19" x14ac:dyDescent="0.25">
      <c r="A937" t="s">
        <v>1031</v>
      </c>
      <c r="B937" s="5">
        <v>46086</v>
      </c>
      <c r="C937" t="s">
        <v>80</v>
      </c>
      <c r="D937" t="s">
        <v>21</v>
      </c>
      <c r="E937" t="s">
        <v>66</v>
      </c>
      <c r="F937" t="s">
        <v>31</v>
      </c>
      <c r="G937" t="s">
        <v>32</v>
      </c>
      <c r="H937">
        <v>98</v>
      </c>
      <c r="I937">
        <v>99</v>
      </c>
      <c r="J937">
        <v>1</v>
      </c>
      <c r="K937">
        <v>2</v>
      </c>
      <c r="L937">
        <v>31384.3</v>
      </c>
      <c r="M937">
        <v>3.33</v>
      </c>
      <c r="N937">
        <v>59.94</v>
      </c>
      <c r="O937">
        <v>61</v>
      </c>
      <c r="P937" s="5">
        <v>46094</v>
      </c>
      <c r="Q937" s="5">
        <v>46093</v>
      </c>
      <c r="R937" t="s">
        <v>25</v>
      </c>
      <c r="S937" t="s">
        <v>51</v>
      </c>
    </row>
    <row r="938" spans="1:19" x14ac:dyDescent="0.25">
      <c r="A938" t="s">
        <v>1032</v>
      </c>
      <c r="B938" s="5">
        <v>46060</v>
      </c>
      <c r="C938" t="s">
        <v>20</v>
      </c>
      <c r="D938" t="s">
        <v>21</v>
      </c>
      <c r="E938" t="s">
        <v>90</v>
      </c>
      <c r="F938" t="s">
        <v>56</v>
      </c>
      <c r="G938" t="s">
        <v>24</v>
      </c>
      <c r="H938">
        <v>163</v>
      </c>
      <c r="I938">
        <v>185</v>
      </c>
      <c r="J938">
        <v>7</v>
      </c>
      <c r="K938">
        <v>4.7</v>
      </c>
      <c r="L938">
        <v>57465.25</v>
      </c>
      <c r="M938">
        <v>7.14</v>
      </c>
      <c r="N938">
        <v>142.80000000000001</v>
      </c>
      <c r="O938">
        <v>175</v>
      </c>
      <c r="P938" s="5">
        <v>46068</v>
      </c>
      <c r="Q938" s="5">
        <v>46069</v>
      </c>
      <c r="R938" t="s">
        <v>25</v>
      </c>
      <c r="S938" t="s">
        <v>51</v>
      </c>
    </row>
    <row r="939" spans="1:19" x14ac:dyDescent="0.25">
      <c r="A939" t="s">
        <v>1033</v>
      </c>
      <c r="B939" s="5">
        <v>46148</v>
      </c>
      <c r="C939" t="s">
        <v>53</v>
      </c>
      <c r="D939" t="s">
        <v>54</v>
      </c>
      <c r="E939" t="s">
        <v>131</v>
      </c>
      <c r="F939" t="s">
        <v>71</v>
      </c>
      <c r="G939" t="s">
        <v>32</v>
      </c>
      <c r="H939">
        <v>191</v>
      </c>
      <c r="I939">
        <v>141</v>
      </c>
      <c r="J939">
        <v>0</v>
      </c>
      <c r="K939">
        <v>4.2</v>
      </c>
      <c r="L939">
        <v>18730.96</v>
      </c>
      <c r="M939">
        <v>2.74</v>
      </c>
      <c r="N939">
        <v>65.760000000000005</v>
      </c>
      <c r="O939">
        <v>285</v>
      </c>
      <c r="P939" s="5">
        <v>46154</v>
      </c>
      <c r="Q939" s="5">
        <v>46154</v>
      </c>
      <c r="R939" t="s">
        <v>100</v>
      </c>
      <c r="S939" t="s">
        <v>51</v>
      </c>
    </row>
    <row r="940" spans="1:19" x14ac:dyDescent="0.25">
      <c r="A940" t="s">
        <v>1034</v>
      </c>
      <c r="B940" s="5">
        <v>46095</v>
      </c>
      <c r="C940" t="s">
        <v>59</v>
      </c>
      <c r="D940" t="s">
        <v>49</v>
      </c>
      <c r="E940" t="s">
        <v>50</v>
      </c>
      <c r="F940" t="s">
        <v>46</v>
      </c>
      <c r="G940" t="s">
        <v>32</v>
      </c>
      <c r="H940">
        <v>189</v>
      </c>
      <c r="I940">
        <v>198</v>
      </c>
      <c r="J940">
        <v>9</v>
      </c>
      <c r="K940">
        <v>6.9</v>
      </c>
      <c r="L940">
        <v>28809.05</v>
      </c>
      <c r="M940">
        <v>5</v>
      </c>
      <c r="N940">
        <v>100</v>
      </c>
      <c r="O940">
        <v>264</v>
      </c>
      <c r="P940" s="5">
        <v>46100</v>
      </c>
      <c r="Q940" s="5">
        <v>46100</v>
      </c>
      <c r="R940" t="s">
        <v>100</v>
      </c>
      <c r="S940" t="s">
        <v>51</v>
      </c>
    </row>
    <row r="941" spans="1:19" x14ac:dyDescent="0.25">
      <c r="A941" t="s">
        <v>1035</v>
      </c>
      <c r="B941" s="5">
        <v>46145</v>
      </c>
      <c r="C941" t="s">
        <v>28</v>
      </c>
      <c r="D941" t="s">
        <v>29</v>
      </c>
      <c r="E941" t="s">
        <v>95</v>
      </c>
      <c r="F941" t="s">
        <v>122</v>
      </c>
      <c r="G941" t="s">
        <v>24</v>
      </c>
      <c r="H941">
        <v>311</v>
      </c>
      <c r="I941">
        <v>241</v>
      </c>
      <c r="J941">
        <v>18</v>
      </c>
      <c r="K941">
        <v>5.8</v>
      </c>
      <c r="L941">
        <v>59680.71</v>
      </c>
      <c r="M941">
        <v>7.53</v>
      </c>
      <c r="N941">
        <v>150.6</v>
      </c>
      <c r="O941">
        <v>299</v>
      </c>
      <c r="P941" s="5">
        <v>46151</v>
      </c>
      <c r="Q941" s="5">
        <v>46152</v>
      </c>
      <c r="R941" t="s">
        <v>39</v>
      </c>
      <c r="S941" t="s">
        <v>33</v>
      </c>
    </row>
    <row r="942" spans="1:19" x14ac:dyDescent="0.25">
      <c r="A942" t="s">
        <v>1036</v>
      </c>
      <c r="B942" s="5">
        <v>46092</v>
      </c>
      <c r="C942" t="s">
        <v>59</v>
      </c>
      <c r="D942" t="s">
        <v>49</v>
      </c>
      <c r="E942" t="s">
        <v>60</v>
      </c>
      <c r="F942" t="s">
        <v>135</v>
      </c>
      <c r="G942" t="s">
        <v>57</v>
      </c>
      <c r="H942">
        <v>183</v>
      </c>
      <c r="I942">
        <v>133</v>
      </c>
      <c r="J942">
        <v>7</v>
      </c>
      <c r="K942">
        <v>8</v>
      </c>
      <c r="L942">
        <v>19836.89</v>
      </c>
      <c r="M942">
        <v>4.9800000000000004</v>
      </c>
      <c r="N942">
        <v>129.47999999999999</v>
      </c>
      <c r="O942">
        <v>278</v>
      </c>
      <c r="P942" s="5">
        <v>46096</v>
      </c>
      <c r="Q942" s="5">
        <v>46100</v>
      </c>
      <c r="R942" t="s">
        <v>39</v>
      </c>
      <c r="S942" t="s">
        <v>33</v>
      </c>
    </row>
    <row r="943" spans="1:19" x14ac:dyDescent="0.25">
      <c r="A943" t="s">
        <v>1037</v>
      </c>
      <c r="B943" s="5">
        <v>46106</v>
      </c>
      <c r="C943" t="s">
        <v>35</v>
      </c>
      <c r="D943" t="s">
        <v>36</v>
      </c>
      <c r="E943" t="s">
        <v>69</v>
      </c>
      <c r="F943" t="s">
        <v>114</v>
      </c>
      <c r="G943" t="s">
        <v>24</v>
      </c>
      <c r="H943">
        <v>80</v>
      </c>
      <c r="I943">
        <v>74</v>
      </c>
      <c r="J943">
        <v>1</v>
      </c>
      <c r="K943">
        <v>6.6</v>
      </c>
      <c r="L943">
        <v>7207.36</v>
      </c>
      <c r="M943">
        <v>2.57</v>
      </c>
      <c r="N943">
        <v>56.54</v>
      </c>
      <c r="O943">
        <v>101</v>
      </c>
      <c r="P943" s="5">
        <v>46118</v>
      </c>
      <c r="Q943" s="5">
        <v>46120</v>
      </c>
      <c r="R943" t="s">
        <v>39</v>
      </c>
      <c r="S943" t="s">
        <v>86</v>
      </c>
    </row>
    <row r="944" spans="1:19" x14ac:dyDescent="0.25">
      <c r="A944" t="s">
        <v>1038</v>
      </c>
      <c r="B944" s="5">
        <v>46047</v>
      </c>
      <c r="C944" t="s">
        <v>35</v>
      </c>
      <c r="D944" t="s">
        <v>36</v>
      </c>
      <c r="E944" t="s">
        <v>69</v>
      </c>
      <c r="F944" t="s">
        <v>135</v>
      </c>
      <c r="G944" t="s">
        <v>24</v>
      </c>
      <c r="H944">
        <v>239</v>
      </c>
      <c r="I944">
        <v>192</v>
      </c>
      <c r="J944">
        <v>5</v>
      </c>
      <c r="K944">
        <v>0.4</v>
      </c>
      <c r="L944">
        <v>16508.16</v>
      </c>
      <c r="M944">
        <v>4.57</v>
      </c>
      <c r="N944">
        <v>100.54</v>
      </c>
      <c r="O944">
        <v>325</v>
      </c>
      <c r="P944" s="5">
        <v>46052</v>
      </c>
      <c r="Q944" s="5">
        <v>46054</v>
      </c>
      <c r="R944" t="s">
        <v>39</v>
      </c>
      <c r="S944" t="s">
        <v>33</v>
      </c>
    </row>
    <row r="945" spans="1:19" x14ac:dyDescent="0.25">
      <c r="A945" t="s">
        <v>1039</v>
      </c>
      <c r="B945" s="5">
        <v>46049</v>
      </c>
      <c r="C945" t="s">
        <v>43</v>
      </c>
      <c r="D945" t="s">
        <v>44</v>
      </c>
      <c r="E945" t="s">
        <v>93</v>
      </c>
      <c r="F945" t="s">
        <v>31</v>
      </c>
      <c r="G945" t="s">
        <v>32</v>
      </c>
      <c r="H945">
        <v>185</v>
      </c>
      <c r="I945">
        <v>202</v>
      </c>
      <c r="J945">
        <v>4</v>
      </c>
      <c r="K945">
        <v>3.7</v>
      </c>
      <c r="L945">
        <v>24766.81</v>
      </c>
      <c r="M945">
        <v>6.94</v>
      </c>
      <c r="N945">
        <v>180.44</v>
      </c>
      <c r="O945">
        <v>257</v>
      </c>
      <c r="P945" s="5">
        <v>46053</v>
      </c>
      <c r="Q945" s="5">
        <v>46053</v>
      </c>
      <c r="R945" t="s">
        <v>25</v>
      </c>
      <c r="S945" t="s">
        <v>33</v>
      </c>
    </row>
    <row r="946" spans="1:19" x14ac:dyDescent="0.25">
      <c r="A946" t="s">
        <v>1040</v>
      </c>
      <c r="B946" s="5">
        <v>46032</v>
      </c>
      <c r="C946" t="s">
        <v>59</v>
      </c>
      <c r="D946" t="s">
        <v>49</v>
      </c>
      <c r="E946" t="s">
        <v>50</v>
      </c>
      <c r="F946" t="s">
        <v>83</v>
      </c>
      <c r="G946" t="s">
        <v>32</v>
      </c>
      <c r="H946">
        <v>315</v>
      </c>
      <c r="I946">
        <v>306</v>
      </c>
      <c r="J946">
        <v>4</v>
      </c>
      <c r="K946">
        <v>2.5</v>
      </c>
      <c r="L946">
        <v>54399.62</v>
      </c>
      <c r="M946">
        <v>7.04</v>
      </c>
      <c r="N946">
        <v>154.88</v>
      </c>
      <c r="O946">
        <v>335</v>
      </c>
      <c r="P946" s="5">
        <v>46043</v>
      </c>
      <c r="Q946" s="5">
        <v>46042</v>
      </c>
      <c r="R946" t="s">
        <v>25</v>
      </c>
      <c r="S946" t="s">
        <v>26</v>
      </c>
    </row>
    <row r="947" spans="1:19" x14ac:dyDescent="0.25">
      <c r="A947" t="s">
        <v>1041</v>
      </c>
      <c r="B947" s="5">
        <v>46160</v>
      </c>
      <c r="C947" t="s">
        <v>28</v>
      </c>
      <c r="D947" t="s">
        <v>29</v>
      </c>
      <c r="E947" t="s">
        <v>63</v>
      </c>
      <c r="F947" t="s">
        <v>85</v>
      </c>
      <c r="G947" t="s">
        <v>24</v>
      </c>
      <c r="H947">
        <v>201</v>
      </c>
      <c r="I947">
        <v>204</v>
      </c>
      <c r="J947">
        <v>10</v>
      </c>
      <c r="K947">
        <v>5.9</v>
      </c>
      <c r="L947">
        <v>43325.11</v>
      </c>
      <c r="M947">
        <v>7.79</v>
      </c>
      <c r="N947">
        <v>155.80000000000001</v>
      </c>
      <c r="O947">
        <v>266</v>
      </c>
      <c r="P947" s="5">
        <v>46167</v>
      </c>
      <c r="Q947" s="5">
        <v>46166</v>
      </c>
      <c r="R947" t="s">
        <v>25</v>
      </c>
      <c r="S947" t="s">
        <v>51</v>
      </c>
    </row>
    <row r="948" spans="1:19" x14ac:dyDescent="0.25">
      <c r="A948" t="s">
        <v>1042</v>
      </c>
      <c r="B948" s="5">
        <v>46170</v>
      </c>
      <c r="C948" t="s">
        <v>59</v>
      </c>
      <c r="D948" t="s">
        <v>49</v>
      </c>
      <c r="E948" t="s">
        <v>50</v>
      </c>
      <c r="F948" t="s">
        <v>244</v>
      </c>
      <c r="G948" t="s">
        <v>57</v>
      </c>
      <c r="H948">
        <v>189</v>
      </c>
      <c r="I948">
        <v>192</v>
      </c>
      <c r="J948">
        <v>17</v>
      </c>
      <c r="K948">
        <v>6.8</v>
      </c>
      <c r="L948">
        <v>31133.03</v>
      </c>
      <c r="M948">
        <v>6.86</v>
      </c>
      <c r="N948">
        <v>178.36</v>
      </c>
      <c r="O948">
        <v>154</v>
      </c>
      <c r="P948" s="5">
        <v>46182</v>
      </c>
      <c r="Q948" s="5">
        <v>46182</v>
      </c>
      <c r="R948" t="s">
        <v>25</v>
      </c>
      <c r="S948" t="s">
        <v>51</v>
      </c>
    </row>
    <row r="949" spans="1:19" x14ac:dyDescent="0.25">
      <c r="A949" t="s">
        <v>1043</v>
      </c>
      <c r="B949" s="5">
        <v>46034</v>
      </c>
      <c r="C949" t="s">
        <v>43</v>
      </c>
      <c r="D949" t="s">
        <v>44</v>
      </c>
      <c r="E949" t="s">
        <v>93</v>
      </c>
      <c r="F949" t="s">
        <v>170</v>
      </c>
      <c r="G949" t="s">
        <v>24</v>
      </c>
      <c r="H949">
        <v>291</v>
      </c>
      <c r="I949">
        <v>235</v>
      </c>
      <c r="J949">
        <v>3</v>
      </c>
      <c r="K949">
        <v>4.0999999999999996</v>
      </c>
      <c r="L949">
        <v>27067.43</v>
      </c>
      <c r="M949">
        <v>4.99</v>
      </c>
      <c r="N949">
        <v>89.82</v>
      </c>
      <c r="O949">
        <v>303</v>
      </c>
      <c r="P949" s="5">
        <v>46041</v>
      </c>
      <c r="Q949" s="5">
        <v>46041</v>
      </c>
      <c r="R949" t="s">
        <v>100</v>
      </c>
      <c r="S949" t="s">
        <v>33</v>
      </c>
    </row>
    <row r="950" spans="1:19" x14ac:dyDescent="0.25">
      <c r="A950" t="s">
        <v>1044</v>
      </c>
      <c r="B950" s="5">
        <v>46063</v>
      </c>
      <c r="C950" t="s">
        <v>53</v>
      </c>
      <c r="D950" t="s">
        <v>54</v>
      </c>
      <c r="E950" t="s">
        <v>131</v>
      </c>
      <c r="F950" t="s">
        <v>71</v>
      </c>
      <c r="G950" t="s">
        <v>32</v>
      </c>
      <c r="H950">
        <v>81</v>
      </c>
      <c r="I950">
        <v>64</v>
      </c>
      <c r="J950">
        <v>0</v>
      </c>
      <c r="K950">
        <v>1.6</v>
      </c>
      <c r="L950">
        <v>10053.76</v>
      </c>
      <c r="M950">
        <v>1.28</v>
      </c>
      <c r="N950">
        <v>25.6</v>
      </c>
      <c r="O950">
        <v>104</v>
      </c>
      <c r="P950" s="5">
        <v>46066</v>
      </c>
      <c r="Q950" s="5">
        <v>46066</v>
      </c>
      <c r="R950" t="s">
        <v>100</v>
      </c>
      <c r="S950" t="s">
        <v>51</v>
      </c>
    </row>
    <row r="951" spans="1:19" x14ac:dyDescent="0.25">
      <c r="A951" t="s">
        <v>1045</v>
      </c>
      <c r="B951" s="5">
        <v>46202</v>
      </c>
      <c r="C951" t="s">
        <v>43</v>
      </c>
      <c r="D951" t="s">
        <v>44</v>
      </c>
      <c r="E951" t="s">
        <v>161</v>
      </c>
      <c r="F951" t="s">
        <v>137</v>
      </c>
      <c r="G951" t="s">
        <v>24</v>
      </c>
      <c r="H951">
        <v>262</v>
      </c>
      <c r="I951">
        <v>247</v>
      </c>
      <c r="J951">
        <v>13</v>
      </c>
      <c r="K951">
        <v>6.1</v>
      </c>
      <c r="L951">
        <v>37616.54</v>
      </c>
      <c r="M951">
        <v>9.7799999999999994</v>
      </c>
      <c r="N951">
        <v>254.28</v>
      </c>
      <c r="O951">
        <v>306</v>
      </c>
      <c r="P951" s="5">
        <v>46211</v>
      </c>
      <c r="Q951" s="5">
        <v>46211</v>
      </c>
      <c r="R951" t="s">
        <v>39</v>
      </c>
      <c r="S951" t="s">
        <v>26</v>
      </c>
    </row>
    <row r="952" spans="1:19" x14ac:dyDescent="0.25">
      <c r="A952" t="s">
        <v>1046</v>
      </c>
      <c r="B952" s="5">
        <v>46078</v>
      </c>
      <c r="C952" t="s">
        <v>53</v>
      </c>
      <c r="D952" t="s">
        <v>54</v>
      </c>
      <c r="E952" t="s">
        <v>131</v>
      </c>
      <c r="F952" t="s">
        <v>197</v>
      </c>
      <c r="G952" t="s">
        <v>24</v>
      </c>
      <c r="H952">
        <v>124</v>
      </c>
      <c r="I952">
        <v>121</v>
      </c>
      <c r="J952">
        <v>9</v>
      </c>
      <c r="K952">
        <v>2.5</v>
      </c>
      <c r="L952">
        <v>14586.83</v>
      </c>
      <c r="M952">
        <v>4.3099999999999996</v>
      </c>
      <c r="N952">
        <v>77.58</v>
      </c>
      <c r="O952">
        <v>134</v>
      </c>
      <c r="P952" s="5">
        <v>46086</v>
      </c>
      <c r="Q952" s="5">
        <v>46086</v>
      </c>
      <c r="R952" t="s">
        <v>100</v>
      </c>
      <c r="S952" t="s">
        <v>72</v>
      </c>
    </row>
    <row r="953" spans="1:19" x14ac:dyDescent="0.25">
      <c r="A953" t="s">
        <v>1047</v>
      </c>
      <c r="B953" s="5">
        <v>46046</v>
      </c>
      <c r="C953" t="s">
        <v>20</v>
      </c>
      <c r="D953" t="s">
        <v>21</v>
      </c>
      <c r="E953" t="s">
        <v>66</v>
      </c>
      <c r="F953" t="s">
        <v>38</v>
      </c>
      <c r="G953" t="s">
        <v>57</v>
      </c>
      <c r="H953">
        <v>112</v>
      </c>
      <c r="I953">
        <v>124</v>
      </c>
      <c r="J953">
        <v>3</v>
      </c>
      <c r="K953">
        <v>6.3</v>
      </c>
      <c r="L953">
        <v>41824.720000000001</v>
      </c>
      <c r="M953">
        <v>3.66</v>
      </c>
      <c r="N953">
        <v>95.16</v>
      </c>
      <c r="O953">
        <v>106</v>
      </c>
      <c r="P953" s="5">
        <v>46048</v>
      </c>
      <c r="Q953" s="5">
        <v>46048</v>
      </c>
      <c r="R953" t="s">
        <v>39</v>
      </c>
      <c r="S953" t="s">
        <v>51</v>
      </c>
    </row>
    <row r="954" spans="1:19" x14ac:dyDescent="0.25">
      <c r="A954" t="s">
        <v>1048</v>
      </c>
      <c r="B954" s="5">
        <v>46084</v>
      </c>
      <c r="C954" t="s">
        <v>80</v>
      </c>
      <c r="D954" t="s">
        <v>21</v>
      </c>
      <c r="E954" t="s">
        <v>66</v>
      </c>
      <c r="F954" t="s">
        <v>64</v>
      </c>
      <c r="G954" t="s">
        <v>32</v>
      </c>
      <c r="H954">
        <v>299</v>
      </c>
      <c r="I954">
        <v>293</v>
      </c>
      <c r="J954">
        <v>24</v>
      </c>
      <c r="K954">
        <v>2.2000000000000002</v>
      </c>
      <c r="L954">
        <v>76184.59</v>
      </c>
      <c r="M954">
        <v>9.0500000000000007</v>
      </c>
      <c r="N954">
        <v>199.1</v>
      </c>
      <c r="O954">
        <v>325</v>
      </c>
      <c r="P954" s="5">
        <v>46091</v>
      </c>
      <c r="Q954" s="5">
        <v>46091</v>
      </c>
      <c r="R954" t="s">
        <v>25</v>
      </c>
      <c r="S954" t="s">
        <v>72</v>
      </c>
    </row>
    <row r="955" spans="1:19" x14ac:dyDescent="0.25">
      <c r="A955" t="s">
        <v>1049</v>
      </c>
      <c r="B955" s="5">
        <v>46075</v>
      </c>
      <c r="C955" t="s">
        <v>43</v>
      </c>
      <c r="D955" t="s">
        <v>44</v>
      </c>
      <c r="E955" t="s">
        <v>93</v>
      </c>
      <c r="F955" t="s">
        <v>135</v>
      </c>
      <c r="G955" t="s">
        <v>57</v>
      </c>
      <c r="H955">
        <v>258</v>
      </c>
      <c r="I955">
        <v>256</v>
      </c>
      <c r="J955">
        <v>13</v>
      </c>
      <c r="K955">
        <v>5.6</v>
      </c>
      <c r="L955">
        <v>26938</v>
      </c>
      <c r="M955">
        <v>7.97</v>
      </c>
      <c r="N955">
        <v>175.34</v>
      </c>
      <c r="O955">
        <v>335</v>
      </c>
      <c r="P955" s="5">
        <v>46079</v>
      </c>
      <c r="Q955" s="5">
        <v>46079</v>
      </c>
      <c r="R955" t="s">
        <v>25</v>
      </c>
      <c r="S955" t="s">
        <v>33</v>
      </c>
    </row>
    <row r="956" spans="1:19" x14ac:dyDescent="0.25">
      <c r="A956" t="s">
        <v>1050</v>
      </c>
      <c r="B956" s="5">
        <v>46029</v>
      </c>
      <c r="C956" t="s">
        <v>80</v>
      </c>
      <c r="D956" t="s">
        <v>21</v>
      </c>
      <c r="E956" t="s">
        <v>66</v>
      </c>
      <c r="F956" t="s">
        <v>83</v>
      </c>
      <c r="G956" t="s">
        <v>24</v>
      </c>
      <c r="H956">
        <v>87</v>
      </c>
      <c r="I956">
        <v>65</v>
      </c>
      <c r="J956">
        <v>1</v>
      </c>
      <c r="K956">
        <v>6.7</v>
      </c>
      <c r="L956">
        <v>16150.53</v>
      </c>
      <c r="M956">
        <v>2.2400000000000002</v>
      </c>
      <c r="N956">
        <v>53.76</v>
      </c>
      <c r="O956">
        <v>75</v>
      </c>
      <c r="P956" s="5">
        <v>46038</v>
      </c>
      <c r="Q956" s="5">
        <v>46039</v>
      </c>
      <c r="R956" t="s">
        <v>25</v>
      </c>
      <c r="S956" t="s">
        <v>26</v>
      </c>
    </row>
    <row r="957" spans="1:19" x14ac:dyDescent="0.25">
      <c r="A957" t="s">
        <v>1051</v>
      </c>
      <c r="B957" s="5">
        <v>46029</v>
      </c>
      <c r="C957" t="s">
        <v>43</v>
      </c>
      <c r="D957" t="s">
        <v>44</v>
      </c>
      <c r="E957" t="s">
        <v>161</v>
      </c>
      <c r="F957" t="s">
        <v>119</v>
      </c>
      <c r="G957" t="s">
        <v>24</v>
      </c>
      <c r="H957">
        <v>160</v>
      </c>
      <c r="I957">
        <v>141</v>
      </c>
      <c r="J957">
        <v>2</v>
      </c>
      <c r="K957">
        <v>8.1999999999999993</v>
      </c>
      <c r="L957">
        <v>18610.759999999998</v>
      </c>
      <c r="M957">
        <v>3.42</v>
      </c>
      <c r="N957">
        <v>61.56</v>
      </c>
      <c r="O957">
        <v>259</v>
      </c>
      <c r="P957" s="5">
        <v>46033</v>
      </c>
      <c r="Q957" s="5">
        <v>46037</v>
      </c>
      <c r="R957" t="s">
        <v>25</v>
      </c>
      <c r="S957" t="s">
        <v>33</v>
      </c>
    </row>
    <row r="958" spans="1:19" x14ac:dyDescent="0.25">
      <c r="A958" t="s">
        <v>1052</v>
      </c>
      <c r="B958" s="5">
        <v>46061</v>
      </c>
      <c r="C958" t="s">
        <v>43</v>
      </c>
      <c r="D958" t="s">
        <v>44</v>
      </c>
      <c r="E958" t="s">
        <v>161</v>
      </c>
      <c r="F958" t="s">
        <v>46</v>
      </c>
      <c r="G958" t="s">
        <v>32</v>
      </c>
      <c r="H958">
        <v>208</v>
      </c>
      <c r="I958">
        <v>205</v>
      </c>
      <c r="J958">
        <v>1</v>
      </c>
      <c r="K958">
        <v>3.4</v>
      </c>
      <c r="L958">
        <v>19746.259999999998</v>
      </c>
      <c r="M958">
        <v>3.82</v>
      </c>
      <c r="N958">
        <v>99.32</v>
      </c>
      <c r="O958">
        <v>180</v>
      </c>
      <c r="P958" s="5">
        <v>46063</v>
      </c>
      <c r="Q958" s="5">
        <v>46063</v>
      </c>
      <c r="R958" t="s">
        <v>25</v>
      </c>
      <c r="S958" t="s">
        <v>86</v>
      </c>
    </row>
    <row r="959" spans="1:19" x14ac:dyDescent="0.25">
      <c r="A959" t="s">
        <v>1053</v>
      </c>
      <c r="B959" s="5">
        <v>46045</v>
      </c>
      <c r="C959" t="s">
        <v>48</v>
      </c>
      <c r="D959" t="s">
        <v>49</v>
      </c>
      <c r="E959" t="s">
        <v>60</v>
      </c>
      <c r="F959" t="s">
        <v>91</v>
      </c>
      <c r="G959" t="s">
        <v>32</v>
      </c>
      <c r="H959">
        <v>212</v>
      </c>
      <c r="I959">
        <v>177</v>
      </c>
      <c r="J959">
        <v>3</v>
      </c>
      <c r="K959">
        <v>3.4</v>
      </c>
      <c r="L959">
        <v>29885.69</v>
      </c>
      <c r="M959">
        <v>6.57</v>
      </c>
      <c r="N959">
        <v>170.82</v>
      </c>
      <c r="O959">
        <v>230</v>
      </c>
      <c r="P959" s="5">
        <v>46052</v>
      </c>
      <c r="Q959" s="5">
        <v>46053</v>
      </c>
      <c r="R959" t="s">
        <v>25</v>
      </c>
      <c r="S959" t="s">
        <v>51</v>
      </c>
    </row>
    <row r="960" spans="1:19" x14ac:dyDescent="0.25">
      <c r="A960" t="s">
        <v>1054</v>
      </c>
      <c r="B960" s="5">
        <v>46170</v>
      </c>
      <c r="C960" t="s">
        <v>35</v>
      </c>
      <c r="D960" t="s">
        <v>36</v>
      </c>
      <c r="E960" t="s">
        <v>37</v>
      </c>
      <c r="F960" t="s">
        <v>197</v>
      </c>
      <c r="G960" t="s">
        <v>24</v>
      </c>
      <c r="H960">
        <v>221</v>
      </c>
      <c r="I960">
        <v>226</v>
      </c>
      <c r="J960">
        <v>13</v>
      </c>
      <c r="K960">
        <v>0.5</v>
      </c>
      <c r="L960">
        <v>18173.14</v>
      </c>
      <c r="M960">
        <v>8.7100000000000009</v>
      </c>
      <c r="N960">
        <v>226.46</v>
      </c>
      <c r="O960">
        <v>298</v>
      </c>
      <c r="P960" s="5">
        <v>46181</v>
      </c>
      <c r="Q960" s="5">
        <v>46182</v>
      </c>
      <c r="R960" t="s">
        <v>25</v>
      </c>
      <c r="S960" t="s">
        <v>26</v>
      </c>
    </row>
    <row r="961" spans="1:19" x14ac:dyDescent="0.25">
      <c r="A961" t="s">
        <v>1055</v>
      </c>
      <c r="B961" s="5">
        <v>46070</v>
      </c>
      <c r="C961" t="s">
        <v>43</v>
      </c>
      <c r="D961" t="s">
        <v>44</v>
      </c>
      <c r="E961" t="s">
        <v>93</v>
      </c>
      <c r="F961" t="s">
        <v>56</v>
      </c>
      <c r="G961" t="s">
        <v>24</v>
      </c>
      <c r="H961">
        <v>95</v>
      </c>
      <c r="I961">
        <v>79</v>
      </c>
      <c r="J961">
        <v>0</v>
      </c>
      <c r="K961">
        <v>1.1000000000000001</v>
      </c>
      <c r="L961">
        <v>9718.24</v>
      </c>
      <c r="M961">
        <v>1.66</v>
      </c>
      <c r="N961">
        <v>43.16</v>
      </c>
      <c r="O961">
        <v>190</v>
      </c>
      <c r="P961" s="5">
        <v>46072</v>
      </c>
      <c r="Q961" s="5">
        <v>46072</v>
      </c>
      <c r="R961" t="s">
        <v>25</v>
      </c>
      <c r="S961" t="s">
        <v>51</v>
      </c>
    </row>
    <row r="962" spans="1:19" x14ac:dyDescent="0.25">
      <c r="A962" t="s">
        <v>1056</v>
      </c>
      <c r="B962" s="5">
        <v>46163</v>
      </c>
      <c r="C962" t="s">
        <v>53</v>
      </c>
      <c r="D962" t="s">
        <v>54</v>
      </c>
      <c r="E962" t="s">
        <v>131</v>
      </c>
      <c r="F962" t="s">
        <v>106</v>
      </c>
      <c r="G962" t="s">
        <v>32</v>
      </c>
      <c r="H962">
        <v>305</v>
      </c>
      <c r="I962">
        <v>341</v>
      </c>
      <c r="J962">
        <v>17</v>
      </c>
      <c r="K962">
        <v>3.4</v>
      </c>
      <c r="L962">
        <v>53752.67</v>
      </c>
      <c r="M962">
        <v>6.66</v>
      </c>
      <c r="N962">
        <v>146.52000000000001</v>
      </c>
      <c r="O962">
        <v>327</v>
      </c>
      <c r="P962" s="5">
        <v>46167</v>
      </c>
      <c r="Q962" s="5">
        <v>46166</v>
      </c>
      <c r="R962" t="s">
        <v>25</v>
      </c>
      <c r="S962" t="s">
        <v>26</v>
      </c>
    </row>
    <row r="963" spans="1:19" x14ac:dyDescent="0.25">
      <c r="A963" t="s">
        <v>1057</v>
      </c>
      <c r="B963" s="5">
        <v>46196</v>
      </c>
      <c r="C963" t="s">
        <v>59</v>
      </c>
      <c r="D963" t="s">
        <v>49</v>
      </c>
      <c r="E963" t="s">
        <v>60</v>
      </c>
      <c r="F963" t="s">
        <v>71</v>
      </c>
      <c r="G963" t="s">
        <v>32</v>
      </c>
      <c r="H963">
        <v>123</v>
      </c>
      <c r="I963">
        <v>116</v>
      </c>
      <c r="J963">
        <v>7</v>
      </c>
      <c r="K963">
        <v>6</v>
      </c>
      <c r="L963">
        <v>17831.080000000002</v>
      </c>
      <c r="M963">
        <v>2.15</v>
      </c>
      <c r="N963">
        <v>51.6</v>
      </c>
      <c r="O963">
        <v>116</v>
      </c>
      <c r="P963" s="5">
        <v>46203</v>
      </c>
      <c r="Q963" s="5">
        <v>46205</v>
      </c>
      <c r="R963" t="s">
        <v>25</v>
      </c>
      <c r="S963" t="s">
        <v>86</v>
      </c>
    </row>
    <row r="964" spans="1:19" x14ac:dyDescent="0.25">
      <c r="A964" t="s">
        <v>1058</v>
      </c>
      <c r="B964" s="5">
        <v>46044</v>
      </c>
      <c r="C964" t="s">
        <v>53</v>
      </c>
      <c r="D964" t="s">
        <v>54</v>
      </c>
      <c r="E964" t="s">
        <v>55</v>
      </c>
      <c r="F964" t="s">
        <v>112</v>
      </c>
      <c r="G964" t="s">
        <v>24</v>
      </c>
      <c r="H964">
        <v>290</v>
      </c>
      <c r="I964">
        <v>257</v>
      </c>
      <c r="J964">
        <v>23</v>
      </c>
      <c r="K964">
        <v>5.7</v>
      </c>
      <c r="L964">
        <v>36024.120000000003</v>
      </c>
      <c r="M964">
        <v>6.93</v>
      </c>
      <c r="N964">
        <v>152.46</v>
      </c>
      <c r="O964">
        <v>260</v>
      </c>
      <c r="P964" s="5">
        <v>46048</v>
      </c>
      <c r="Q964" s="5">
        <v>46050</v>
      </c>
      <c r="R964" t="s">
        <v>25</v>
      </c>
      <c r="S964" t="s">
        <v>86</v>
      </c>
    </row>
    <row r="965" spans="1:19" x14ac:dyDescent="0.25">
      <c r="A965" t="s">
        <v>1059</v>
      </c>
      <c r="B965" s="5">
        <v>46110</v>
      </c>
      <c r="C965" t="s">
        <v>43</v>
      </c>
      <c r="D965" t="s">
        <v>44</v>
      </c>
      <c r="E965" t="s">
        <v>161</v>
      </c>
      <c r="F965" t="s">
        <v>112</v>
      </c>
      <c r="G965" t="s">
        <v>57</v>
      </c>
      <c r="H965">
        <v>129</v>
      </c>
      <c r="I965">
        <v>146</v>
      </c>
      <c r="J965">
        <v>12</v>
      </c>
      <c r="K965">
        <v>0.2</v>
      </c>
      <c r="L965">
        <v>14107.25</v>
      </c>
      <c r="M965">
        <v>4.07</v>
      </c>
      <c r="N965">
        <v>89.54</v>
      </c>
      <c r="O965">
        <v>163</v>
      </c>
      <c r="P965" s="5">
        <v>46120</v>
      </c>
      <c r="Q965" s="5">
        <v>46118</v>
      </c>
      <c r="R965" t="s">
        <v>25</v>
      </c>
      <c r="S965" t="s">
        <v>86</v>
      </c>
    </row>
    <row r="966" spans="1:19" x14ac:dyDescent="0.25">
      <c r="A966" t="s">
        <v>1060</v>
      </c>
      <c r="B966" s="5">
        <v>46084</v>
      </c>
      <c r="C966" t="s">
        <v>43</v>
      </c>
      <c r="D966" t="s">
        <v>44</v>
      </c>
      <c r="E966" t="s">
        <v>161</v>
      </c>
      <c r="F966" t="s">
        <v>67</v>
      </c>
      <c r="G966" t="s">
        <v>57</v>
      </c>
      <c r="H966">
        <v>164</v>
      </c>
      <c r="I966">
        <v>169</v>
      </c>
      <c r="J966">
        <v>2</v>
      </c>
      <c r="K966">
        <v>5.5</v>
      </c>
      <c r="L966">
        <v>22251.27</v>
      </c>
      <c r="M966">
        <v>4.42</v>
      </c>
      <c r="N966">
        <v>97.24</v>
      </c>
      <c r="O966">
        <v>138</v>
      </c>
      <c r="P966" s="5">
        <v>46090</v>
      </c>
      <c r="Q966" s="5">
        <v>46090</v>
      </c>
      <c r="R966" t="s">
        <v>25</v>
      </c>
      <c r="S966" t="s">
        <v>51</v>
      </c>
    </row>
    <row r="967" spans="1:19" x14ac:dyDescent="0.25">
      <c r="A967" t="s">
        <v>1061</v>
      </c>
      <c r="B967" s="5">
        <v>46113</v>
      </c>
      <c r="C967" t="s">
        <v>28</v>
      </c>
      <c r="D967" t="s">
        <v>29</v>
      </c>
      <c r="E967" t="s">
        <v>30</v>
      </c>
      <c r="F967" t="s">
        <v>74</v>
      </c>
      <c r="G967" t="s">
        <v>24</v>
      </c>
      <c r="H967">
        <v>145</v>
      </c>
      <c r="I967">
        <v>141</v>
      </c>
      <c r="J967">
        <v>11</v>
      </c>
      <c r="K967">
        <v>1.1000000000000001</v>
      </c>
      <c r="L967">
        <v>37747.769999999997</v>
      </c>
      <c r="M967">
        <v>5.27</v>
      </c>
      <c r="N967">
        <v>94.86</v>
      </c>
      <c r="O967">
        <v>129</v>
      </c>
      <c r="P967" s="5">
        <v>46124</v>
      </c>
      <c r="Q967" s="5">
        <v>46128</v>
      </c>
      <c r="R967" t="s">
        <v>39</v>
      </c>
      <c r="S967" t="s">
        <v>33</v>
      </c>
    </row>
    <row r="968" spans="1:19" x14ac:dyDescent="0.25">
      <c r="A968" t="s">
        <v>1062</v>
      </c>
      <c r="B968" s="5">
        <v>46162</v>
      </c>
      <c r="C968" t="s">
        <v>80</v>
      </c>
      <c r="D968" t="s">
        <v>21</v>
      </c>
      <c r="E968" t="s">
        <v>66</v>
      </c>
      <c r="F968" t="s">
        <v>88</v>
      </c>
      <c r="G968" t="s">
        <v>24</v>
      </c>
      <c r="H968">
        <v>130</v>
      </c>
      <c r="I968">
        <v>107</v>
      </c>
      <c r="J968">
        <v>1</v>
      </c>
      <c r="K968">
        <v>6.1</v>
      </c>
      <c r="L968">
        <v>25677.37</v>
      </c>
      <c r="M968">
        <v>3.58</v>
      </c>
      <c r="N968">
        <v>71.599999999999994</v>
      </c>
      <c r="O968">
        <v>100</v>
      </c>
      <c r="P968" s="5">
        <v>46170</v>
      </c>
      <c r="Q968" s="5">
        <v>46168</v>
      </c>
      <c r="R968" t="s">
        <v>25</v>
      </c>
      <c r="S968" t="s">
        <v>26</v>
      </c>
    </row>
    <row r="969" spans="1:19" x14ac:dyDescent="0.25">
      <c r="A969" t="s">
        <v>1063</v>
      </c>
      <c r="B969" s="5">
        <v>46150</v>
      </c>
      <c r="C969" t="s">
        <v>48</v>
      </c>
      <c r="D969" t="s">
        <v>49</v>
      </c>
      <c r="E969" t="s">
        <v>76</v>
      </c>
      <c r="F969" t="s">
        <v>114</v>
      </c>
      <c r="G969" t="s">
        <v>57</v>
      </c>
      <c r="H969">
        <v>104</v>
      </c>
      <c r="I969">
        <v>95</v>
      </c>
      <c r="J969">
        <v>4</v>
      </c>
      <c r="K969">
        <v>3.7</v>
      </c>
      <c r="L969">
        <v>21248.73</v>
      </c>
      <c r="M969">
        <v>3.74</v>
      </c>
      <c r="N969">
        <v>67.319999999999993</v>
      </c>
      <c r="O969">
        <v>111</v>
      </c>
      <c r="P969" s="5">
        <v>46155</v>
      </c>
      <c r="Q969" s="5">
        <v>46153</v>
      </c>
      <c r="R969" t="s">
        <v>25</v>
      </c>
      <c r="S969" t="s">
        <v>86</v>
      </c>
    </row>
    <row r="970" spans="1:19" x14ac:dyDescent="0.25">
      <c r="A970" t="s">
        <v>1064</v>
      </c>
      <c r="B970" s="5">
        <v>46129</v>
      </c>
      <c r="C970" t="s">
        <v>20</v>
      </c>
      <c r="D970" t="s">
        <v>21</v>
      </c>
      <c r="E970" t="s">
        <v>66</v>
      </c>
      <c r="F970" t="s">
        <v>67</v>
      </c>
      <c r="G970" t="s">
        <v>57</v>
      </c>
      <c r="H970">
        <v>112</v>
      </c>
      <c r="I970">
        <v>120</v>
      </c>
      <c r="J970">
        <v>6</v>
      </c>
      <c r="K970">
        <v>0.1</v>
      </c>
      <c r="L970">
        <v>39651.89</v>
      </c>
      <c r="M970">
        <v>3.99</v>
      </c>
      <c r="N970">
        <v>95.76</v>
      </c>
      <c r="O970">
        <v>139</v>
      </c>
      <c r="P970" s="5">
        <v>46135</v>
      </c>
      <c r="Q970" s="5">
        <v>46134</v>
      </c>
      <c r="R970" t="s">
        <v>100</v>
      </c>
      <c r="S970" t="s">
        <v>26</v>
      </c>
    </row>
    <row r="971" spans="1:19" x14ac:dyDescent="0.25">
      <c r="A971" t="s">
        <v>1065</v>
      </c>
      <c r="B971" s="5">
        <v>46197</v>
      </c>
      <c r="C971" t="s">
        <v>28</v>
      </c>
      <c r="D971" t="s">
        <v>29</v>
      </c>
      <c r="E971" t="s">
        <v>95</v>
      </c>
      <c r="F971" t="s">
        <v>23</v>
      </c>
      <c r="G971" t="s">
        <v>32</v>
      </c>
      <c r="H971">
        <v>174</v>
      </c>
      <c r="I971">
        <v>170</v>
      </c>
      <c r="J971">
        <v>6</v>
      </c>
      <c r="K971">
        <v>8</v>
      </c>
      <c r="L971">
        <v>33847.86</v>
      </c>
      <c r="M971">
        <v>6.36</v>
      </c>
      <c r="N971">
        <v>165.36</v>
      </c>
      <c r="O971">
        <v>207</v>
      </c>
      <c r="P971" s="5">
        <v>46200</v>
      </c>
      <c r="Q971" s="5">
        <v>46200</v>
      </c>
      <c r="R971" t="s">
        <v>25</v>
      </c>
      <c r="S971" t="s">
        <v>26</v>
      </c>
    </row>
    <row r="972" spans="1:19" x14ac:dyDescent="0.25">
      <c r="A972" t="s">
        <v>1066</v>
      </c>
      <c r="B972" s="5">
        <v>46145</v>
      </c>
      <c r="C972" t="s">
        <v>48</v>
      </c>
      <c r="D972" t="s">
        <v>49</v>
      </c>
      <c r="E972" t="s">
        <v>50</v>
      </c>
      <c r="F972" t="s">
        <v>74</v>
      </c>
      <c r="G972" t="s">
        <v>32</v>
      </c>
      <c r="H972">
        <v>230</v>
      </c>
      <c r="I972">
        <v>179</v>
      </c>
      <c r="J972">
        <v>16</v>
      </c>
      <c r="K972">
        <v>1.8</v>
      </c>
      <c r="L972">
        <v>36210.67</v>
      </c>
      <c r="M972">
        <v>4.1500000000000004</v>
      </c>
      <c r="N972">
        <v>107.9</v>
      </c>
      <c r="O972">
        <v>319</v>
      </c>
      <c r="P972" s="5">
        <v>46149</v>
      </c>
      <c r="Q972" s="5">
        <v>46148</v>
      </c>
      <c r="R972" t="s">
        <v>25</v>
      </c>
      <c r="S972" t="s">
        <v>86</v>
      </c>
    </row>
    <row r="973" spans="1:19" x14ac:dyDescent="0.25">
      <c r="A973" t="s">
        <v>1067</v>
      </c>
      <c r="B973" s="5">
        <v>46109</v>
      </c>
      <c r="C973" t="s">
        <v>35</v>
      </c>
      <c r="D973" t="s">
        <v>36</v>
      </c>
      <c r="E973" t="s">
        <v>37</v>
      </c>
      <c r="F973" t="s">
        <v>23</v>
      </c>
      <c r="G973" t="s">
        <v>32</v>
      </c>
      <c r="H973">
        <v>103</v>
      </c>
      <c r="I973">
        <v>85</v>
      </c>
      <c r="J973">
        <v>0</v>
      </c>
      <c r="K973">
        <v>6.7</v>
      </c>
      <c r="L973">
        <v>7636.93</v>
      </c>
      <c r="M973">
        <v>2.62</v>
      </c>
      <c r="N973">
        <v>47.16</v>
      </c>
      <c r="O973">
        <v>156</v>
      </c>
      <c r="P973" s="5">
        <v>46121</v>
      </c>
      <c r="Q973" s="5">
        <v>46119</v>
      </c>
      <c r="R973" t="s">
        <v>25</v>
      </c>
      <c r="S973" t="s">
        <v>72</v>
      </c>
    </row>
    <row r="974" spans="1:19" x14ac:dyDescent="0.25">
      <c r="A974" t="s">
        <v>1068</v>
      </c>
      <c r="B974" s="5">
        <v>46132</v>
      </c>
      <c r="C974" t="s">
        <v>35</v>
      </c>
      <c r="D974" t="s">
        <v>36</v>
      </c>
      <c r="E974" t="s">
        <v>37</v>
      </c>
      <c r="F974" t="s">
        <v>46</v>
      </c>
      <c r="G974" t="s">
        <v>32</v>
      </c>
      <c r="H974">
        <v>212</v>
      </c>
      <c r="I974">
        <v>215</v>
      </c>
      <c r="J974">
        <v>3</v>
      </c>
      <c r="K974">
        <v>1.2</v>
      </c>
      <c r="L974">
        <v>18981.330000000002</v>
      </c>
      <c r="M974">
        <v>4.09</v>
      </c>
      <c r="N974">
        <v>81.8</v>
      </c>
      <c r="O974">
        <v>186</v>
      </c>
      <c r="P974" s="5">
        <v>46142</v>
      </c>
      <c r="Q974" s="5">
        <v>46142</v>
      </c>
      <c r="R974" t="s">
        <v>25</v>
      </c>
      <c r="S974" t="s">
        <v>26</v>
      </c>
    </row>
    <row r="975" spans="1:19" x14ac:dyDescent="0.25">
      <c r="A975" t="s">
        <v>1069</v>
      </c>
      <c r="B975" s="5">
        <v>46045</v>
      </c>
      <c r="C975" t="s">
        <v>80</v>
      </c>
      <c r="D975" t="s">
        <v>21</v>
      </c>
      <c r="E975" t="s">
        <v>90</v>
      </c>
      <c r="F975" t="s">
        <v>85</v>
      </c>
      <c r="G975" t="s">
        <v>24</v>
      </c>
      <c r="H975">
        <v>119</v>
      </c>
      <c r="I975">
        <v>120</v>
      </c>
      <c r="J975">
        <v>1</v>
      </c>
      <c r="K975">
        <v>8.5</v>
      </c>
      <c r="L975">
        <v>32174.1</v>
      </c>
      <c r="M975">
        <v>4.37</v>
      </c>
      <c r="N975">
        <v>96.14</v>
      </c>
      <c r="O975">
        <v>166</v>
      </c>
      <c r="P975" s="5">
        <v>46052</v>
      </c>
      <c r="Q975" s="5">
        <v>46050</v>
      </c>
      <c r="R975" t="s">
        <v>100</v>
      </c>
      <c r="S975" t="s">
        <v>51</v>
      </c>
    </row>
    <row r="976" spans="1:19" x14ac:dyDescent="0.25">
      <c r="A976" t="s">
        <v>1070</v>
      </c>
      <c r="B976" s="5">
        <v>46134</v>
      </c>
      <c r="C976" t="s">
        <v>20</v>
      </c>
      <c r="D976" t="s">
        <v>21</v>
      </c>
      <c r="E976" t="s">
        <v>90</v>
      </c>
      <c r="F976" t="s">
        <v>125</v>
      </c>
      <c r="G976" t="s">
        <v>24</v>
      </c>
      <c r="H976">
        <v>240</v>
      </c>
      <c r="I976">
        <v>260</v>
      </c>
      <c r="J976">
        <v>11</v>
      </c>
      <c r="K976">
        <v>5.0999999999999996</v>
      </c>
      <c r="L976">
        <v>99526.57</v>
      </c>
      <c r="M976">
        <v>10.82</v>
      </c>
      <c r="N976">
        <v>238.04</v>
      </c>
      <c r="O976">
        <v>274</v>
      </c>
      <c r="P976" s="5">
        <v>46136</v>
      </c>
      <c r="Q976" s="5">
        <v>46135</v>
      </c>
      <c r="R976" t="s">
        <v>25</v>
      </c>
      <c r="S976" t="s">
        <v>33</v>
      </c>
    </row>
    <row r="977" spans="1:19" x14ac:dyDescent="0.25">
      <c r="A977" t="s">
        <v>1071</v>
      </c>
      <c r="B977" s="5">
        <v>46158</v>
      </c>
      <c r="C977" t="s">
        <v>53</v>
      </c>
      <c r="D977" t="s">
        <v>54</v>
      </c>
      <c r="E977" t="s">
        <v>55</v>
      </c>
      <c r="F977" t="s">
        <v>112</v>
      </c>
      <c r="G977" t="s">
        <v>57</v>
      </c>
      <c r="H977">
        <v>167</v>
      </c>
      <c r="I977">
        <v>141</v>
      </c>
      <c r="J977">
        <v>6</v>
      </c>
      <c r="K977">
        <v>6</v>
      </c>
      <c r="L977">
        <v>22671.98</v>
      </c>
      <c r="M977">
        <v>3</v>
      </c>
      <c r="N977">
        <v>54</v>
      </c>
      <c r="O977">
        <v>181</v>
      </c>
      <c r="P977" s="5">
        <v>46163</v>
      </c>
      <c r="Q977" s="5">
        <v>46164</v>
      </c>
      <c r="R977" t="s">
        <v>39</v>
      </c>
      <c r="S977" t="s">
        <v>33</v>
      </c>
    </row>
    <row r="978" spans="1:19" x14ac:dyDescent="0.25">
      <c r="A978" t="s">
        <v>1072</v>
      </c>
      <c r="B978" s="5">
        <v>46049</v>
      </c>
      <c r="C978" t="s">
        <v>48</v>
      </c>
      <c r="D978" t="s">
        <v>49</v>
      </c>
      <c r="E978" t="s">
        <v>76</v>
      </c>
      <c r="F978" t="s">
        <v>106</v>
      </c>
      <c r="G978" t="s">
        <v>32</v>
      </c>
      <c r="H978">
        <v>256</v>
      </c>
      <c r="I978">
        <v>260</v>
      </c>
      <c r="J978">
        <v>15</v>
      </c>
      <c r="K978">
        <v>0.4</v>
      </c>
      <c r="L978">
        <v>50394.63</v>
      </c>
      <c r="M978">
        <v>9.1</v>
      </c>
      <c r="N978">
        <v>200.2</v>
      </c>
      <c r="O978">
        <v>289</v>
      </c>
      <c r="P978" s="5">
        <v>46060</v>
      </c>
      <c r="Q978" s="5">
        <v>46060</v>
      </c>
      <c r="R978" t="s">
        <v>25</v>
      </c>
      <c r="S978" t="s">
        <v>86</v>
      </c>
    </row>
    <row r="979" spans="1:19" x14ac:dyDescent="0.25">
      <c r="A979" t="s">
        <v>1073</v>
      </c>
      <c r="B979" s="5">
        <v>46172</v>
      </c>
      <c r="C979" t="s">
        <v>43</v>
      </c>
      <c r="D979" t="s">
        <v>44</v>
      </c>
      <c r="E979" t="s">
        <v>161</v>
      </c>
      <c r="F979" t="s">
        <v>137</v>
      </c>
      <c r="G979" t="s">
        <v>32</v>
      </c>
      <c r="H979">
        <v>273</v>
      </c>
      <c r="I979">
        <v>266</v>
      </c>
      <c r="J979">
        <v>15</v>
      </c>
      <c r="K979">
        <v>8.5</v>
      </c>
      <c r="L979">
        <v>31368.38</v>
      </c>
      <c r="M979">
        <v>9.9499999999999993</v>
      </c>
      <c r="N979">
        <v>218.9</v>
      </c>
      <c r="O979">
        <v>349</v>
      </c>
      <c r="P979" s="5">
        <v>46175</v>
      </c>
      <c r="Q979" s="5">
        <v>46175</v>
      </c>
      <c r="R979" t="s">
        <v>25</v>
      </c>
      <c r="S979" t="s">
        <v>26</v>
      </c>
    </row>
    <row r="980" spans="1:19" x14ac:dyDescent="0.25">
      <c r="A980" t="s">
        <v>1074</v>
      </c>
      <c r="B980" s="5">
        <v>46121</v>
      </c>
      <c r="C980" t="s">
        <v>28</v>
      </c>
      <c r="D980" t="s">
        <v>29</v>
      </c>
      <c r="E980" t="s">
        <v>63</v>
      </c>
      <c r="F980" t="s">
        <v>61</v>
      </c>
      <c r="G980" t="s">
        <v>57</v>
      </c>
      <c r="H980">
        <v>164</v>
      </c>
      <c r="I980">
        <v>157</v>
      </c>
      <c r="J980">
        <v>4</v>
      </c>
      <c r="K980">
        <v>7</v>
      </c>
      <c r="L980">
        <v>41655.49</v>
      </c>
      <c r="M980">
        <v>5.81</v>
      </c>
      <c r="N980">
        <v>116.2</v>
      </c>
      <c r="O980">
        <v>168</v>
      </c>
      <c r="P980" s="5">
        <v>46126</v>
      </c>
      <c r="Q980" s="5">
        <v>46125</v>
      </c>
      <c r="R980" t="s">
        <v>25</v>
      </c>
      <c r="S980" t="s">
        <v>86</v>
      </c>
    </row>
    <row r="981" spans="1:19" x14ac:dyDescent="0.25">
      <c r="A981" t="s">
        <v>1075</v>
      </c>
      <c r="B981" s="5">
        <v>46059</v>
      </c>
      <c r="C981" t="s">
        <v>35</v>
      </c>
      <c r="D981" t="s">
        <v>36</v>
      </c>
      <c r="E981" t="s">
        <v>69</v>
      </c>
      <c r="F981" t="s">
        <v>110</v>
      </c>
      <c r="G981" t="s">
        <v>32</v>
      </c>
      <c r="H981">
        <v>224</v>
      </c>
      <c r="I981">
        <v>215</v>
      </c>
      <c r="J981">
        <v>19</v>
      </c>
      <c r="K981">
        <v>3.7</v>
      </c>
      <c r="L981">
        <v>24002.83</v>
      </c>
      <c r="M981">
        <v>6.31</v>
      </c>
      <c r="N981">
        <v>151.44</v>
      </c>
      <c r="O981">
        <v>214</v>
      </c>
      <c r="P981" s="5">
        <v>46068</v>
      </c>
      <c r="Q981" s="5">
        <v>46070</v>
      </c>
      <c r="R981" t="s">
        <v>25</v>
      </c>
      <c r="S981" t="s">
        <v>51</v>
      </c>
    </row>
    <row r="982" spans="1:19" x14ac:dyDescent="0.25">
      <c r="A982" t="s">
        <v>1076</v>
      </c>
      <c r="B982" s="5">
        <v>46078</v>
      </c>
      <c r="C982" t="s">
        <v>59</v>
      </c>
      <c r="D982" t="s">
        <v>49</v>
      </c>
      <c r="E982" t="s">
        <v>60</v>
      </c>
      <c r="F982" t="s">
        <v>61</v>
      </c>
      <c r="G982" t="s">
        <v>57</v>
      </c>
      <c r="H982">
        <v>265</v>
      </c>
      <c r="I982">
        <v>216</v>
      </c>
      <c r="J982">
        <v>12</v>
      </c>
      <c r="K982">
        <v>2.9</v>
      </c>
      <c r="L982">
        <v>44285.72</v>
      </c>
      <c r="M982">
        <v>7.26</v>
      </c>
      <c r="N982">
        <v>188.76</v>
      </c>
      <c r="O982">
        <v>260</v>
      </c>
      <c r="P982" s="5">
        <v>46090</v>
      </c>
      <c r="Q982" s="5">
        <v>46088</v>
      </c>
      <c r="R982" t="s">
        <v>25</v>
      </c>
      <c r="S982" t="s">
        <v>86</v>
      </c>
    </row>
    <row r="983" spans="1:19" x14ac:dyDescent="0.25">
      <c r="A983" t="s">
        <v>1077</v>
      </c>
      <c r="B983" s="5">
        <v>46127</v>
      </c>
      <c r="C983" t="s">
        <v>20</v>
      </c>
      <c r="D983" t="s">
        <v>21</v>
      </c>
      <c r="E983" t="s">
        <v>22</v>
      </c>
      <c r="F983" t="s">
        <v>41</v>
      </c>
      <c r="G983" t="s">
        <v>32</v>
      </c>
      <c r="H983">
        <v>310</v>
      </c>
      <c r="I983">
        <v>315</v>
      </c>
      <c r="J983">
        <v>18</v>
      </c>
      <c r="K983">
        <v>3.1</v>
      </c>
      <c r="L983">
        <v>113521.09</v>
      </c>
      <c r="M983">
        <v>6.78</v>
      </c>
      <c r="N983">
        <v>176.28</v>
      </c>
      <c r="O983">
        <v>361</v>
      </c>
      <c r="P983" s="5">
        <v>46137</v>
      </c>
      <c r="Q983" s="5">
        <v>46137</v>
      </c>
      <c r="R983" t="s">
        <v>100</v>
      </c>
      <c r="S983" t="s">
        <v>33</v>
      </c>
    </row>
    <row r="984" spans="1:19" x14ac:dyDescent="0.25">
      <c r="A984" t="s">
        <v>1078</v>
      </c>
      <c r="B984" s="5">
        <v>46163</v>
      </c>
      <c r="C984" t="s">
        <v>35</v>
      </c>
      <c r="D984" t="s">
        <v>36</v>
      </c>
      <c r="E984" t="s">
        <v>69</v>
      </c>
      <c r="F984" t="s">
        <v>96</v>
      </c>
      <c r="G984" t="s">
        <v>57</v>
      </c>
      <c r="H984">
        <v>168</v>
      </c>
      <c r="I984">
        <v>150</v>
      </c>
      <c r="J984">
        <v>1</v>
      </c>
      <c r="K984">
        <v>7.5</v>
      </c>
      <c r="L984">
        <v>11344.32</v>
      </c>
      <c r="M984">
        <v>4.2300000000000004</v>
      </c>
      <c r="N984">
        <v>84.6</v>
      </c>
      <c r="O984">
        <v>176</v>
      </c>
      <c r="P984" s="5">
        <v>46173</v>
      </c>
      <c r="Q984" s="5">
        <v>46174</v>
      </c>
      <c r="R984" t="s">
        <v>39</v>
      </c>
      <c r="S984" t="s">
        <v>86</v>
      </c>
    </row>
    <row r="985" spans="1:19" x14ac:dyDescent="0.25">
      <c r="A985" t="s">
        <v>1079</v>
      </c>
      <c r="B985" s="5">
        <v>46072</v>
      </c>
      <c r="C985" t="s">
        <v>59</v>
      </c>
      <c r="D985" t="s">
        <v>49</v>
      </c>
      <c r="E985" t="s">
        <v>76</v>
      </c>
      <c r="F985" t="s">
        <v>135</v>
      </c>
      <c r="G985" t="s">
        <v>24</v>
      </c>
      <c r="H985">
        <v>218</v>
      </c>
      <c r="I985">
        <v>170</v>
      </c>
      <c r="J985">
        <v>9</v>
      </c>
      <c r="K985">
        <v>7</v>
      </c>
      <c r="L985">
        <v>31383.119999999999</v>
      </c>
      <c r="M985">
        <v>6.73</v>
      </c>
      <c r="N985">
        <v>121.14</v>
      </c>
      <c r="O985">
        <v>220</v>
      </c>
      <c r="P985" s="5">
        <v>46081</v>
      </c>
      <c r="Q985" s="5">
        <v>46081</v>
      </c>
      <c r="R985" t="s">
        <v>25</v>
      </c>
      <c r="S985" t="s">
        <v>26</v>
      </c>
    </row>
    <row r="986" spans="1:19" x14ac:dyDescent="0.25">
      <c r="A986" t="s">
        <v>1080</v>
      </c>
      <c r="B986" s="5">
        <v>46134</v>
      </c>
      <c r="C986" t="s">
        <v>35</v>
      </c>
      <c r="D986" t="s">
        <v>36</v>
      </c>
      <c r="E986" t="s">
        <v>69</v>
      </c>
      <c r="F986" t="s">
        <v>46</v>
      </c>
      <c r="G986" t="s">
        <v>24</v>
      </c>
      <c r="H986">
        <v>96</v>
      </c>
      <c r="I986">
        <v>110</v>
      </c>
      <c r="J986">
        <v>1</v>
      </c>
      <c r="K986">
        <v>8.8000000000000007</v>
      </c>
      <c r="L986">
        <v>8941.86</v>
      </c>
      <c r="M986">
        <v>2.19</v>
      </c>
      <c r="N986">
        <v>43.8</v>
      </c>
      <c r="O986">
        <v>141</v>
      </c>
      <c r="P986" s="5">
        <v>46136</v>
      </c>
      <c r="Q986" s="5">
        <v>46134</v>
      </c>
      <c r="R986" t="s">
        <v>25</v>
      </c>
      <c r="S986" t="s">
        <v>33</v>
      </c>
    </row>
    <row r="987" spans="1:19" x14ac:dyDescent="0.25">
      <c r="A987" t="s">
        <v>1081</v>
      </c>
      <c r="B987" s="5">
        <v>46179</v>
      </c>
      <c r="C987" t="s">
        <v>59</v>
      </c>
      <c r="D987" t="s">
        <v>49</v>
      </c>
      <c r="E987" t="s">
        <v>50</v>
      </c>
      <c r="F987" t="s">
        <v>110</v>
      </c>
      <c r="G987" t="s">
        <v>57</v>
      </c>
      <c r="H987">
        <v>155</v>
      </c>
      <c r="I987">
        <v>153</v>
      </c>
      <c r="J987">
        <v>1</v>
      </c>
      <c r="K987">
        <v>6.6</v>
      </c>
      <c r="L987">
        <v>21877.23</v>
      </c>
      <c r="M987">
        <v>3.4</v>
      </c>
      <c r="N987">
        <v>88.4</v>
      </c>
      <c r="O987">
        <v>165</v>
      </c>
      <c r="P987" s="5">
        <v>46190</v>
      </c>
      <c r="Q987" s="5">
        <v>46194</v>
      </c>
      <c r="R987" t="s">
        <v>100</v>
      </c>
      <c r="S987" t="s">
        <v>33</v>
      </c>
    </row>
    <row r="988" spans="1:19" x14ac:dyDescent="0.25">
      <c r="A988" t="s">
        <v>1082</v>
      </c>
      <c r="B988" s="5">
        <v>46117</v>
      </c>
      <c r="C988" t="s">
        <v>28</v>
      </c>
      <c r="D988" t="s">
        <v>29</v>
      </c>
      <c r="E988" t="s">
        <v>30</v>
      </c>
      <c r="F988" t="s">
        <v>104</v>
      </c>
      <c r="G988" t="s">
        <v>57</v>
      </c>
      <c r="H988">
        <v>151</v>
      </c>
      <c r="I988">
        <v>126</v>
      </c>
      <c r="J988">
        <v>10</v>
      </c>
      <c r="K988">
        <v>4</v>
      </c>
      <c r="L988">
        <v>28955.94</v>
      </c>
      <c r="M988">
        <v>2.44</v>
      </c>
      <c r="N988">
        <v>58.56</v>
      </c>
      <c r="O988">
        <v>146</v>
      </c>
      <c r="P988" s="5">
        <v>46125</v>
      </c>
      <c r="Q988" s="5">
        <v>46127</v>
      </c>
      <c r="R988" t="s">
        <v>25</v>
      </c>
      <c r="S988" t="s">
        <v>86</v>
      </c>
    </row>
    <row r="989" spans="1:19" x14ac:dyDescent="0.25">
      <c r="A989" t="s">
        <v>1083</v>
      </c>
      <c r="B989" s="5">
        <v>46027</v>
      </c>
      <c r="C989" t="s">
        <v>20</v>
      </c>
      <c r="D989" t="s">
        <v>21</v>
      </c>
      <c r="E989" t="s">
        <v>66</v>
      </c>
      <c r="F989" t="s">
        <v>67</v>
      </c>
      <c r="G989" t="s">
        <v>24</v>
      </c>
      <c r="H989">
        <v>303</v>
      </c>
      <c r="I989">
        <v>282</v>
      </c>
      <c r="J989">
        <v>17</v>
      </c>
      <c r="K989">
        <v>4.3</v>
      </c>
      <c r="L989">
        <v>76928.84</v>
      </c>
      <c r="M989">
        <v>6.17</v>
      </c>
      <c r="N989">
        <v>160.41999999999999</v>
      </c>
      <c r="O989">
        <v>280</v>
      </c>
      <c r="P989" s="5">
        <v>46033</v>
      </c>
      <c r="Q989" s="5">
        <v>46031</v>
      </c>
      <c r="R989" t="s">
        <v>100</v>
      </c>
      <c r="S989" t="s">
        <v>26</v>
      </c>
    </row>
    <row r="990" spans="1:19" x14ac:dyDescent="0.25">
      <c r="A990" t="s">
        <v>1084</v>
      </c>
      <c r="B990" s="5">
        <v>46090</v>
      </c>
      <c r="C990" t="s">
        <v>20</v>
      </c>
      <c r="D990" t="s">
        <v>21</v>
      </c>
      <c r="E990" t="s">
        <v>22</v>
      </c>
      <c r="F990" t="s">
        <v>74</v>
      </c>
      <c r="G990" t="s">
        <v>24</v>
      </c>
      <c r="H990">
        <v>130</v>
      </c>
      <c r="I990">
        <v>104</v>
      </c>
      <c r="J990">
        <v>2</v>
      </c>
      <c r="K990">
        <v>8.4</v>
      </c>
      <c r="L990">
        <v>37238.22</v>
      </c>
      <c r="M990">
        <v>3.66</v>
      </c>
      <c r="N990">
        <v>73.2</v>
      </c>
      <c r="O990">
        <v>141</v>
      </c>
      <c r="P990" s="5">
        <v>46097</v>
      </c>
      <c r="Q990" s="5">
        <v>46099</v>
      </c>
      <c r="R990" t="s">
        <v>25</v>
      </c>
      <c r="S990" t="s">
        <v>33</v>
      </c>
    </row>
    <row r="991" spans="1:19" x14ac:dyDescent="0.25">
      <c r="A991" t="s">
        <v>1085</v>
      </c>
      <c r="B991" s="5">
        <v>46141</v>
      </c>
      <c r="C991" t="s">
        <v>80</v>
      </c>
      <c r="D991" t="s">
        <v>21</v>
      </c>
      <c r="E991" t="s">
        <v>22</v>
      </c>
      <c r="F991" t="s">
        <v>74</v>
      </c>
      <c r="G991" t="s">
        <v>32</v>
      </c>
      <c r="H991">
        <v>297</v>
      </c>
      <c r="I991">
        <v>341</v>
      </c>
      <c r="J991">
        <v>29</v>
      </c>
      <c r="K991">
        <v>6.1</v>
      </c>
      <c r="L991">
        <v>70195.44</v>
      </c>
      <c r="M991">
        <v>9.25</v>
      </c>
      <c r="N991">
        <v>185</v>
      </c>
      <c r="O991">
        <v>365</v>
      </c>
      <c r="P991" s="5">
        <v>46146</v>
      </c>
      <c r="Q991" s="5">
        <v>46147</v>
      </c>
      <c r="R991" t="s">
        <v>25</v>
      </c>
      <c r="S991" t="s">
        <v>26</v>
      </c>
    </row>
    <row r="992" spans="1:19" x14ac:dyDescent="0.25">
      <c r="A992" t="s">
        <v>1086</v>
      </c>
      <c r="B992" s="5">
        <v>46169</v>
      </c>
      <c r="C992" t="s">
        <v>48</v>
      </c>
      <c r="D992" t="s">
        <v>49</v>
      </c>
      <c r="E992" t="s">
        <v>76</v>
      </c>
      <c r="F992" t="s">
        <v>125</v>
      </c>
      <c r="G992" t="s">
        <v>24</v>
      </c>
      <c r="H992">
        <v>111</v>
      </c>
      <c r="I992">
        <v>89</v>
      </c>
      <c r="J992">
        <v>4</v>
      </c>
      <c r="K992">
        <v>8</v>
      </c>
      <c r="L992">
        <v>17157.509999999998</v>
      </c>
      <c r="M992">
        <v>2.87</v>
      </c>
      <c r="N992">
        <v>57.4</v>
      </c>
      <c r="O992">
        <v>153</v>
      </c>
      <c r="P992" s="5">
        <v>46171</v>
      </c>
      <c r="Q992" s="5">
        <v>46171</v>
      </c>
      <c r="R992" t="s">
        <v>1302</v>
      </c>
      <c r="S992" t="s">
        <v>33</v>
      </c>
    </row>
    <row r="993" spans="1:19" x14ac:dyDescent="0.25">
      <c r="A993" t="s">
        <v>1087</v>
      </c>
      <c r="B993" s="5">
        <v>46047</v>
      </c>
      <c r="C993" t="s">
        <v>35</v>
      </c>
      <c r="D993" t="s">
        <v>36</v>
      </c>
      <c r="E993" t="s">
        <v>69</v>
      </c>
      <c r="F993" t="s">
        <v>244</v>
      </c>
      <c r="G993" t="s">
        <v>57</v>
      </c>
      <c r="H993">
        <v>152</v>
      </c>
      <c r="I993">
        <v>174</v>
      </c>
      <c r="J993">
        <v>4</v>
      </c>
      <c r="K993">
        <v>1.8</v>
      </c>
      <c r="L993">
        <v>13024.88</v>
      </c>
      <c r="M993">
        <v>5.0999999999999996</v>
      </c>
      <c r="N993">
        <v>91.8</v>
      </c>
      <c r="O993">
        <v>148</v>
      </c>
      <c r="P993" s="5">
        <v>46056</v>
      </c>
      <c r="Q993" s="5">
        <v>46060</v>
      </c>
      <c r="R993" t="s">
        <v>39</v>
      </c>
      <c r="S993" t="s">
        <v>33</v>
      </c>
    </row>
    <row r="994" spans="1:19" x14ac:dyDescent="0.25">
      <c r="A994" t="s">
        <v>1088</v>
      </c>
      <c r="B994" s="5">
        <v>46026</v>
      </c>
      <c r="C994" t="s">
        <v>43</v>
      </c>
      <c r="D994" t="s">
        <v>44</v>
      </c>
      <c r="E994" t="s">
        <v>45</v>
      </c>
      <c r="F994" t="s">
        <v>83</v>
      </c>
      <c r="G994" t="s">
        <v>24</v>
      </c>
      <c r="H994">
        <v>103</v>
      </c>
      <c r="I994">
        <v>113</v>
      </c>
      <c r="J994">
        <v>9</v>
      </c>
      <c r="K994">
        <v>5.3</v>
      </c>
      <c r="L994">
        <v>13259.15</v>
      </c>
      <c r="M994">
        <v>2.56</v>
      </c>
      <c r="N994">
        <v>66.56</v>
      </c>
      <c r="O994">
        <v>170</v>
      </c>
      <c r="P994" s="5">
        <v>46030</v>
      </c>
      <c r="Q994" s="5">
        <v>46031</v>
      </c>
      <c r="R994" t="s">
        <v>100</v>
      </c>
      <c r="S994" t="s">
        <v>26</v>
      </c>
    </row>
    <row r="995" spans="1:19" x14ac:dyDescent="0.25">
      <c r="A995" t="s">
        <v>1089</v>
      </c>
      <c r="B995" s="5">
        <v>46135</v>
      </c>
      <c r="C995" t="s">
        <v>28</v>
      </c>
      <c r="D995" t="s">
        <v>29</v>
      </c>
      <c r="E995" t="s">
        <v>95</v>
      </c>
      <c r="F995" t="s">
        <v>114</v>
      </c>
      <c r="G995" t="s">
        <v>32</v>
      </c>
      <c r="H995">
        <v>301</v>
      </c>
      <c r="I995">
        <v>323</v>
      </c>
      <c r="J995">
        <v>27</v>
      </c>
      <c r="K995">
        <v>4.9000000000000004</v>
      </c>
      <c r="L995">
        <v>91663.16</v>
      </c>
      <c r="M995">
        <v>7.19</v>
      </c>
      <c r="N995">
        <v>158.18</v>
      </c>
      <c r="O995">
        <v>365</v>
      </c>
      <c r="P995" s="5">
        <v>46137</v>
      </c>
      <c r="Q995" s="5">
        <v>46138</v>
      </c>
      <c r="R995" t="s">
        <v>25</v>
      </c>
      <c r="S995" t="s">
        <v>33</v>
      </c>
    </row>
    <row r="996" spans="1:19" x14ac:dyDescent="0.25">
      <c r="A996" t="s">
        <v>1090</v>
      </c>
      <c r="B996" s="5">
        <v>46149</v>
      </c>
      <c r="C996" t="s">
        <v>35</v>
      </c>
      <c r="D996" t="s">
        <v>36</v>
      </c>
      <c r="E996" t="s">
        <v>69</v>
      </c>
      <c r="F996" t="s">
        <v>197</v>
      </c>
      <c r="G996" t="s">
        <v>57</v>
      </c>
      <c r="H996">
        <v>254</v>
      </c>
      <c r="I996">
        <v>284</v>
      </c>
      <c r="J996">
        <v>4</v>
      </c>
      <c r="K996">
        <v>4.3</v>
      </c>
      <c r="L996">
        <v>24144.83</v>
      </c>
      <c r="M996">
        <v>8.5</v>
      </c>
      <c r="N996">
        <v>204</v>
      </c>
      <c r="O996">
        <v>346</v>
      </c>
      <c r="P996" s="5">
        <v>46153</v>
      </c>
      <c r="Q996" s="5">
        <v>46151</v>
      </c>
      <c r="R996" t="s">
        <v>25</v>
      </c>
      <c r="S996" t="s">
        <v>72</v>
      </c>
    </row>
    <row r="997" spans="1:19" x14ac:dyDescent="0.25">
      <c r="A997" t="s">
        <v>1091</v>
      </c>
      <c r="B997" s="5">
        <v>46161</v>
      </c>
      <c r="C997" t="s">
        <v>43</v>
      </c>
      <c r="D997" t="s">
        <v>44</v>
      </c>
      <c r="E997" t="s">
        <v>93</v>
      </c>
      <c r="F997" t="s">
        <v>41</v>
      </c>
      <c r="G997" t="s">
        <v>32</v>
      </c>
      <c r="H997">
        <v>248</v>
      </c>
      <c r="I997">
        <v>268</v>
      </c>
      <c r="J997">
        <v>5</v>
      </c>
      <c r="K997">
        <v>5.7</v>
      </c>
      <c r="L997">
        <v>26838.26</v>
      </c>
      <c r="M997">
        <v>11.21</v>
      </c>
      <c r="N997">
        <v>246.62</v>
      </c>
      <c r="O997">
        <v>211</v>
      </c>
      <c r="P997" s="5">
        <v>46168</v>
      </c>
      <c r="Q997" s="5">
        <v>46172</v>
      </c>
      <c r="R997" t="s">
        <v>25</v>
      </c>
      <c r="S997" t="s">
        <v>72</v>
      </c>
    </row>
    <row r="998" spans="1:19" x14ac:dyDescent="0.25">
      <c r="A998" t="s">
        <v>1092</v>
      </c>
      <c r="B998" s="5">
        <v>46168</v>
      </c>
      <c r="C998" t="s">
        <v>43</v>
      </c>
      <c r="D998" t="s">
        <v>44</v>
      </c>
      <c r="E998" t="s">
        <v>45</v>
      </c>
      <c r="F998" t="s">
        <v>77</v>
      </c>
      <c r="G998" t="s">
        <v>24</v>
      </c>
      <c r="H998">
        <v>98</v>
      </c>
      <c r="I998">
        <v>92</v>
      </c>
      <c r="J998">
        <v>6</v>
      </c>
      <c r="K998">
        <v>1.6</v>
      </c>
      <c r="L998">
        <v>11455.37</v>
      </c>
      <c r="M998">
        <v>2.91</v>
      </c>
      <c r="N998">
        <v>69.84</v>
      </c>
      <c r="O998">
        <v>68</v>
      </c>
      <c r="P998" s="5">
        <v>46178</v>
      </c>
      <c r="Q998" s="5">
        <v>46178</v>
      </c>
      <c r="R998" t="s">
        <v>25</v>
      </c>
      <c r="S998" t="s">
        <v>26</v>
      </c>
    </row>
    <row r="999" spans="1:19" x14ac:dyDescent="0.25">
      <c r="A999" t="s">
        <v>1093</v>
      </c>
      <c r="B999" s="5">
        <v>46161</v>
      </c>
      <c r="C999" t="s">
        <v>59</v>
      </c>
      <c r="D999" t="s">
        <v>49</v>
      </c>
      <c r="E999" t="s">
        <v>60</v>
      </c>
      <c r="F999" t="s">
        <v>106</v>
      </c>
      <c r="G999" t="s">
        <v>24</v>
      </c>
      <c r="H999">
        <v>302</v>
      </c>
      <c r="I999">
        <v>219</v>
      </c>
      <c r="J999">
        <v>4</v>
      </c>
      <c r="K999">
        <v>8</v>
      </c>
      <c r="L999">
        <v>30436.04</v>
      </c>
      <c r="M999">
        <v>4.12</v>
      </c>
      <c r="N999">
        <v>107.12</v>
      </c>
      <c r="O999">
        <v>320</v>
      </c>
      <c r="P999" s="5">
        <v>46173</v>
      </c>
      <c r="Q999" s="5">
        <v>46175</v>
      </c>
      <c r="R999" t="s">
        <v>39</v>
      </c>
      <c r="S999" t="s">
        <v>86</v>
      </c>
    </row>
    <row r="1000" spans="1:19" x14ac:dyDescent="0.25">
      <c r="A1000" t="s">
        <v>1094</v>
      </c>
      <c r="B1000" s="5">
        <v>46152</v>
      </c>
      <c r="C1000" t="s">
        <v>59</v>
      </c>
      <c r="D1000" t="s">
        <v>49</v>
      </c>
      <c r="E1000" t="s">
        <v>60</v>
      </c>
      <c r="F1000" t="s">
        <v>85</v>
      </c>
      <c r="G1000" t="s">
        <v>32</v>
      </c>
      <c r="H1000">
        <v>113</v>
      </c>
      <c r="I1000">
        <v>95</v>
      </c>
      <c r="J1000">
        <v>5</v>
      </c>
      <c r="K1000">
        <v>7.6</v>
      </c>
      <c r="L1000">
        <v>17491.88</v>
      </c>
      <c r="M1000">
        <v>1.86</v>
      </c>
      <c r="N1000">
        <v>33.479999999999997</v>
      </c>
      <c r="O1000">
        <v>145</v>
      </c>
      <c r="P1000" s="5">
        <v>46159</v>
      </c>
      <c r="Q1000" s="5">
        <v>46163</v>
      </c>
      <c r="R1000" t="s">
        <v>39</v>
      </c>
      <c r="S1000" t="s">
        <v>33</v>
      </c>
    </row>
    <row r="1001" spans="1:19" x14ac:dyDescent="0.25">
      <c r="A1001" t="s">
        <v>1095</v>
      </c>
      <c r="B1001" s="5">
        <v>46200</v>
      </c>
      <c r="C1001" t="s">
        <v>53</v>
      </c>
      <c r="D1001" t="s">
        <v>54</v>
      </c>
      <c r="E1001" t="s">
        <v>55</v>
      </c>
      <c r="F1001" t="s">
        <v>46</v>
      </c>
      <c r="G1001" t="s">
        <v>57</v>
      </c>
      <c r="H1001">
        <v>171</v>
      </c>
      <c r="I1001">
        <v>191</v>
      </c>
      <c r="J1001">
        <v>4</v>
      </c>
      <c r="K1001">
        <v>4.9000000000000004</v>
      </c>
      <c r="L1001">
        <v>26613.59</v>
      </c>
      <c r="M1001">
        <v>5.91</v>
      </c>
      <c r="N1001">
        <v>118.2</v>
      </c>
      <c r="O1001">
        <v>137</v>
      </c>
      <c r="P1001" s="5">
        <v>46211</v>
      </c>
      <c r="Q1001" s="5">
        <v>46215</v>
      </c>
      <c r="R1001" t="s">
        <v>25</v>
      </c>
      <c r="S1001" t="s">
        <v>26</v>
      </c>
    </row>
    <row r="1002" spans="1:19" x14ac:dyDescent="0.25">
      <c r="A1002" t="s">
        <v>1096</v>
      </c>
      <c r="B1002" s="5">
        <v>46039</v>
      </c>
      <c r="C1002" t="s">
        <v>53</v>
      </c>
      <c r="D1002" t="s">
        <v>54</v>
      </c>
      <c r="E1002" t="s">
        <v>131</v>
      </c>
      <c r="F1002" t="s">
        <v>112</v>
      </c>
      <c r="G1002" t="s">
        <v>57</v>
      </c>
      <c r="H1002">
        <v>236</v>
      </c>
      <c r="I1002">
        <v>223</v>
      </c>
      <c r="J1002">
        <v>8</v>
      </c>
      <c r="K1002">
        <v>1.3</v>
      </c>
      <c r="L1002">
        <v>36979.53</v>
      </c>
      <c r="M1002">
        <v>6.72</v>
      </c>
      <c r="N1002">
        <v>134.4</v>
      </c>
      <c r="O1002">
        <v>229</v>
      </c>
      <c r="P1002" s="5">
        <v>46046</v>
      </c>
      <c r="Q1002" s="5">
        <v>46046</v>
      </c>
      <c r="R1002" t="s">
        <v>100</v>
      </c>
      <c r="S1002" t="s">
        <v>26</v>
      </c>
    </row>
    <row r="1003" spans="1:19" x14ac:dyDescent="0.25">
      <c r="A1003" t="s">
        <v>1097</v>
      </c>
      <c r="B1003" s="5">
        <v>46104</v>
      </c>
      <c r="C1003" t="s">
        <v>80</v>
      </c>
      <c r="D1003" t="s">
        <v>21</v>
      </c>
      <c r="E1003" t="s">
        <v>90</v>
      </c>
      <c r="F1003" t="s">
        <v>114</v>
      </c>
      <c r="G1003" t="s">
        <v>57</v>
      </c>
      <c r="H1003">
        <v>244</v>
      </c>
      <c r="I1003">
        <v>195</v>
      </c>
      <c r="J1003">
        <v>11</v>
      </c>
      <c r="K1003">
        <v>2.1</v>
      </c>
      <c r="L1003">
        <v>40922.959999999999</v>
      </c>
      <c r="M1003">
        <v>3.65</v>
      </c>
      <c r="N1003">
        <v>80.3</v>
      </c>
      <c r="O1003">
        <v>303</v>
      </c>
      <c r="P1003" s="5">
        <v>46112</v>
      </c>
      <c r="Q1003" s="5">
        <v>46113</v>
      </c>
      <c r="R1003" t="s">
        <v>100</v>
      </c>
      <c r="S1003" t="s">
        <v>33</v>
      </c>
    </row>
    <row r="1004" spans="1:19" x14ac:dyDescent="0.25">
      <c r="A1004" t="s">
        <v>1098</v>
      </c>
      <c r="B1004" s="5">
        <v>46195</v>
      </c>
      <c r="C1004" t="s">
        <v>20</v>
      </c>
      <c r="D1004" t="s">
        <v>21</v>
      </c>
      <c r="E1004" t="s">
        <v>22</v>
      </c>
      <c r="F1004" t="s">
        <v>170</v>
      </c>
      <c r="G1004" t="s">
        <v>32</v>
      </c>
      <c r="H1004">
        <v>151</v>
      </c>
      <c r="I1004">
        <v>167</v>
      </c>
      <c r="J1004">
        <v>3</v>
      </c>
      <c r="K1004">
        <v>6.7</v>
      </c>
      <c r="L1004">
        <v>57165.63</v>
      </c>
      <c r="M1004">
        <v>3.74</v>
      </c>
      <c r="N1004">
        <v>97.24</v>
      </c>
      <c r="O1004">
        <v>211</v>
      </c>
      <c r="P1004" s="5">
        <v>46204</v>
      </c>
      <c r="Q1004" s="5">
        <v>46206</v>
      </c>
      <c r="R1004" t="s">
        <v>25</v>
      </c>
      <c r="S1004" t="s">
        <v>26</v>
      </c>
    </row>
    <row r="1005" spans="1:19" x14ac:dyDescent="0.25">
      <c r="A1005" t="s">
        <v>1099</v>
      </c>
      <c r="B1005" s="5">
        <v>46098</v>
      </c>
      <c r="C1005" t="s">
        <v>43</v>
      </c>
      <c r="D1005" t="s">
        <v>44</v>
      </c>
      <c r="E1005" t="s">
        <v>45</v>
      </c>
      <c r="F1005" t="s">
        <v>46</v>
      </c>
      <c r="G1005" t="s">
        <v>57</v>
      </c>
      <c r="H1005">
        <v>143</v>
      </c>
      <c r="I1005">
        <v>141</v>
      </c>
      <c r="J1005">
        <v>2</v>
      </c>
      <c r="K1005">
        <v>4.8</v>
      </c>
      <c r="L1005">
        <v>15966.23</v>
      </c>
      <c r="M1005">
        <v>3.86</v>
      </c>
      <c r="N1005">
        <v>77.2</v>
      </c>
      <c r="O1005">
        <v>152</v>
      </c>
      <c r="P1005" s="5">
        <v>46108</v>
      </c>
      <c r="Q1005" s="5">
        <v>46107</v>
      </c>
      <c r="R1005" t="s">
        <v>25</v>
      </c>
      <c r="S1005" t="s">
        <v>86</v>
      </c>
    </row>
    <row r="1006" spans="1:19" x14ac:dyDescent="0.25">
      <c r="A1006" t="s">
        <v>1100</v>
      </c>
      <c r="B1006" s="5">
        <v>46043</v>
      </c>
      <c r="C1006" t="s">
        <v>48</v>
      </c>
      <c r="D1006" t="s">
        <v>49</v>
      </c>
      <c r="E1006" t="s">
        <v>50</v>
      </c>
      <c r="F1006" t="s">
        <v>96</v>
      </c>
      <c r="G1006" t="s">
        <v>24</v>
      </c>
      <c r="H1006">
        <v>216</v>
      </c>
      <c r="I1006">
        <v>226</v>
      </c>
      <c r="J1006">
        <v>15</v>
      </c>
      <c r="K1006">
        <v>8.4</v>
      </c>
      <c r="L1006">
        <v>44725.06</v>
      </c>
      <c r="M1006">
        <v>6.18</v>
      </c>
      <c r="N1006">
        <v>160.68</v>
      </c>
      <c r="O1006">
        <v>219</v>
      </c>
      <c r="P1006" s="5">
        <v>46051</v>
      </c>
      <c r="Q1006" s="5">
        <v>46051</v>
      </c>
      <c r="R1006" t="s">
        <v>25</v>
      </c>
      <c r="S1006" t="s">
        <v>26</v>
      </c>
    </row>
    <row r="1007" spans="1:19" x14ac:dyDescent="0.25">
      <c r="A1007" t="s">
        <v>1101</v>
      </c>
      <c r="B1007" s="5">
        <v>46198</v>
      </c>
      <c r="C1007" t="s">
        <v>48</v>
      </c>
      <c r="D1007" t="s">
        <v>49</v>
      </c>
      <c r="E1007" t="s">
        <v>50</v>
      </c>
      <c r="F1007" t="s">
        <v>96</v>
      </c>
      <c r="G1007" t="s">
        <v>57</v>
      </c>
      <c r="H1007">
        <v>137</v>
      </c>
      <c r="I1007">
        <v>149</v>
      </c>
      <c r="J1007">
        <v>13</v>
      </c>
      <c r="K1007">
        <v>1</v>
      </c>
      <c r="L1007">
        <v>30940.98</v>
      </c>
      <c r="M1007">
        <v>2.77</v>
      </c>
      <c r="N1007">
        <v>66.48</v>
      </c>
      <c r="O1007">
        <v>229</v>
      </c>
      <c r="P1007" s="5">
        <v>46204</v>
      </c>
      <c r="Q1007" s="5">
        <v>46206</v>
      </c>
      <c r="R1007" t="s">
        <v>39</v>
      </c>
      <c r="S1007" t="s">
        <v>26</v>
      </c>
    </row>
    <row r="1008" spans="1:19" x14ac:dyDescent="0.25">
      <c r="A1008" t="s">
        <v>1102</v>
      </c>
      <c r="B1008" s="5">
        <v>46105</v>
      </c>
      <c r="C1008" t="s">
        <v>53</v>
      </c>
      <c r="D1008" t="s">
        <v>54</v>
      </c>
      <c r="E1008" t="s">
        <v>131</v>
      </c>
      <c r="F1008" t="s">
        <v>119</v>
      </c>
      <c r="G1008" t="s">
        <v>57</v>
      </c>
      <c r="H1008">
        <v>291</v>
      </c>
      <c r="I1008">
        <v>242</v>
      </c>
      <c r="J1008">
        <v>1</v>
      </c>
      <c r="K1008">
        <v>2.8</v>
      </c>
      <c r="L1008">
        <v>39760.71</v>
      </c>
      <c r="M1008">
        <v>9.5500000000000007</v>
      </c>
      <c r="N1008">
        <v>248.3</v>
      </c>
      <c r="O1008">
        <v>270</v>
      </c>
      <c r="P1008" s="5">
        <v>46108</v>
      </c>
      <c r="Q1008" s="5">
        <v>46112</v>
      </c>
      <c r="R1008" t="s">
        <v>39</v>
      </c>
      <c r="S1008" t="s">
        <v>33</v>
      </c>
    </row>
    <row r="1009" spans="1:19" x14ac:dyDescent="0.25">
      <c r="A1009" t="s">
        <v>1103</v>
      </c>
      <c r="B1009" s="5">
        <v>46073</v>
      </c>
      <c r="C1009" t="s">
        <v>48</v>
      </c>
      <c r="D1009" t="s">
        <v>49</v>
      </c>
      <c r="E1009" t="s">
        <v>60</v>
      </c>
      <c r="F1009" t="s">
        <v>71</v>
      </c>
      <c r="G1009" t="s">
        <v>57</v>
      </c>
      <c r="H1009">
        <v>140</v>
      </c>
      <c r="I1009">
        <v>117</v>
      </c>
      <c r="J1009">
        <v>0</v>
      </c>
      <c r="K1009">
        <v>7.5</v>
      </c>
      <c r="L1009">
        <v>19881.43</v>
      </c>
      <c r="M1009">
        <v>3.02</v>
      </c>
      <c r="N1009">
        <v>72.48</v>
      </c>
      <c r="O1009">
        <v>127</v>
      </c>
      <c r="P1009" s="5">
        <v>46080</v>
      </c>
      <c r="Q1009" s="5">
        <v>46081</v>
      </c>
      <c r="R1009" t="s">
        <v>25</v>
      </c>
      <c r="S1009" t="s">
        <v>51</v>
      </c>
    </row>
    <row r="1010" spans="1:19" x14ac:dyDescent="0.25">
      <c r="A1010" t="s">
        <v>1104</v>
      </c>
      <c r="B1010" s="5">
        <v>46116</v>
      </c>
      <c r="C1010" t="s">
        <v>28</v>
      </c>
      <c r="D1010" t="s">
        <v>29</v>
      </c>
      <c r="E1010" t="s">
        <v>95</v>
      </c>
      <c r="F1010" t="s">
        <v>197</v>
      </c>
      <c r="G1010" t="s">
        <v>57</v>
      </c>
      <c r="H1010">
        <v>201</v>
      </c>
      <c r="I1010">
        <v>207</v>
      </c>
      <c r="J1010">
        <v>18</v>
      </c>
      <c r="K1010">
        <v>0.9</v>
      </c>
      <c r="L1010">
        <v>51671.34</v>
      </c>
      <c r="M1010">
        <v>5.3</v>
      </c>
      <c r="N1010">
        <v>95.4</v>
      </c>
      <c r="O1010">
        <v>229</v>
      </c>
      <c r="P1010" s="5">
        <v>46120</v>
      </c>
      <c r="Q1010" s="5">
        <v>46119</v>
      </c>
      <c r="R1010" t="s">
        <v>25</v>
      </c>
      <c r="S1010" t="s">
        <v>33</v>
      </c>
    </row>
    <row r="1011" spans="1:19" x14ac:dyDescent="0.25">
      <c r="A1011" t="s">
        <v>1105</v>
      </c>
      <c r="B1011" s="5">
        <v>46113</v>
      </c>
      <c r="C1011" t="s">
        <v>43</v>
      </c>
      <c r="D1011" t="s">
        <v>44</v>
      </c>
      <c r="E1011" t="s">
        <v>161</v>
      </c>
      <c r="F1011" t="s">
        <v>170</v>
      </c>
      <c r="G1011" t="s">
        <v>57</v>
      </c>
      <c r="H1011">
        <v>178</v>
      </c>
      <c r="I1011">
        <v>175</v>
      </c>
      <c r="J1011">
        <v>15</v>
      </c>
      <c r="K1011">
        <v>1.1000000000000001</v>
      </c>
      <c r="L1011">
        <v>21082.9</v>
      </c>
      <c r="M1011">
        <v>3.4</v>
      </c>
      <c r="N1011">
        <v>68</v>
      </c>
      <c r="O1011">
        <v>260</v>
      </c>
      <c r="P1011" s="5">
        <v>46115</v>
      </c>
      <c r="Q1011" s="5">
        <v>46115</v>
      </c>
      <c r="R1011" t="s">
        <v>25</v>
      </c>
      <c r="S1011" t="s">
        <v>26</v>
      </c>
    </row>
    <row r="1012" spans="1:19" x14ac:dyDescent="0.25">
      <c r="A1012" t="s">
        <v>1106</v>
      </c>
      <c r="B1012" s="5">
        <v>46157</v>
      </c>
      <c r="C1012" t="s">
        <v>48</v>
      </c>
      <c r="D1012" t="s">
        <v>49</v>
      </c>
      <c r="E1012" t="s">
        <v>76</v>
      </c>
      <c r="F1012" t="s">
        <v>74</v>
      </c>
      <c r="G1012" t="s">
        <v>32</v>
      </c>
      <c r="H1012">
        <v>121</v>
      </c>
      <c r="I1012">
        <v>133</v>
      </c>
      <c r="J1012">
        <v>11</v>
      </c>
      <c r="K1012">
        <v>5</v>
      </c>
      <c r="L1012">
        <v>32814.43</v>
      </c>
      <c r="M1012">
        <v>3.72</v>
      </c>
      <c r="N1012">
        <v>81.84</v>
      </c>
      <c r="O1012">
        <v>210</v>
      </c>
      <c r="P1012" s="5">
        <v>46165</v>
      </c>
      <c r="Q1012" s="5">
        <v>46169</v>
      </c>
      <c r="R1012" t="s">
        <v>39</v>
      </c>
      <c r="S1012" t="s">
        <v>86</v>
      </c>
    </row>
    <row r="1013" spans="1:19" x14ac:dyDescent="0.25">
      <c r="A1013" t="s">
        <v>1107</v>
      </c>
      <c r="B1013" s="5">
        <v>46065</v>
      </c>
      <c r="C1013" t="s">
        <v>43</v>
      </c>
      <c r="D1013" t="s">
        <v>44</v>
      </c>
      <c r="E1013" t="s">
        <v>161</v>
      </c>
      <c r="F1013" t="s">
        <v>125</v>
      </c>
      <c r="G1013" t="s">
        <v>57</v>
      </c>
      <c r="H1013">
        <v>260</v>
      </c>
      <c r="I1013">
        <v>224</v>
      </c>
      <c r="J1013">
        <v>7</v>
      </c>
      <c r="K1013">
        <v>6.7</v>
      </c>
      <c r="L1013">
        <v>28227.4</v>
      </c>
      <c r="M1013">
        <v>5.86</v>
      </c>
      <c r="N1013">
        <v>152.36000000000001</v>
      </c>
      <c r="O1013">
        <v>328</v>
      </c>
      <c r="P1013" s="5">
        <v>46072</v>
      </c>
      <c r="Q1013" s="5">
        <v>46073</v>
      </c>
      <c r="R1013" t="s">
        <v>39</v>
      </c>
      <c r="S1013" t="s">
        <v>26</v>
      </c>
    </row>
    <row r="1014" spans="1:19" x14ac:dyDescent="0.25">
      <c r="A1014" t="s">
        <v>1108</v>
      </c>
      <c r="B1014" s="5">
        <v>46055</v>
      </c>
      <c r="C1014" t="s">
        <v>59</v>
      </c>
      <c r="D1014" t="s">
        <v>49</v>
      </c>
      <c r="E1014" t="s">
        <v>60</v>
      </c>
      <c r="F1014" t="s">
        <v>91</v>
      </c>
      <c r="G1014" t="s">
        <v>24</v>
      </c>
      <c r="H1014">
        <v>313</v>
      </c>
      <c r="I1014">
        <v>241</v>
      </c>
      <c r="J1014">
        <v>3</v>
      </c>
      <c r="K1014">
        <v>6.2</v>
      </c>
      <c r="L1014">
        <v>43156.83</v>
      </c>
      <c r="M1014">
        <v>9.73</v>
      </c>
      <c r="N1014">
        <v>175.14</v>
      </c>
      <c r="O1014">
        <v>283</v>
      </c>
      <c r="P1014" s="5">
        <v>46057</v>
      </c>
      <c r="Q1014" s="5">
        <v>46057</v>
      </c>
      <c r="R1014" t="s">
        <v>25</v>
      </c>
      <c r="S1014" t="s">
        <v>51</v>
      </c>
    </row>
    <row r="1015" spans="1:19" x14ac:dyDescent="0.25">
      <c r="A1015" t="s">
        <v>1109</v>
      </c>
      <c r="B1015" s="5">
        <v>46173</v>
      </c>
      <c r="C1015" t="s">
        <v>28</v>
      </c>
      <c r="D1015" t="s">
        <v>29</v>
      </c>
      <c r="E1015" t="s">
        <v>63</v>
      </c>
      <c r="F1015" t="s">
        <v>119</v>
      </c>
      <c r="G1015" t="s">
        <v>57</v>
      </c>
      <c r="H1015">
        <v>140</v>
      </c>
      <c r="I1015">
        <v>108</v>
      </c>
      <c r="J1015">
        <v>9</v>
      </c>
      <c r="K1015">
        <v>7.9</v>
      </c>
      <c r="L1015">
        <v>29807.119999999999</v>
      </c>
      <c r="M1015">
        <v>4.2</v>
      </c>
      <c r="N1015">
        <v>75.599999999999994</v>
      </c>
      <c r="O1015">
        <v>153</v>
      </c>
      <c r="P1015" s="5">
        <v>46175</v>
      </c>
      <c r="Q1015" s="5">
        <v>46176</v>
      </c>
      <c r="R1015" t="s">
        <v>25</v>
      </c>
      <c r="S1015" t="s">
        <v>26</v>
      </c>
    </row>
    <row r="1016" spans="1:19" x14ac:dyDescent="0.25">
      <c r="A1016" t="s">
        <v>1110</v>
      </c>
      <c r="B1016" s="5">
        <v>46075</v>
      </c>
      <c r="C1016" t="s">
        <v>35</v>
      </c>
      <c r="D1016" t="s">
        <v>36</v>
      </c>
      <c r="E1016" t="s">
        <v>37</v>
      </c>
      <c r="F1016" t="s">
        <v>74</v>
      </c>
      <c r="G1016" t="s">
        <v>24</v>
      </c>
      <c r="H1016">
        <v>254</v>
      </c>
      <c r="I1016">
        <v>193</v>
      </c>
      <c r="J1016">
        <v>6</v>
      </c>
      <c r="K1016">
        <v>7.7</v>
      </c>
      <c r="L1016">
        <v>17367.810000000001</v>
      </c>
      <c r="M1016">
        <v>6.19</v>
      </c>
      <c r="N1016">
        <v>148.56</v>
      </c>
      <c r="O1016">
        <v>250</v>
      </c>
      <c r="P1016" s="5">
        <v>46084</v>
      </c>
      <c r="Q1016" s="5">
        <v>46084</v>
      </c>
      <c r="R1016" t="s">
        <v>100</v>
      </c>
      <c r="S1016" t="s">
        <v>72</v>
      </c>
    </row>
    <row r="1017" spans="1:19" x14ac:dyDescent="0.25">
      <c r="A1017" t="s">
        <v>1111</v>
      </c>
      <c r="B1017" s="5">
        <v>46097</v>
      </c>
      <c r="C1017" t="s">
        <v>35</v>
      </c>
      <c r="D1017" t="s">
        <v>36</v>
      </c>
      <c r="E1017" t="s">
        <v>37</v>
      </c>
      <c r="F1017" t="s">
        <v>106</v>
      </c>
      <c r="G1017" t="s">
        <v>24</v>
      </c>
      <c r="H1017">
        <v>271</v>
      </c>
      <c r="I1017">
        <v>195</v>
      </c>
      <c r="J1017">
        <v>7</v>
      </c>
      <c r="K1017">
        <v>4.5999999999999996</v>
      </c>
      <c r="L1017">
        <v>17763.29</v>
      </c>
      <c r="M1017">
        <v>5.24</v>
      </c>
      <c r="N1017">
        <v>104.8</v>
      </c>
      <c r="O1017">
        <v>248</v>
      </c>
      <c r="P1017" s="5">
        <v>46107</v>
      </c>
      <c r="Q1017" s="5">
        <v>46107</v>
      </c>
      <c r="R1017" t="s">
        <v>25</v>
      </c>
      <c r="S1017" t="s">
        <v>33</v>
      </c>
    </row>
    <row r="1018" spans="1:19" x14ac:dyDescent="0.25">
      <c r="A1018" t="s">
        <v>1112</v>
      </c>
      <c r="B1018" s="5">
        <v>46057</v>
      </c>
      <c r="C1018" t="s">
        <v>28</v>
      </c>
      <c r="D1018" t="s">
        <v>29</v>
      </c>
      <c r="E1018" t="s">
        <v>63</v>
      </c>
      <c r="F1018" t="s">
        <v>122</v>
      </c>
      <c r="G1018" t="s">
        <v>32</v>
      </c>
      <c r="H1018">
        <v>112</v>
      </c>
      <c r="I1018">
        <v>90</v>
      </c>
      <c r="J1018">
        <v>1</v>
      </c>
      <c r="K1018">
        <v>7.6</v>
      </c>
      <c r="L1018">
        <v>16039.09</v>
      </c>
      <c r="M1018">
        <v>1.82</v>
      </c>
      <c r="N1018">
        <v>43.68</v>
      </c>
      <c r="O1018">
        <v>74</v>
      </c>
      <c r="P1018" s="5">
        <v>46060</v>
      </c>
      <c r="Q1018" s="5">
        <v>46060</v>
      </c>
      <c r="R1018" t="s">
        <v>100</v>
      </c>
      <c r="S1018" t="s">
        <v>51</v>
      </c>
    </row>
    <row r="1019" spans="1:19" x14ac:dyDescent="0.25">
      <c r="A1019" t="s">
        <v>1113</v>
      </c>
      <c r="B1019" s="5">
        <v>46075</v>
      </c>
      <c r="C1019" t="s">
        <v>53</v>
      </c>
      <c r="D1019" t="s">
        <v>54</v>
      </c>
      <c r="E1019" t="s">
        <v>131</v>
      </c>
      <c r="F1019" t="s">
        <v>122</v>
      </c>
      <c r="G1019" t="s">
        <v>24</v>
      </c>
      <c r="H1019">
        <v>86</v>
      </c>
      <c r="I1019">
        <v>81</v>
      </c>
      <c r="J1019">
        <v>5</v>
      </c>
      <c r="K1019">
        <v>3.6</v>
      </c>
      <c r="L1019">
        <v>12981.49</v>
      </c>
      <c r="M1019">
        <v>1.8</v>
      </c>
      <c r="N1019">
        <v>36</v>
      </c>
      <c r="O1019">
        <v>139</v>
      </c>
      <c r="P1019" s="5">
        <v>46084</v>
      </c>
      <c r="Q1019" s="5">
        <v>46088</v>
      </c>
      <c r="R1019" t="s">
        <v>25</v>
      </c>
      <c r="S1019" t="s">
        <v>86</v>
      </c>
    </row>
    <row r="1020" spans="1:19" x14ac:dyDescent="0.25">
      <c r="A1020" t="s">
        <v>1114</v>
      </c>
      <c r="B1020" s="5">
        <v>46166</v>
      </c>
      <c r="C1020" t="s">
        <v>59</v>
      </c>
      <c r="D1020" t="s">
        <v>49</v>
      </c>
      <c r="E1020" t="s">
        <v>76</v>
      </c>
      <c r="F1020" t="s">
        <v>46</v>
      </c>
      <c r="G1020" t="s">
        <v>57</v>
      </c>
      <c r="H1020">
        <v>114</v>
      </c>
      <c r="I1020">
        <v>100</v>
      </c>
      <c r="J1020">
        <v>8</v>
      </c>
      <c r="K1020">
        <v>8.5</v>
      </c>
      <c r="L1020">
        <v>16884.75</v>
      </c>
      <c r="M1020">
        <v>3.03</v>
      </c>
      <c r="N1020">
        <v>72.72</v>
      </c>
      <c r="O1020">
        <v>171</v>
      </c>
      <c r="P1020" s="5">
        <v>46178</v>
      </c>
      <c r="Q1020" s="5">
        <v>46178</v>
      </c>
      <c r="R1020" t="s">
        <v>25</v>
      </c>
      <c r="S1020" t="s">
        <v>26</v>
      </c>
    </row>
    <row r="1021" spans="1:19" x14ac:dyDescent="0.25">
      <c r="A1021" t="s">
        <v>1115</v>
      </c>
      <c r="B1021" s="5">
        <v>46069</v>
      </c>
      <c r="C1021" t="s">
        <v>53</v>
      </c>
      <c r="D1021" t="s">
        <v>54</v>
      </c>
      <c r="E1021" t="s">
        <v>55</v>
      </c>
      <c r="F1021" t="s">
        <v>244</v>
      </c>
      <c r="G1021" t="s">
        <v>57</v>
      </c>
      <c r="H1021">
        <v>245</v>
      </c>
      <c r="I1021">
        <v>225</v>
      </c>
      <c r="J1021">
        <v>2</v>
      </c>
      <c r="K1021">
        <v>6.2</v>
      </c>
      <c r="L1021">
        <v>30858.95</v>
      </c>
      <c r="M1021">
        <v>7.98</v>
      </c>
      <c r="N1021">
        <v>207.48</v>
      </c>
      <c r="O1021">
        <v>252</v>
      </c>
      <c r="P1021" s="5">
        <v>46071</v>
      </c>
      <c r="Q1021" s="5">
        <v>46072</v>
      </c>
      <c r="R1021" t="s">
        <v>25</v>
      </c>
      <c r="S1021" t="s">
        <v>26</v>
      </c>
    </row>
    <row r="1022" spans="1:19" x14ac:dyDescent="0.25">
      <c r="A1022" t="s">
        <v>1116</v>
      </c>
      <c r="B1022" s="5">
        <v>46168</v>
      </c>
      <c r="C1022" t="s">
        <v>28</v>
      </c>
      <c r="D1022" t="s">
        <v>29</v>
      </c>
      <c r="E1022" t="s">
        <v>30</v>
      </c>
      <c r="F1022" t="s">
        <v>38</v>
      </c>
      <c r="G1022" t="s">
        <v>57</v>
      </c>
      <c r="H1022">
        <v>185</v>
      </c>
      <c r="I1022">
        <v>203</v>
      </c>
      <c r="J1022">
        <v>18</v>
      </c>
      <c r="K1022">
        <v>6.6</v>
      </c>
      <c r="L1022">
        <v>53571.79</v>
      </c>
      <c r="M1022">
        <v>6.5</v>
      </c>
      <c r="N1022">
        <v>143</v>
      </c>
      <c r="O1022">
        <v>205</v>
      </c>
      <c r="P1022" s="5">
        <v>46178</v>
      </c>
      <c r="Q1022" s="5">
        <v>46178</v>
      </c>
      <c r="R1022" t="s">
        <v>25</v>
      </c>
      <c r="S1022" t="s">
        <v>86</v>
      </c>
    </row>
    <row r="1023" spans="1:19" x14ac:dyDescent="0.25">
      <c r="A1023" t="s">
        <v>1117</v>
      </c>
      <c r="B1023" s="5">
        <v>46190</v>
      </c>
      <c r="C1023" t="s">
        <v>48</v>
      </c>
      <c r="D1023" t="s">
        <v>49</v>
      </c>
      <c r="E1023" t="s">
        <v>60</v>
      </c>
      <c r="F1023" t="s">
        <v>23</v>
      </c>
      <c r="G1023" t="s">
        <v>57</v>
      </c>
      <c r="H1023">
        <v>142</v>
      </c>
      <c r="I1023">
        <v>150</v>
      </c>
      <c r="J1023">
        <v>12</v>
      </c>
      <c r="K1023">
        <v>4.9000000000000004</v>
      </c>
      <c r="L1023">
        <v>31364.959999999999</v>
      </c>
      <c r="M1023">
        <v>3.66</v>
      </c>
      <c r="N1023">
        <v>65.88</v>
      </c>
      <c r="O1023">
        <v>227</v>
      </c>
      <c r="P1023" s="5">
        <v>46202</v>
      </c>
      <c r="Q1023" s="5">
        <v>46206</v>
      </c>
      <c r="R1023" t="s">
        <v>100</v>
      </c>
      <c r="S1023" t="s">
        <v>72</v>
      </c>
    </row>
    <row r="1024" spans="1:19" x14ac:dyDescent="0.25">
      <c r="A1024" t="s">
        <v>1118</v>
      </c>
      <c r="B1024" s="5">
        <v>46097</v>
      </c>
      <c r="C1024" t="s">
        <v>28</v>
      </c>
      <c r="D1024" t="s">
        <v>29</v>
      </c>
      <c r="E1024" t="s">
        <v>63</v>
      </c>
      <c r="F1024" t="s">
        <v>244</v>
      </c>
      <c r="G1024" t="s">
        <v>24</v>
      </c>
      <c r="H1024">
        <v>226</v>
      </c>
      <c r="I1024">
        <v>195</v>
      </c>
      <c r="J1024">
        <v>16</v>
      </c>
      <c r="K1024">
        <v>5.2</v>
      </c>
      <c r="L1024">
        <v>51821.73</v>
      </c>
      <c r="M1024">
        <v>6.86</v>
      </c>
      <c r="N1024">
        <v>123.48</v>
      </c>
      <c r="O1024">
        <v>232</v>
      </c>
      <c r="P1024" s="5">
        <v>46106</v>
      </c>
      <c r="Q1024" s="5">
        <v>46110</v>
      </c>
      <c r="R1024" t="s">
        <v>25</v>
      </c>
      <c r="S1024" t="s">
        <v>51</v>
      </c>
    </row>
    <row r="1025" spans="1:19" x14ac:dyDescent="0.25">
      <c r="A1025" t="s">
        <v>1119</v>
      </c>
      <c r="B1025" s="5">
        <v>46135</v>
      </c>
      <c r="C1025" t="s">
        <v>20</v>
      </c>
      <c r="D1025" t="s">
        <v>21</v>
      </c>
      <c r="E1025" t="s">
        <v>22</v>
      </c>
      <c r="F1025" t="s">
        <v>137</v>
      </c>
      <c r="G1025" t="s">
        <v>24</v>
      </c>
      <c r="H1025">
        <v>94</v>
      </c>
      <c r="I1025">
        <v>81</v>
      </c>
      <c r="J1025">
        <v>5</v>
      </c>
      <c r="K1025">
        <v>5.4</v>
      </c>
      <c r="L1025">
        <v>31838.39</v>
      </c>
      <c r="M1025">
        <v>2.86</v>
      </c>
      <c r="N1025">
        <v>57.2</v>
      </c>
      <c r="O1025">
        <v>179</v>
      </c>
      <c r="P1025" s="5">
        <v>46142</v>
      </c>
      <c r="Q1025" s="5">
        <v>46142</v>
      </c>
      <c r="R1025" t="s">
        <v>39</v>
      </c>
      <c r="S1025" t="s">
        <v>51</v>
      </c>
    </row>
    <row r="1026" spans="1:19" x14ac:dyDescent="0.25">
      <c r="A1026" t="s">
        <v>1120</v>
      </c>
      <c r="B1026" s="5">
        <v>46056</v>
      </c>
      <c r="C1026" t="s">
        <v>43</v>
      </c>
      <c r="D1026" t="s">
        <v>44</v>
      </c>
      <c r="E1026" t="s">
        <v>93</v>
      </c>
      <c r="F1026" t="s">
        <v>38</v>
      </c>
      <c r="G1026" t="s">
        <v>57</v>
      </c>
      <c r="H1026">
        <v>287</v>
      </c>
      <c r="I1026">
        <v>289</v>
      </c>
      <c r="J1026">
        <v>26</v>
      </c>
      <c r="K1026">
        <v>1.2</v>
      </c>
      <c r="L1026">
        <v>34273.300000000003</v>
      </c>
      <c r="M1026">
        <v>10.24</v>
      </c>
      <c r="N1026">
        <v>184.32</v>
      </c>
      <c r="O1026">
        <v>387</v>
      </c>
      <c r="P1026" s="5">
        <v>46061</v>
      </c>
      <c r="Q1026" s="5">
        <v>46061</v>
      </c>
      <c r="R1026" t="s">
        <v>25</v>
      </c>
      <c r="S1026" t="s">
        <v>86</v>
      </c>
    </row>
    <row r="1027" spans="1:19" x14ac:dyDescent="0.25">
      <c r="A1027" t="s">
        <v>1121</v>
      </c>
      <c r="B1027" s="5">
        <v>46164</v>
      </c>
      <c r="C1027" t="s">
        <v>53</v>
      </c>
      <c r="D1027" t="s">
        <v>54</v>
      </c>
      <c r="E1027" t="s">
        <v>131</v>
      </c>
      <c r="F1027" t="s">
        <v>110</v>
      </c>
      <c r="G1027" t="s">
        <v>24</v>
      </c>
      <c r="H1027">
        <v>212</v>
      </c>
      <c r="I1027">
        <v>198</v>
      </c>
      <c r="J1027">
        <v>16</v>
      </c>
      <c r="K1027">
        <v>3.9</v>
      </c>
      <c r="L1027">
        <v>31719.9</v>
      </c>
      <c r="M1027">
        <v>7</v>
      </c>
      <c r="N1027">
        <v>154</v>
      </c>
      <c r="O1027">
        <v>303</v>
      </c>
      <c r="P1027" s="5">
        <v>46171</v>
      </c>
      <c r="Q1027" s="5">
        <v>46171</v>
      </c>
      <c r="R1027" t="s">
        <v>25</v>
      </c>
      <c r="S1027" t="s">
        <v>72</v>
      </c>
    </row>
    <row r="1028" spans="1:19" x14ac:dyDescent="0.25">
      <c r="A1028" t="s">
        <v>1122</v>
      </c>
      <c r="B1028" s="5">
        <v>46038</v>
      </c>
      <c r="C1028" t="s">
        <v>80</v>
      </c>
      <c r="D1028" t="s">
        <v>21</v>
      </c>
      <c r="E1028" t="s">
        <v>22</v>
      </c>
      <c r="F1028" t="s">
        <v>91</v>
      </c>
      <c r="G1028" t="s">
        <v>57</v>
      </c>
      <c r="H1028">
        <v>84</v>
      </c>
      <c r="I1028">
        <v>70</v>
      </c>
      <c r="J1028">
        <v>2</v>
      </c>
      <c r="K1028">
        <v>8.3000000000000007</v>
      </c>
      <c r="L1028">
        <v>21301.32</v>
      </c>
      <c r="M1028">
        <v>2.7</v>
      </c>
      <c r="N1028">
        <v>70.2</v>
      </c>
      <c r="O1028">
        <v>132</v>
      </c>
      <c r="P1028" s="5">
        <v>46041</v>
      </c>
      <c r="Q1028" s="5">
        <v>46045</v>
      </c>
      <c r="R1028" t="s">
        <v>25</v>
      </c>
      <c r="S1028" t="s">
        <v>51</v>
      </c>
    </row>
    <row r="1029" spans="1:19" x14ac:dyDescent="0.25">
      <c r="A1029" t="s">
        <v>1123</v>
      </c>
      <c r="B1029" s="5">
        <v>46169</v>
      </c>
      <c r="C1029" t="s">
        <v>20</v>
      </c>
      <c r="D1029" t="s">
        <v>21</v>
      </c>
      <c r="E1029" t="s">
        <v>22</v>
      </c>
      <c r="F1029" t="s">
        <v>122</v>
      </c>
      <c r="G1029" t="s">
        <v>24</v>
      </c>
      <c r="H1029">
        <v>279</v>
      </c>
      <c r="I1029">
        <v>218</v>
      </c>
      <c r="J1029">
        <v>12</v>
      </c>
      <c r="K1029">
        <v>7</v>
      </c>
      <c r="L1029">
        <v>78216.899999999994</v>
      </c>
      <c r="M1029">
        <v>5.75</v>
      </c>
      <c r="N1029">
        <v>103.5</v>
      </c>
      <c r="O1029">
        <v>262</v>
      </c>
      <c r="P1029" s="5">
        <v>46175</v>
      </c>
      <c r="Q1029" s="5">
        <v>46175</v>
      </c>
      <c r="R1029" t="s">
        <v>100</v>
      </c>
      <c r="S1029" t="s">
        <v>26</v>
      </c>
    </row>
    <row r="1030" spans="1:19" x14ac:dyDescent="0.25">
      <c r="A1030" t="s">
        <v>1124</v>
      </c>
      <c r="B1030" s="5">
        <v>46072</v>
      </c>
      <c r="C1030" t="s">
        <v>80</v>
      </c>
      <c r="D1030" t="s">
        <v>21</v>
      </c>
      <c r="E1030" t="s">
        <v>66</v>
      </c>
      <c r="F1030" t="s">
        <v>110</v>
      </c>
      <c r="G1030" t="s">
        <v>57</v>
      </c>
      <c r="H1030">
        <v>290</v>
      </c>
      <c r="I1030">
        <v>233</v>
      </c>
      <c r="J1030">
        <v>1</v>
      </c>
      <c r="K1030">
        <v>3.7</v>
      </c>
      <c r="L1030">
        <v>56706.44</v>
      </c>
      <c r="M1030">
        <v>7.51</v>
      </c>
      <c r="N1030">
        <v>135.18</v>
      </c>
      <c r="O1030">
        <v>279</v>
      </c>
      <c r="P1030" s="5">
        <v>46076</v>
      </c>
      <c r="Q1030" s="5">
        <v>46078</v>
      </c>
      <c r="R1030" t="s">
        <v>25</v>
      </c>
      <c r="S1030" t="s">
        <v>51</v>
      </c>
    </row>
    <row r="1031" spans="1:19" x14ac:dyDescent="0.25">
      <c r="A1031" t="s">
        <v>1125</v>
      </c>
      <c r="B1031" s="5">
        <v>46052</v>
      </c>
      <c r="C1031" t="s">
        <v>28</v>
      </c>
      <c r="D1031" t="s">
        <v>29</v>
      </c>
      <c r="E1031" t="s">
        <v>63</v>
      </c>
      <c r="F1031" t="s">
        <v>46</v>
      </c>
      <c r="G1031" t="s">
        <v>57</v>
      </c>
      <c r="H1031">
        <v>110</v>
      </c>
      <c r="I1031">
        <v>120</v>
      </c>
      <c r="J1031">
        <v>10</v>
      </c>
      <c r="K1031">
        <v>8.6</v>
      </c>
      <c r="L1031">
        <v>28339.79</v>
      </c>
      <c r="M1031">
        <v>2.56</v>
      </c>
      <c r="N1031">
        <v>46.08</v>
      </c>
      <c r="O1031">
        <v>92</v>
      </c>
      <c r="P1031" s="5">
        <v>46055</v>
      </c>
      <c r="Q1031" s="5">
        <v>46054</v>
      </c>
      <c r="R1031" t="s">
        <v>100</v>
      </c>
      <c r="S1031" t="s">
        <v>51</v>
      </c>
    </row>
    <row r="1032" spans="1:19" x14ac:dyDescent="0.25">
      <c r="A1032" t="s">
        <v>1126</v>
      </c>
      <c r="B1032" s="5">
        <v>46069</v>
      </c>
      <c r="C1032" t="s">
        <v>80</v>
      </c>
      <c r="D1032" t="s">
        <v>21</v>
      </c>
      <c r="E1032" t="s">
        <v>22</v>
      </c>
      <c r="F1032" t="s">
        <v>125</v>
      </c>
      <c r="G1032" t="s">
        <v>24</v>
      </c>
      <c r="H1032">
        <v>238</v>
      </c>
      <c r="I1032">
        <v>245</v>
      </c>
      <c r="J1032">
        <v>11</v>
      </c>
      <c r="K1032">
        <v>6.5</v>
      </c>
      <c r="L1032">
        <v>77022.75</v>
      </c>
      <c r="M1032">
        <v>8.8800000000000008</v>
      </c>
      <c r="N1032">
        <v>177.6</v>
      </c>
      <c r="O1032">
        <v>248</v>
      </c>
      <c r="P1032" s="5">
        <v>46080</v>
      </c>
      <c r="Q1032" s="5">
        <v>46080</v>
      </c>
      <c r="R1032" t="s">
        <v>25</v>
      </c>
      <c r="S1032" t="s">
        <v>51</v>
      </c>
    </row>
    <row r="1033" spans="1:19" x14ac:dyDescent="0.25">
      <c r="A1033" t="s">
        <v>1127</v>
      </c>
      <c r="B1033" s="5">
        <v>46133</v>
      </c>
      <c r="C1033" t="s">
        <v>35</v>
      </c>
      <c r="D1033" t="s">
        <v>36</v>
      </c>
      <c r="E1033" t="s">
        <v>69</v>
      </c>
      <c r="F1033" t="s">
        <v>88</v>
      </c>
      <c r="G1033" t="s">
        <v>32</v>
      </c>
      <c r="H1033">
        <v>133</v>
      </c>
      <c r="I1033">
        <v>126</v>
      </c>
      <c r="J1033">
        <v>8</v>
      </c>
      <c r="K1033">
        <v>4.0999999999999996</v>
      </c>
      <c r="L1033">
        <v>14273.37</v>
      </c>
      <c r="M1033">
        <v>4.62</v>
      </c>
      <c r="N1033">
        <v>83.16</v>
      </c>
      <c r="O1033">
        <v>131</v>
      </c>
      <c r="P1033" s="5">
        <v>46139</v>
      </c>
      <c r="Q1033" s="5">
        <v>46139</v>
      </c>
      <c r="R1033" t="s">
        <v>25</v>
      </c>
      <c r="S1033" t="s">
        <v>33</v>
      </c>
    </row>
    <row r="1034" spans="1:19" x14ac:dyDescent="0.25">
      <c r="A1034" t="s">
        <v>1128</v>
      </c>
      <c r="B1034" s="5">
        <v>46165</v>
      </c>
      <c r="C1034" t="s">
        <v>35</v>
      </c>
      <c r="D1034" t="s">
        <v>36</v>
      </c>
      <c r="E1034" t="s">
        <v>37</v>
      </c>
      <c r="F1034" t="s">
        <v>91</v>
      </c>
      <c r="G1034" t="s">
        <v>24</v>
      </c>
      <c r="H1034">
        <v>316</v>
      </c>
      <c r="I1034">
        <v>273</v>
      </c>
      <c r="J1034">
        <v>1</v>
      </c>
      <c r="K1034">
        <v>6</v>
      </c>
      <c r="L1034">
        <v>26735.03</v>
      </c>
      <c r="M1034">
        <v>6.79</v>
      </c>
      <c r="N1034">
        <v>135.80000000000001</v>
      </c>
      <c r="O1034">
        <v>280</v>
      </c>
      <c r="P1034" s="5">
        <v>46176</v>
      </c>
      <c r="Q1034" s="5">
        <v>46176</v>
      </c>
      <c r="R1034" t="s">
        <v>25</v>
      </c>
      <c r="S1034" t="s">
        <v>72</v>
      </c>
    </row>
    <row r="1035" spans="1:19" x14ac:dyDescent="0.25">
      <c r="A1035" t="s">
        <v>1129</v>
      </c>
      <c r="B1035" s="5">
        <v>46039</v>
      </c>
      <c r="C1035" t="s">
        <v>80</v>
      </c>
      <c r="D1035" t="s">
        <v>21</v>
      </c>
      <c r="E1035" t="s">
        <v>22</v>
      </c>
      <c r="F1035" t="s">
        <v>122</v>
      </c>
      <c r="G1035" t="s">
        <v>57</v>
      </c>
      <c r="H1035">
        <v>263</v>
      </c>
      <c r="I1035">
        <v>264</v>
      </c>
      <c r="J1035">
        <v>15</v>
      </c>
      <c r="K1035">
        <v>1.2</v>
      </c>
      <c r="L1035">
        <v>75270.94</v>
      </c>
      <c r="M1035">
        <v>4.8600000000000003</v>
      </c>
      <c r="N1035">
        <v>87.48</v>
      </c>
      <c r="O1035">
        <v>281</v>
      </c>
      <c r="P1035" s="5">
        <v>46048</v>
      </c>
      <c r="Q1035" s="5">
        <v>46047</v>
      </c>
      <c r="R1035" t="s">
        <v>25</v>
      </c>
      <c r="S1035" t="s">
        <v>72</v>
      </c>
    </row>
    <row r="1036" spans="1:19" x14ac:dyDescent="0.25">
      <c r="A1036" t="s">
        <v>1130</v>
      </c>
      <c r="B1036" s="5">
        <v>46114</v>
      </c>
      <c r="C1036" t="s">
        <v>48</v>
      </c>
      <c r="D1036" t="s">
        <v>49</v>
      </c>
      <c r="E1036" t="s">
        <v>60</v>
      </c>
      <c r="F1036" t="s">
        <v>77</v>
      </c>
      <c r="G1036" t="s">
        <v>57</v>
      </c>
      <c r="H1036">
        <v>173</v>
      </c>
      <c r="I1036">
        <v>153</v>
      </c>
      <c r="J1036">
        <v>11</v>
      </c>
      <c r="K1036">
        <v>1.2</v>
      </c>
      <c r="L1036">
        <v>32202.16</v>
      </c>
      <c r="M1036">
        <v>3.03</v>
      </c>
      <c r="N1036">
        <v>60.6</v>
      </c>
      <c r="O1036">
        <v>139</v>
      </c>
      <c r="P1036" s="5">
        <v>46118</v>
      </c>
      <c r="Q1036" s="5">
        <v>46122</v>
      </c>
      <c r="R1036" t="s">
        <v>25</v>
      </c>
      <c r="S1036" t="s">
        <v>86</v>
      </c>
    </row>
    <row r="1037" spans="1:19" x14ac:dyDescent="0.25">
      <c r="A1037" t="s">
        <v>1131</v>
      </c>
      <c r="B1037" s="5">
        <v>46180</v>
      </c>
      <c r="C1037" t="s">
        <v>43</v>
      </c>
      <c r="D1037" t="s">
        <v>44</v>
      </c>
      <c r="E1037" t="s">
        <v>161</v>
      </c>
      <c r="F1037" t="s">
        <v>23</v>
      </c>
      <c r="G1037" t="s">
        <v>57</v>
      </c>
      <c r="H1037">
        <v>139</v>
      </c>
      <c r="I1037">
        <v>133</v>
      </c>
      <c r="J1037">
        <v>3</v>
      </c>
      <c r="K1037">
        <v>1.5</v>
      </c>
      <c r="L1037">
        <v>16047.73</v>
      </c>
      <c r="M1037">
        <v>4.7</v>
      </c>
      <c r="N1037">
        <v>84.6</v>
      </c>
      <c r="O1037">
        <v>209</v>
      </c>
      <c r="P1037" s="5">
        <v>46188</v>
      </c>
      <c r="Q1037" s="5">
        <v>46186</v>
      </c>
      <c r="R1037" t="s">
        <v>100</v>
      </c>
      <c r="S1037" t="s">
        <v>51</v>
      </c>
    </row>
    <row r="1038" spans="1:19" x14ac:dyDescent="0.25">
      <c r="A1038" t="s">
        <v>1132</v>
      </c>
      <c r="B1038" s="5">
        <v>46095</v>
      </c>
      <c r="C1038" t="s">
        <v>20</v>
      </c>
      <c r="D1038" t="s">
        <v>21</v>
      </c>
      <c r="E1038" t="s">
        <v>90</v>
      </c>
      <c r="F1038" t="s">
        <v>135</v>
      </c>
      <c r="G1038" t="s">
        <v>24</v>
      </c>
      <c r="H1038">
        <v>161</v>
      </c>
      <c r="I1038">
        <v>133</v>
      </c>
      <c r="J1038">
        <v>11</v>
      </c>
      <c r="K1038">
        <v>7.4</v>
      </c>
      <c r="L1038">
        <v>47678.75</v>
      </c>
      <c r="M1038">
        <v>3.1</v>
      </c>
      <c r="N1038">
        <v>68.2</v>
      </c>
      <c r="O1038">
        <v>129</v>
      </c>
      <c r="P1038" s="5">
        <v>46100</v>
      </c>
      <c r="Q1038" s="5">
        <v>46098</v>
      </c>
      <c r="R1038" t="s">
        <v>25</v>
      </c>
      <c r="S1038" t="s">
        <v>86</v>
      </c>
    </row>
    <row r="1039" spans="1:19" x14ac:dyDescent="0.25">
      <c r="A1039" t="s">
        <v>1133</v>
      </c>
      <c r="B1039" s="5">
        <v>46126</v>
      </c>
      <c r="C1039" t="s">
        <v>53</v>
      </c>
      <c r="D1039" t="s">
        <v>54</v>
      </c>
      <c r="E1039" t="s">
        <v>131</v>
      </c>
      <c r="F1039" t="s">
        <v>23</v>
      </c>
      <c r="G1039" t="s">
        <v>32</v>
      </c>
      <c r="H1039">
        <v>174</v>
      </c>
      <c r="I1039">
        <v>156</v>
      </c>
      <c r="J1039">
        <v>11</v>
      </c>
      <c r="K1039">
        <v>5.6</v>
      </c>
      <c r="L1039">
        <v>21765.29</v>
      </c>
      <c r="M1039">
        <v>5.72</v>
      </c>
      <c r="N1039">
        <v>125.84</v>
      </c>
      <c r="O1039">
        <v>229</v>
      </c>
      <c r="P1039" s="5">
        <v>46132</v>
      </c>
      <c r="Q1039" s="5">
        <v>46134</v>
      </c>
      <c r="R1039" t="s">
        <v>25</v>
      </c>
      <c r="S1039" t="s">
        <v>72</v>
      </c>
    </row>
    <row r="1040" spans="1:19" x14ac:dyDescent="0.25">
      <c r="A1040" t="s">
        <v>1134</v>
      </c>
      <c r="B1040" s="5">
        <v>46050</v>
      </c>
      <c r="C1040" t="s">
        <v>43</v>
      </c>
      <c r="D1040" t="s">
        <v>44</v>
      </c>
      <c r="E1040" t="s">
        <v>161</v>
      </c>
      <c r="F1040" t="s">
        <v>23</v>
      </c>
      <c r="G1040" t="s">
        <v>57</v>
      </c>
      <c r="H1040">
        <v>198</v>
      </c>
      <c r="I1040">
        <v>179</v>
      </c>
      <c r="J1040">
        <v>2</v>
      </c>
      <c r="K1040">
        <v>5</v>
      </c>
      <c r="L1040">
        <v>24901.15</v>
      </c>
      <c r="M1040">
        <v>5.43</v>
      </c>
      <c r="N1040">
        <v>97.74</v>
      </c>
      <c r="O1040">
        <v>211</v>
      </c>
      <c r="P1040" s="5">
        <v>46052</v>
      </c>
      <c r="Q1040" s="5">
        <v>46054</v>
      </c>
      <c r="R1040" t="s">
        <v>39</v>
      </c>
      <c r="S1040" t="s">
        <v>72</v>
      </c>
    </row>
    <row r="1041" spans="1:19" x14ac:dyDescent="0.25">
      <c r="A1041" t="s">
        <v>1135</v>
      </c>
      <c r="B1041" s="5">
        <v>46125</v>
      </c>
      <c r="C1041" t="s">
        <v>59</v>
      </c>
      <c r="D1041" t="s">
        <v>49</v>
      </c>
      <c r="E1041" t="s">
        <v>50</v>
      </c>
      <c r="F1041" t="s">
        <v>96</v>
      </c>
      <c r="G1041" t="s">
        <v>24</v>
      </c>
      <c r="H1041">
        <v>205</v>
      </c>
      <c r="I1041">
        <v>161</v>
      </c>
      <c r="J1041">
        <v>8</v>
      </c>
      <c r="K1041">
        <v>4.9000000000000004</v>
      </c>
      <c r="L1041">
        <v>30650.33</v>
      </c>
      <c r="M1041">
        <v>5.49</v>
      </c>
      <c r="N1041">
        <v>131.76</v>
      </c>
      <c r="O1041">
        <v>192</v>
      </c>
      <c r="P1041" s="5">
        <v>46129</v>
      </c>
      <c r="Q1041" s="5">
        <v>46127</v>
      </c>
      <c r="R1041" t="s">
        <v>25</v>
      </c>
      <c r="S1041" t="s">
        <v>33</v>
      </c>
    </row>
    <row r="1042" spans="1:19" x14ac:dyDescent="0.25">
      <c r="A1042" t="s">
        <v>1136</v>
      </c>
      <c r="B1042" s="5">
        <v>46141</v>
      </c>
      <c r="C1042" t="s">
        <v>20</v>
      </c>
      <c r="D1042" t="s">
        <v>21</v>
      </c>
      <c r="E1042" t="s">
        <v>22</v>
      </c>
      <c r="F1042" t="s">
        <v>125</v>
      </c>
      <c r="G1042" t="s">
        <v>57</v>
      </c>
      <c r="H1042">
        <v>210</v>
      </c>
      <c r="I1042">
        <v>155</v>
      </c>
      <c r="J1042">
        <v>7</v>
      </c>
      <c r="K1042">
        <v>2.2000000000000002</v>
      </c>
      <c r="L1042">
        <v>45919.65</v>
      </c>
      <c r="M1042">
        <v>3.09</v>
      </c>
      <c r="N1042">
        <v>55.62</v>
      </c>
      <c r="O1042">
        <v>243</v>
      </c>
      <c r="P1042" s="5">
        <v>46148</v>
      </c>
      <c r="Q1042" s="5">
        <v>46148</v>
      </c>
      <c r="R1042" t="s">
        <v>100</v>
      </c>
      <c r="S1042" t="s">
        <v>72</v>
      </c>
    </row>
    <row r="1043" spans="1:19" x14ac:dyDescent="0.25">
      <c r="A1043" t="s">
        <v>1137</v>
      </c>
      <c r="B1043" s="5">
        <v>46067</v>
      </c>
      <c r="C1043" t="s">
        <v>20</v>
      </c>
      <c r="D1043" t="s">
        <v>21</v>
      </c>
      <c r="E1043" t="s">
        <v>66</v>
      </c>
      <c r="F1043" t="s">
        <v>135</v>
      </c>
      <c r="G1043" t="s">
        <v>57</v>
      </c>
      <c r="H1043">
        <v>130</v>
      </c>
      <c r="I1043">
        <v>94</v>
      </c>
      <c r="J1043">
        <v>5</v>
      </c>
      <c r="K1043">
        <v>1.6</v>
      </c>
      <c r="L1043">
        <v>31021.02</v>
      </c>
      <c r="M1043">
        <v>2.4900000000000002</v>
      </c>
      <c r="N1043">
        <v>59.76</v>
      </c>
      <c r="O1043">
        <v>199</v>
      </c>
      <c r="P1043" s="5">
        <v>46078</v>
      </c>
      <c r="Q1043" s="5">
        <v>46078</v>
      </c>
      <c r="R1043" t="s">
        <v>100</v>
      </c>
      <c r="S1043" t="s">
        <v>33</v>
      </c>
    </row>
    <row r="1044" spans="1:19" x14ac:dyDescent="0.25">
      <c r="A1044" t="s">
        <v>1138</v>
      </c>
      <c r="B1044" s="5">
        <v>46166</v>
      </c>
      <c r="C1044" t="s">
        <v>80</v>
      </c>
      <c r="D1044" t="s">
        <v>320</v>
      </c>
      <c r="E1044" t="s">
        <v>90</v>
      </c>
      <c r="F1044" t="s">
        <v>61</v>
      </c>
      <c r="G1044" t="s">
        <v>57</v>
      </c>
      <c r="H1044">
        <v>130</v>
      </c>
      <c r="I1044">
        <v>149</v>
      </c>
      <c r="J1044">
        <v>11</v>
      </c>
      <c r="K1044">
        <v>7</v>
      </c>
      <c r="L1044">
        <v>37474.339999999997</v>
      </c>
      <c r="M1044">
        <v>5.58</v>
      </c>
      <c r="N1044">
        <v>133.91999999999999</v>
      </c>
      <c r="O1044">
        <v>155</v>
      </c>
      <c r="P1044" s="5">
        <v>46174</v>
      </c>
      <c r="Q1044" s="5">
        <v>46176</v>
      </c>
      <c r="R1044" t="s">
        <v>100</v>
      </c>
      <c r="S1044" t="s">
        <v>33</v>
      </c>
    </row>
    <row r="1045" spans="1:19" x14ac:dyDescent="0.25">
      <c r="A1045" t="s">
        <v>1139</v>
      </c>
      <c r="B1045" s="5">
        <v>46113</v>
      </c>
      <c r="C1045" t="s">
        <v>20</v>
      </c>
      <c r="D1045" t="s">
        <v>21</v>
      </c>
      <c r="E1045" t="s">
        <v>66</v>
      </c>
      <c r="F1045" t="s">
        <v>135</v>
      </c>
      <c r="G1045" t="s">
        <v>57</v>
      </c>
      <c r="H1045">
        <v>141</v>
      </c>
      <c r="I1045">
        <v>151</v>
      </c>
      <c r="J1045">
        <v>10</v>
      </c>
      <c r="K1045">
        <v>4.3</v>
      </c>
      <c r="L1045">
        <v>45887.49</v>
      </c>
      <c r="M1045">
        <v>4.18</v>
      </c>
      <c r="N1045">
        <v>100.32</v>
      </c>
      <c r="O1045">
        <v>126</v>
      </c>
      <c r="P1045" s="5">
        <v>46119</v>
      </c>
      <c r="Q1045" s="5">
        <v>46120</v>
      </c>
      <c r="R1045" t="s">
        <v>39</v>
      </c>
      <c r="S1045" t="s">
        <v>33</v>
      </c>
    </row>
    <row r="1046" spans="1:19" x14ac:dyDescent="0.25">
      <c r="A1046" t="s">
        <v>1140</v>
      </c>
      <c r="B1046" s="5">
        <v>46035</v>
      </c>
      <c r="C1046" t="s">
        <v>53</v>
      </c>
      <c r="D1046" t="s">
        <v>54</v>
      </c>
      <c r="E1046" t="s">
        <v>131</v>
      </c>
      <c r="F1046" t="s">
        <v>135</v>
      </c>
      <c r="G1046" t="s">
        <v>32</v>
      </c>
      <c r="H1046">
        <v>250</v>
      </c>
      <c r="I1046">
        <v>230</v>
      </c>
      <c r="J1046">
        <v>20</v>
      </c>
      <c r="K1046">
        <v>0.3</v>
      </c>
      <c r="L1046">
        <v>33532.339999999997</v>
      </c>
      <c r="M1046">
        <v>5.44</v>
      </c>
      <c r="N1046">
        <v>141.44</v>
      </c>
      <c r="O1046">
        <v>227</v>
      </c>
      <c r="P1046" s="5">
        <v>46046</v>
      </c>
      <c r="Q1046" s="5">
        <v>46046</v>
      </c>
      <c r="R1046" t="s">
        <v>39</v>
      </c>
      <c r="S1046" t="s">
        <v>51</v>
      </c>
    </row>
    <row r="1047" spans="1:19" x14ac:dyDescent="0.25">
      <c r="A1047" t="s">
        <v>1141</v>
      </c>
      <c r="B1047" s="5">
        <v>46193</v>
      </c>
      <c r="C1047" t="s">
        <v>20</v>
      </c>
      <c r="D1047" t="s">
        <v>21</v>
      </c>
      <c r="E1047" t="s">
        <v>90</v>
      </c>
      <c r="F1047" t="s">
        <v>110</v>
      </c>
      <c r="G1047" t="s">
        <v>57</v>
      </c>
      <c r="H1047">
        <v>280</v>
      </c>
      <c r="I1047">
        <v>222</v>
      </c>
      <c r="J1047">
        <v>6</v>
      </c>
      <c r="K1047">
        <v>5.5</v>
      </c>
      <c r="L1047">
        <v>61372.94</v>
      </c>
      <c r="M1047">
        <v>7.44</v>
      </c>
      <c r="N1047">
        <v>193.44</v>
      </c>
      <c r="O1047">
        <v>367</v>
      </c>
      <c r="P1047" s="5">
        <v>46201</v>
      </c>
      <c r="Q1047" s="5">
        <v>46205</v>
      </c>
      <c r="R1047" t="s">
        <v>25</v>
      </c>
      <c r="S1047" t="s">
        <v>51</v>
      </c>
    </row>
    <row r="1048" spans="1:19" x14ac:dyDescent="0.25">
      <c r="A1048" t="s">
        <v>1142</v>
      </c>
      <c r="B1048" s="5">
        <v>46141</v>
      </c>
      <c r="C1048" t="s">
        <v>53</v>
      </c>
      <c r="D1048" t="s">
        <v>54</v>
      </c>
      <c r="E1048" t="s">
        <v>55</v>
      </c>
      <c r="F1048" t="s">
        <v>119</v>
      </c>
      <c r="G1048" t="s">
        <v>32</v>
      </c>
      <c r="H1048">
        <v>288</v>
      </c>
      <c r="I1048">
        <v>258</v>
      </c>
      <c r="J1048">
        <v>15</v>
      </c>
      <c r="K1048">
        <v>6.7</v>
      </c>
      <c r="L1048">
        <v>35031.11</v>
      </c>
      <c r="M1048">
        <v>10.56</v>
      </c>
      <c r="N1048">
        <v>211.2</v>
      </c>
      <c r="O1048">
        <v>303</v>
      </c>
      <c r="P1048" s="5">
        <v>46150</v>
      </c>
      <c r="Q1048" s="5">
        <v>46150</v>
      </c>
      <c r="R1048" t="s">
        <v>25</v>
      </c>
      <c r="S1048" t="s">
        <v>26</v>
      </c>
    </row>
    <row r="1049" spans="1:19" x14ac:dyDescent="0.25">
      <c r="A1049" t="s">
        <v>1143</v>
      </c>
      <c r="B1049" s="5">
        <v>46091</v>
      </c>
      <c r="C1049" t="s">
        <v>28</v>
      </c>
      <c r="D1049" t="s">
        <v>29</v>
      </c>
      <c r="E1049" t="s">
        <v>63</v>
      </c>
      <c r="F1049" t="s">
        <v>74</v>
      </c>
      <c r="G1049" t="s">
        <v>57</v>
      </c>
      <c r="H1049">
        <v>292</v>
      </c>
      <c r="I1049">
        <v>232</v>
      </c>
      <c r="J1049">
        <v>7</v>
      </c>
      <c r="K1049">
        <v>1.6</v>
      </c>
      <c r="L1049">
        <v>64756.49</v>
      </c>
      <c r="M1049">
        <v>7.91</v>
      </c>
      <c r="N1049">
        <v>205.66</v>
      </c>
      <c r="O1049">
        <v>326</v>
      </c>
      <c r="P1049" s="5">
        <v>46102</v>
      </c>
      <c r="Q1049" s="5">
        <v>46101</v>
      </c>
      <c r="R1049" t="s">
        <v>39</v>
      </c>
      <c r="S1049" t="s">
        <v>33</v>
      </c>
    </row>
    <row r="1050" spans="1:19" x14ac:dyDescent="0.25">
      <c r="A1050" t="s">
        <v>1144</v>
      </c>
      <c r="B1050" s="5">
        <v>46090</v>
      </c>
      <c r="C1050" t="s">
        <v>43</v>
      </c>
      <c r="D1050" t="s">
        <v>44</v>
      </c>
      <c r="E1050" t="s">
        <v>161</v>
      </c>
      <c r="F1050" t="s">
        <v>64</v>
      </c>
      <c r="G1050" t="s">
        <v>57</v>
      </c>
      <c r="H1050">
        <v>297</v>
      </c>
      <c r="I1050">
        <v>340</v>
      </c>
      <c r="J1050">
        <v>21</v>
      </c>
      <c r="K1050">
        <v>0.2</v>
      </c>
      <c r="L1050">
        <v>39635.4</v>
      </c>
      <c r="M1050">
        <v>12.81</v>
      </c>
      <c r="N1050">
        <v>333.06</v>
      </c>
      <c r="O1050">
        <v>300</v>
      </c>
      <c r="P1050" s="5">
        <v>46093</v>
      </c>
      <c r="Q1050" s="5">
        <v>46092</v>
      </c>
      <c r="R1050" t="s">
        <v>100</v>
      </c>
      <c r="S1050" t="s">
        <v>33</v>
      </c>
    </row>
    <row r="1051" spans="1:19" x14ac:dyDescent="0.25">
      <c r="A1051" t="s">
        <v>1145</v>
      </c>
      <c r="B1051" s="5">
        <v>46184</v>
      </c>
      <c r="C1051" t="s">
        <v>59</v>
      </c>
      <c r="D1051" t="s">
        <v>49</v>
      </c>
      <c r="E1051" t="s">
        <v>50</v>
      </c>
      <c r="F1051" t="s">
        <v>38</v>
      </c>
      <c r="G1051" t="s">
        <v>57</v>
      </c>
      <c r="H1051">
        <v>297</v>
      </c>
      <c r="I1051">
        <v>332</v>
      </c>
      <c r="J1051">
        <v>29</v>
      </c>
      <c r="K1051">
        <v>8.5</v>
      </c>
      <c r="L1051">
        <v>59667.41</v>
      </c>
      <c r="M1051">
        <v>11.43</v>
      </c>
      <c r="N1051">
        <v>297.18</v>
      </c>
      <c r="O1051">
        <v>388</v>
      </c>
      <c r="P1051" s="5">
        <v>46195</v>
      </c>
      <c r="Q1051" s="5">
        <v>46199</v>
      </c>
      <c r="R1051" t="s">
        <v>25</v>
      </c>
      <c r="S1051" t="s">
        <v>33</v>
      </c>
    </row>
    <row r="1052" spans="1:19" x14ac:dyDescent="0.25">
      <c r="A1052" t="s">
        <v>1146</v>
      </c>
      <c r="B1052" s="5">
        <v>46136</v>
      </c>
      <c r="C1052" t="s">
        <v>80</v>
      </c>
      <c r="D1052" t="s">
        <v>21</v>
      </c>
      <c r="E1052" t="s">
        <v>66</v>
      </c>
      <c r="F1052" t="s">
        <v>137</v>
      </c>
      <c r="G1052" t="s">
        <v>57</v>
      </c>
      <c r="H1052">
        <v>294</v>
      </c>
      <c r="I1052">
        <v>279</v>
      </c>
      <c r="J1052">
        <v>17</v>
      </c>
      <c r="K1052">
        <v>8.6999999999999993</v>
      </c>
      <c r="L1052">
        <v>86057.93</v>
      </c>
      <c r="M1052">
        <v>10.48</v>
      </c>
      <c r="N1052">
        <v>188.64</v>
      </c>
      <c r="O1052">
        <v>393</v>
      </c>
      <c r="P1052" s="5">
        <v>46144</v>
      </c>
      <c r="Q1052" s="5">
        <v>46144</v>
      </c>
      <c r="R1052" t="s">
        <v>25</v>
      </c>
      <c r="S1052" t="s">
        <v>51</v>
      </c>
    </row>
    <row r="1053" spans="1:19" x14ac:dyDescent="0.25">
      <c r="A1053" t="s">
        <v>1147</v>
      </c>
      <c r="B1053" s="5">
        <v>46053</v>
      </c>
      <c r="C1053" t="s">
        <v>53</v>
      </c>
      <c r="D1053" t="s">
        <v>54</v>
      </c>
      <c r="E1053" t="s">
        <v>131</v>
      </c>
      <c r="F1053" t="s">
        <v>122</v>
      </c>
      <c r="G1053" t="s">
        <v>24</v>
      </c>
      <c r="H1053">
        <v>213</v>
      </c>
      <c r="I1053">
        <v>200</v>
      </c>
      <c r="J1053">
        <v>17</v>
      </c>
      <c r="K1053">
        <v>5.0999999999999996</v>
      </c>
      <c r="L1053">
        <v>28012.68</v>
      </c>
      <c r="M1053">
        <v>5.7</v>
      </c>
      <c r="N1053">
        <v>102.6</v>
      </c>
      <c r="O1053">
        <v>311</v>
      </c>
      <c r="P1053" s="5">
        <v>46057</v>
      </c>
      <c r="Q1053" s="5">
        <v>46055</v>
      </c>
      <c r="R1053" t="s">
        <v>25</v>
      </c>
      <c r="S1053" t="s">
        <v>33</v>
      </c>
    </row>
    <row r="1054" spans="1:19" x14ac:dyDescent="0.25">
      <c r="A1054" t="s">
        <v>1148</v>
      </c>
      <c r="B1054" s="5">
        <v>46130</v>
      </c>
      <c r="C1054" t="s">
        <v>53</v>
      </c>
      <c r="D1054" t="s">
        <v>54</v>
      </c>
      <c r="E1054" t="s">
        <v>131</v>
      </c>
      <c r="F1054" t="s">
        <v>85</v>
      </c>
      <c r="G1054" t="s">
        <v>32</v>
      </c>
      <c r="H1054">
        <v>201</v>
      </c>
      <c r="I1054">
        <v>202</v>
      </c>
      <c r="J1054">
        <v>16</v>
      </c>
      <c r="K1054">
        <v>1.6</v>
      </c>
      <c r="L1054">
        <v>26063.81</v>
      </c>
      <c r="M1054">
        <v>5.09</v>
      </c>
      <c r="N1054">
        <v>122.16</v>
      </c>
      <c r="O1054">
        <v>184</v>
      </c>
      <c r="P1054" s="5">
        <v>46142</v>
      </c>
      <c r="Q1054" s="5">
        <v>46141</v>
      </c>
      <c r="R1054" t="s">
        <v>25</v>
      </c>
      <c r="S1054" t="s">
        <v>26</v>
      </c>
    </row>
    <row r="1055" spans="1:19" x14ac:dyDescent="0.25">
      <c r="A1055" t="s">
        <v>1149</v>
      </c>
      <c r="B1055" s="5">
        <v>46092</v>
      </c>
      <c r="C1055" t="s">
        <v>43</v>
      </c>
      <c r="D1055" t="s">
        <v>44</v>
      </c>
      <c r="E1055" t="s">
        <v>45</v>
      </c>
      <c r="F1055" t="s">
        <v>91</v>
      </c>
      <c r="G1055" t="s">
        <v>57</v>
      </c>
      <c r="H1055">
        <v>251</v>
      </c>
      <c r="I1055">
        <v>226</v>
      </c>
      <c r="J1055">
        <v>19</v>
      </c>
      <c r="K1055">
        <v>1.4</v>
      </c>
      <c r="L1055">
        <v>27882.03</v>
      </c>
      <c r="M1055">
        <v>9.18</v>
      </c>
      <c r="N1055">
        <v>220.32</v>
      </c>
      <c r="O1055">
        <v>223</v>
      </c>
      <c r="P1055" s="5">
        <v>46098</v>
      </c>
      <c r="Q1055" s="5">
        <v>46096</v>
      </c>
      <c r="R1055" t="s">
        <v>39</v>
      </c>
      <c r="S1055" t="s">
        <v>33</v>
      </c>
    </row>
    <row r="1056" spans="1:19" x14ac:dyDescent="0.25">
      <c r="A1056" t="s">
        <v>1150</v>
      </c>
      <c r="B1056" s="5">
        <v>46089</v>
      </c>
      <c r="C1056" t="s">
        <v>20</v>
      </c>
      <c r="D1056" t="s">
        <v>21</v>
      </c>
      <c r="E1056" t="s">
        <v>66</v>
      </c>
      <c r="F1056" t="s">
        <v>71</v>
      </c>
      <c r="G1056" t="s">
        <v>32</v>
      </c>
      <c r="H1056">
        <v>188</v>
      </c>
      <c r="I1056">
        <v>144</v>
      </c>
      <c r="J1056">
        <v>6</v>
      </c>
      <c r="K1056">
        <v>4.4000000000000004</v>
      </c>
      <c r="L1056">
        <v>44301.37</v>
      </c>
      <c r="M1056">
        <v>4.28</v>
      </c>
      <c r="N1056">
        <v>111.28</v>
      </c>
      <c r="O1056">
        <v>205</v>
      </c>
      <c r="P1056" s="5">
        <v>46096</v>
      </c>
      <c r="Q1056" s="5">
        <v>46098</v>
      </c>
      <c r="R1056" t="s">
        <v>25</v>
      </c>
      <c r="S1056" t="s">
        <v>26</v>
      </c>
    </row>
    <row r="1057" spans="1:19" x14ac:dyDescent="0.25">
      <c r="A1057" t="s">
        <v>1151</v>
      </c>
      <c r="B1057" s="5">
        <v>46191</v>
      </c>
      <c r="C1057" t="s">
        <v>35</v>
      </c>
      <c r="D1057" t="s">
        <v>36</v>
      </c>
      <c r="E1057" t="s">
        <v>37</v>
      </c>
      <c r="F1057" t="s">
        <v>77</v>
      </c>
      <c r="G1057" t="s">
        <v>57</v>
      </c>
      <c r="H1057">
        <v>154</v>
      </c>
      <c r="I1057">
        <v>153</v>
      </c>
      <c r="J1057">
        <v>12</v>
      </c>
      <c r="K1057">
        <v>8.3000000000000007</v>
      </c>
      <c r="L1057">
        <v>14234.21</v>
      </c>
      <c r="M1057">
        <v>4.99</v>
      </c>
      <c r="N1057">
        <v>119.76</v>
      </c>
      <c r="O1057">
        <v>253</v>
      </c>
      <c r="P1057" s="5">
        <v>46196</v>
      </c>
      <c r="Q1057" s="5">
        <v>46196</v>
      </c>
      <c r="R1057" t="s">
        <v>39</v>
      </c>
      <c r="S1057" t="s">
        <v>86</v>
      </c>
    </row>
    <row r="1058" spans="1:19" x14ac:dyDescent="0.25">
      <c r="A1058" t="s">
        <v>1152</v>
      </c>
      <c r="B1058" s="5">
        <v>46138</v>
      </c>
      <c r="C1058" t="s">
        <v>59</v>
      </c>
      <c r="D1058" t="s">
        <v>49</v>
      </c>
      <c r="E1058" t="s">
        <v>50</v>
      </c>
      <c r="F1058" t="s">
        <v>137</v>
      </c>
      <c r="G1058" t="s">
        <v>24</v>
      </c>
      <c r="H1058">
        <v>96</v>
      </c>
      <c r="I1058">
        <v>87</v>
      </c>
      <c r="J1058">
        <v>1</v>
      </c>
      <c r="K1058">
        <v>3</v>
      </c>
      <c r="L1058">
        <v>13241.69</v>
      </c>
      <c r="M1058">
        <v>3.51</v>
      </c>
      <c r="N1058">
        <v>91.26</v>
      </c>
      <c r="O1058">
        <v>118</v>
      </c>
      <c r="P1058" s="5">
        <v>46150</v>
      </c>
      <c r="Q1058" s="5">
        <v>46152</v>
      </c>
      <c r="R1058" t="s">
        <v>25</v>
      </c>
      <c r="S1058" t="s">
        <v>51</v>
      </c>
    </row>
    <row r="1059" spans="1:19" x14ac:dyDescent="0.25">
      <c r="A1059" t="s">
        <v>1153</v>
      </c>
      <c r="B1059" s="5">
        <v>46023</v>
      </c>
      <c r="C1059" t="s">
        <v>28</v>
      </c>
      <c r="D1059" t="s">
        <v>29</v>
      </c>
      <c r="E1059" t="s">
        <v>95</v>
      </c>
      <c r="F1059" t="s">
        <v>114</v>
      </c>
      <c r="G1059" t="s">
        <v>57</v>
      </c>
      <c r="H1059">
        <v>216</v>
      </c>
      <c r="I1059">
        <v>192</v>
      </c>
      <c r="J1059">
        <v>12</v>
      </c>
      <c r="K1059">
        <v>2.1</v>
      </c>
      <c r="L1059">
        <v>36011.32</v>
      </c>
      <c r="M1059">
        <v>7.99</v>
      </c>
      <c r="N1059">
        <v>191.76</v>
      </c>
      <c r="O1059">
        <v>298</v>
      </c>
      <c r="P1059" s="5">
        <v>46027</v>
      </c>
      <c r="Q1059" s="5">
        <v>46031</v>
      </c>
      <c r="R1059" t="s">
        <v>39</v>
      </c>
      <c r="S1059" t="s">
        <v>72</v>
      </c>
    </row>
    <row r="1060" spans="1:19" x14ac:dyDescent="0.25">
      <c r="A1060" t="s">
        <v>1154</v>
      </c>
      <c r="B1060" s="5">
        <v>46028</v>
      </c>
      <c r="C1060" t="s">
        <v>20</v>
      </c>
      <c r="D1060" t="s">
        <v>21</v>
      </c>
      <c r="E1060" t="s">
        <v>22</v>
      </c>
      <c r="F1060" t="s">
        <v>23</v>
      </c>
      <c r="G1060" t="s">
        <v>57</v>
      </c>
      <c r="H1060">
        <v>156</v>
      </c>
      <c r="I1060">
        <v>117</v>
      </c>
      <c r="J1060">
        <v>11</v>
      </c>
      <c r="K1060">
        <v>1</v>
      </c>
      <c r="L1060">
        <v>49021.06</v>
      </c>
      <c r="M1060">
        <v>2.8</v>
      </c>
      <c r="N1060">
        <v>72.8</v>
      </c>
      <c r="O1060">
        <v>157</v>
      </c>
      <c r="P1060" s="5">
        <v>46033</v>
      </c>
      <c r="Q1060" s="5">
        <v>46035</v>
      </c>
      <c r="R1060" t="s">
        <v>25</v>
      </c>
      <c r="S1060" t="s">
        <v>72</v>
      </c>
    </row>
    <row r="1061" spans="1:19" x14ac:dyDescent="0.25">
      <c r="A1061" t="s">
        <v>1155</v>
      </c>
      <c r="B1061" s="5">
        <v>46127</v>
      </c>
      <c r="C1061" t="s">
        <v>80</v>
      </c>
      <c r="D1061" t="s">
        <v>21</v>
      </c>
      <c r="E1061" t="s">
        <v>90</v>
      </c>
      <c r="F1061" t="s">
        <v>119</v>
      </c>
      <c r="G1061" t="s">
        <v>57</v>
      </c>
      <c r="H1061">
        <v>127</v>
      </c>
      <c r="I1061">
        <v>145</v>
      </c>
      <c r="J1061">
        <v>1</v>
      </c>
      <c r="K1061">
        <v>2.2999999999999998</v>
      </c>
      <c r="L1061">
        <v>35170.879999999997</v>
      </c>
      <c r="M1061">
        <v>3.77</v>
      </c>
      <c r="N1061">
        <v>67.86</v>
      </c>
      <c r="O1061">
        <v>129</v>
      </c>
      <c r="P1061" s="5">
        <v>46134</v>
      </c>
      <c r="Q1061" s="5">
        <v>46134</v>
      </c>
      <c r="R1061" t="s">
        <v>25</v>
      </c>
      <c r="S1061" t="s">
        <v>86</v>
      </c>
    </row>
    <row r="1062" spans="1:19" x14ac:dyDescent="0.25">
      <c r="A1062" t="s">
        <v>1156</v>
      </c>
      <c r="B1062" s="5">
        <v>46054</v>
      </c>
      <c r="C1062" t="s">
        <v>20</v>
      </c>
      <c r="D1062" t="s">
        <v>21</v>
      </c>
      <c r="E1062" t="s">
        <v>90</v>
      </c>
      <c r="F1062" t="s">
        <v>170</v>
      </c>
      <c r="G1062" t="s">
        <v>24</v>
      </c>
      <c r="H1062">
        <v>161</v>
      </c>
      <c r="I1062">
        <v>160</v>
      </c>
      <c r="J1062">
        <v>13</v>
      </c>
      <c r="K1062">
        <v>6.3</v>
      </c>
      <c r="L1062">
        <v>51258.46</v>
      </c>
      <c r="M1062">
        <v>4.4800000000000004</v>
      </c>
      <c r="N1062">
        <v>80.64</v>
      </c>
      <c r="O1062">
        <v>241</v>
      </c>
      <c r="P1062" s="5">
        <v>46063</v>
      </c>
      <c r="Q1062" s="5">
        <v>46062</v>
      </c>
      <c r="R1062" t="s">
        <v>39</v>
      </c>
      <c r="S1062" t="s">
        <v>86</v>
      </c>
    </row>
    <row r="1063" spans="1:19" x14ac:dyDescent="0.25">
      <c r="A1063" t="s">
        <v>1157</v>
      </c>
      <c r="B1063" s="5">
        <v>46175</v>
      </c>
      <c r="C1063" t="s">
        <v>80</v>
      </c>
      <c r="D1063" t="s">
        <v>21</v>
      </c>
      <c r="E1063" t="s">
        <v>66</v>
      </c>
      <c r="F1063" t="s">
        <v>56</v>
      </c>
      <c r="G1063" t="s">
        <v>57</v>
      </c>
      <c r="H1063">
        <v>218</v>
      </c>
      <c r="I1063">
        <v>246</v>
      </c>
      <c r="J1063">
        <v>17</v>
      </c>
      <c r="K1063">
        <v>7.8</v>
      </c>
      <c r="L1063">
        <v>65590.28</v>
      </c>
      <c r="M1063">
        <v>5</v>
      </c>
      <c r="N1063">
        <v>90</v>
      </c>
      <c r="O1063">
        <v>291</v>
      </c>
      <c r="P1063" s="5">
        <v>46181</v>
      </c>
      <c r="Q1063" s="5">
        <v>46183</v>
      </c>
      <c r="R1063" t="s">
        <v>39</v>
      </c>
      <c r="S1063" t="s">
        <v>51</v>
      </c>
    </row>
    <row r="1064" spans="1:19" x14ac:dyDescent="0.25">
      <c r="A1064" t="s">
        <v>1158</v>
      </c>
      <c r="B1064" s="5">
        <v>46106</v>
      </c>
      <c r="C1064" t="s">
        <v>43</v>
      </c>
      <c r="D1064" t="s">
        <v>44</v>
      </c>
      <c r="E1064" t="s">
        <v>161</v>
      </c>
      <c r="F1064" t="s">
        <v>67</v>
      </c>
      <c r="G1064" t="s">
        <v>24</v>
      </c>
      <c r="H1064">
        <v>240</v>
      </c>
      <c r="I1064">
        <v>211</v>
      </c>
      <c r="J1064">
        <v>6</v>
      </c>
      <c r="K1064">
        <v>3.8</v>
      </c>
      <c r="L1064">
        <v>27068.11</v>
      </c>
      <c r="M1064">
        <v>8.43</v>
      </c>
      <c r="N1064">
        <v>219.18</v>
      </c>
      <c r="O1064">
        <v>301</v>
      </c>
      <c r="P1064" s="5">
        <v>46117</v>
      </c>
      <c r="Q1064" s="5">
        <v>46121</v>
      </c>
      <c r="R1064" t="s">
        <v>25</v>
      </c>
      <c r="S1064" t="s">
        <v>72</v>
      </c>
    </row>
    <row r="1065" spans="1:19" x14ac:dyDescent="0.25">
      <c r="A1065" t="s">
        <v>1159</v>
      </c>
      <c r="B1065" s="5">
        <v>46168</v>
      </c>
      <c r="C1065" t="s">
        <v>59</v>
      </c>
      <c r="D1065" t="s">
        <v>49</v>
      </c>
      <c r="E1065" t="s">
        <v>60</v>
      </c>
      <c r="F1065" t="s">
        <v>56</v>
      </c>
      <c r="G1065" t="s">
        <v>24</v>
      </c>
      <c r="H1065">
        <v>308</v>
      </c>
      <c r="I1065">
        <v>336</v>
      </c>
      <c r="J1065">
        <v>11</v>
      </c>
      <c r="K1065">
        <v>5.3</v>
      </c>
      <c r="L1065">
        <v>74380.3</v>
      </c>
      <c r="M1065">
        <v>6.45</v>
      </c>
      <c r="N1065">
        <v>116.1</v>
      </c>
      <c r="O1065">
        <v>302</v>
      </c>
      <c r="P1065" s="5">
        <v>46179</v>
      </c>
      <c r="Q1065" s="5">
        <v>46179</v>
      </c>
      <c r="R1065" t="s">
        <v>25</v>
      </c>
      <c r="S1065" t="s">
        <v>72</v>
      </c>
    </row>
    <row r="1066" spans="1:19" x14ac:dyDescent="0.25">
      <c r="A1066" t="s">
        <v>1160</v>
      </c>
      <c r="B1066" s="5">
        <v>46115</v>
      </c>
      <c r="C1066" t="s">
        <v>28</v>
      </c>
      <c r="D1066" t="s">
        <v>29</v>
      </c>
      <c r="E1066" t="s">
        <v>30</v>
      </c>
      <c r="F1066" t="s">
        <v>77</v>
      </c>
      <c r="G1066" t="s">
        <v>32</v>
      </c>
      <c r="H1066">
        <v>317</v>
      </c>
      <c r="I1066">
        <v>280</v>
      </c>
      <c r="J1066">
        <v>18</v>
      </c>
      <c r="K1066">
        <v>3.2</v>
      </c>
      <c r="L1066">
        <v>48004.21</v>
      </c>
      <c r="M1066">
        <v>9.6300000000000008</v>
      </c>
      <c r="N1066">
        <v>173.34</v>
      </c>
      <c r="O1066">
        <v>335</v>
      </c>
      <c r="P1066" s="5">
        <v>46126</v>
      </c>
      <c r="Q1066" s="5">
        <v>46128</v>
      </c>
      <c r="R1066" t="s">
        <v>25</v>
      </c>
      <c r="S1066" t="s">
        <v>51</v>
      </c>
    </row>
    <row r="1067" spans="1:19" x14ac:dyDescent="0.25">
      <c r="A1067" t="s">
        <v>1161</v>
      </c>
      <c r="B1067" s="5">
        <v>46128</v>
      </c>
      <c r="C1067" t="s">
        <v>43</v>
      </c>
      <c r="D1067" t="s">
        <v>44</v>
      </c>
      <c r="E1067" t="s">
        <v>93</v>
      </c>
      <c r="F1067" t="s">
        <v>114</v>
      </c>
      <c r="G1067" t="s">
        <v>32</v>
      </c>
      <c r="H1067">
        <v>211</v>
      </c>
      <c r="I1067">
        <v>204</v>
      </c>
      <c r="J1067">
        <v>7</v>
      </c>
      <c r="K1067">
        <v>5.4</v>
      </c>
      <c r="L1067">
        <v>19899.810000000001</v>
      </c>
      <c r="M1067">
        <v>3.79</v>
      </c>
      <c r="N1067">
        <v>98.54</v>
      </c>
      <c r="O1067">
        <v>248</v>
      </c>
      <c r="P1067" s="5">
        <v>46132</v>
      </c>
      <c r="Q1067" s="5">
        <v>46132</v>
      </c>
      <c r="R1067" t="s">
        <v>39</v>
      </c>
      <c r="S1067" t="s">
        <v>51</v>
      </c>
    </row>
    <row r="1068" spans="1:19" x14ac:dyDescent="0.25">
      <c r="A1068" t="s">
        <v>1162</v>
      </c>
      <c r="B1068" s="5">
        <v>46035</v>
      </c>
      <c r="C1068" t="s">
        <v>59</v>
      </c>
      <c r="D1068" t="s">
        <v>49</v>
      </c>
      <c r="E1068" t="s">
        <v>76</v>
      </c>
      <c r="F1068" t="s">
        <v>244</v>
      </c>
      <c r="G1068" t="s">
        <v>57</v>
      </c>
      <c r="H1068">
        <v>176</v>
      </c>
      <c r="I1068">
        <v>178</v>
      </c>
      <c r="J1068">
        <v>5</v>
      </c>
      <c r="K1068">
        <v>8.1</v>
      </c>
      <c r="L1068">
        <v>36195.54</v>
      </c>
      <c r="M1068">
        <v>5.05</v>
      </c>
      <c r="N1068">
        <v>121.2</v>
      </c>
      <c r="O1068">
        <v>148</v>
      </c>
      <c r="P1068" s="5">
        <v>46042</v>
      </c>
      <c r="Q1068" s="5">
        <v>46044</v>
      </c>
      <c r="R1068" t="s">
        <v>25</v>
      </c>
      <c r="S1068" t="s">
        <v>86</v>
      </c>
    </row>
    <row r="1069" spans="1:19" x14ac:dyDescent="0.25">
      <c r="A1069" t="s">
        <v>1163</v>
      </c>
      <c r="B1069" s="5">
        <v>46103</v>
      </c>
      <c r="C1069" t="s">
        <v>35</v>
      </c>
      <c r="D1069" t="s">
        <v>36</v>
      </c>
      <c r="E1069" t="s">
        <v>69</v>
      </c>
      <c r="F1069" t="s">
        <v>170</v>
      </c>
      <c r="G1069" t="s">
        <v>57</v>
      </c>
      <c r="H1069">
        <v>205</v>
      </c>
      <c r="I1069">
        <v>214</v>
      </c>
      <c r="J1069">
        <v>7</v>
      </c>
      <c r="K1069">
        <v>8</v>
      </c>
      <c r="L1069">
        <v>21737.69</v>
      </c>
      <c r="M1069">
        <v>5.44</v>
      </c>
      <c r="N1069">
        <v>119.68</v>
      </c>
      <c r="O1069">
        <v>221</v>
      </c>
      <c r="P1069" s="5">
        <v>46108</v>
      </c>
      <c r="Q1069" s="5">
        <v>46106</v>
      </c>
      <c r="R1069" t="s">
        <v>100</v>
      </c>
      <c r="S1069" t="s">
        <v>86</v>
      </c>
    </row>
    <row r="1070" spans="1:19" x14ac:dyDescent="0.25">
      <c r="A1070" t="s">
        <v>1164</v>
      </c>
      <c r="B1070" s="5">
        <v>46089</v>
      </c>
      <c r="C1070" t="s">
        <v>35</v>
      </c>
      <c r="D1070" t="s">
        <v>36</v>
      </c>
      <c r="E1070" t="s">
        <v>69</v>
      </c>
      <c r="F1070" t="s">
        <v>106</v>
      </c>
      <c r="G1070" t="s">
        <v>24</v>
      </c>
      <c r="H1070">
        <v>280</v>
      </c>
      <c r="I1070">
        <v>217</v>
      </c>
      <c r="J1070">
        <v>13</v>
      </c>
      <c r="K1070">
        <v>6.9</v>
      </c>
      <c r="L1070">
        <v>17743.03</v>
      </c>
      <c r="M1070">
        <v>4.47</v>
      </c>
      <c r="N1070">
        <v>98.34</v>
      </c>
      <c r="O1070">
        <v>328</v>
      </c>
      <c r="P1070" s="5">
        <v>46094</v>
      </c>
      <c r="Q1070" s="5">
        <v>46092</v>
      </c>
      <c r="R1070" t="s">
        <v>25</v>
      </c>
      <c r="S1070" t="s">
        <v>72</v>
      </c>
    </row>
    <row r="1071" spans="1:19" x14ac:dyDescent="0.25">
      <c r="A1071" t="s">
        <v>1165</v>
      </c>
      <c r="B1071" s="5">
        <v>46064</v>
      </c>
      <c r="C1071" t="s">
        <v>43</v>
      </c>
      <c r="D1071" t="s">
        <v>44</v>
      </c>
      <c r="E1071" t="s">
        <v>93</v>
      </c>
      <c r="F1071" t="s">
        <v>104</v>
      </c>
      <c r="G1071" t="s">
        <v>57</v>
      </c>
      <c r="H1071">
        <v>124</v>
      </c>
      <c r="I1071">
        <v>97</v>
      </c>
      <c r="J1071">
        <v>2</v>
      </c>
      <c r="K1071">
        <v>6.9</v>
      </c>
      <c r="L1071">
        <v>12589.87</v>
      </c>
      <c r="M1071">
        <v>2.86</v>
      </c>
      <c r="N1071">
        <v>68.64</v>
      </c>
      <c r="O1071">
        <v>163</v>
      </c>
      <c r="P1071" s="5">
        <v>46072</v>
      </c>
      <c r="Q1071" s="5">
        <v>46072</v>
      </c>
      <c r="R1071" t="s">
        <v>25</v>
      </c>
      <c r="S1071" t="s">
        <v>72</v>
      </c>
    </row>
    <row r="1072" spans="1:19" x14ac:dyDescent="0.25">
      <c r="A1072" t="s">
        <v>1166</v>
      </c>
      <c r="B1072" s="5">
        <v>46030</v>
      </c>
      <c r="C1072" t="s">
        <v>20</v>
      </c>
      <c r="D1072" t="s">
        <v>21</v>
      </c>
      <c r="E1072" t="s">
        <v>22</v>
      </c>
      <c r="F1072" t="s">
        <v>135</v>
      </c>
      <c r="G1072" t="s">
        <v>24</v>
      </c>
      <c r="H1072">
        <v>125</v>
      </c>
      <c r="I1072">
        <v>105</v>
      </c>
      <c r="J1072">
        <v>9</v>
      </c>
      <c r="K1072">
        <v>0.8</v>
      </c>
      <c r="L1072">
        <v>42708.09</v>
      </c>
      <c r="M1072">
        <v>3.94</v>
      </c>
      <c r="N1072">
        <v>86.68</v>
      </c>
      <c r="O1072">
        <v>221</v>
      </c>
      <c r="P1072" s="5">
        <v>46040</v>
      </c>
      <c r="Q1072" s="5">
        <v>46042</v>
      </c>
      <c r="R1072" t="s">
        <v>25</v>
      </c>
      <c r="S1072" t="s">
        <v>33</v>
      </c>
    </row>
    <row r="1073" spans="1:19" x14ac:dyDescent="0.25">
      <c r="A1073" t="s">
        <v>1167</v>
      </c>
      <c r="B1073" s="5">
        <v>46050</v>
      </c>
      <c r="C1073" t="s">
        <v>53</v>
      </c>
      <c r="D1073" t="s">
        <v>54</v>
      </c>
      <c r="E1073" t="s">
        <v>131</v>
      </c>
      <c r="F1073" t="s">
        <v>170</v>
      </c>
      <c r="G1073" t="s">
        <v>24</v>
      </c>
      <c r="H1073">
        <v>203</v>
      </c>
      <c r="I1073">
        <v>208</v>
      </c>
      <c r="J1073">
        <v>19</v>
      </c>
      <c r="K1073">
        <v>1.2</v>
      </c>
      <c r="L1073">
        <v>30772.38</v>
      </c>
      <c r="M1073">
        <v>6.72</v>
      </c>
      <c r="N1073">
        <v>147.84</v>
      </c>
      <c r="O1073">
        <v>276</v>
      </c>
      <c r="P1073" s="5">
        <v>46052</v>
      </c>
      <c r="Q1073" s="5">
        <v>46052</v>
      </c>
      <c r="R1073" t="s">
        <v>100</v>
      </c>
      <c r="S1073" t="s">
        <v>72</v>
      </c>
    </row>
    <row r="1074" spans="1:19" x14ac:dyDescent="0.25">
      <c r="A1074" t="s">
        <v>1168</v>
      </c>
      <c r="B1074" s="5">
        <v>46090</v>
      </c>
      <c r="C1074" t="s">
        <v>43</v>
      </c>
      <c r="D1074" t="s">
        <v>44</v>
      </c>
      <c r="E1074" t="s">
        <v>45</v>
      </c>
      <c r="F1074" t="s">
        <v>106</v>
      </c>
      <c r="G1074" t="s">
        <v>24</v>
      </c>
      <c r="H1074">
        <v>287</v>
      </c>
      <c r="I1074">
        <v>259</v>
      </c>
      <c r="J1074">
        <v>4</v>
      </c>
      <c r="K1074">
        <v>1</v>
      </c>
      <c r="L1074">
        <v>24631.77</v>
      </c>
      <c r="M1074">
        <v>6.22</v>
      </c>
      <c r="N1074">
        <v>149.28</v>
      </c>
      <c r="O1074">
        <v>334</v>
      </c>
      <c r="P1074" s="5">
        <v>46095</v>
      </c>
      <c r="Q1074" s="5">
        <v>46097</v>
      </c>
      <c r="R1074" t="s">
        <v>25</v>
      </c>
      <c r="S1074" t="s">
        <v>72</v>
      </c>
    </row>
    <row r="1075" spans="1:19" x14ac:dyDescent="0.25">
      <c r="A1075" t="s">
        <v>1169</v>
      </c>
      <c r="B1075" s="5">
        <v>46159</v>
      </c>
      <c r="C1075" t="s">
        <v>80</v>
      </c>
      <c r="D1075" t="s">
        <v>21</v>
      </c>
      <c r="E1075" t="s">
        <v>90</v>
      </c>
      <c r="F1075" t="s">
        <v>96</v>
      </c>
      <c r="G1075" t="s">
        <v>32</v>
      </c>
      <c r="H1075">
        <v>221</v>
      </c>
      <c r="I1075">
        <v>192</v>
      </c>
      <c r="J1075">
        <v>15</v>
      </c>
      <c r="K1075">
        <v>1.5</v>
      </c>
      <c r="L1075">
        <v>67327.69</v>
      </c>
      <c r="M1075">
        <v>4.26</v>
      </c>
      <c r="N1075">
        <v>85.2</v>
      </c>
      <c r="O1075">
        <v>212</v>
      </c>
      <c r="P1075" s="5">
        <v>46171</v>
      </c>
      <c r="Q1075" s="5">
        <v>46171</v>
      </c>
      <c r="R1075" t="s">
        <v>39</v>
      </c>
      <c r="S1075" t="s">
        <v>86</v>
      </c>
    </row>
    <row r="1076" spans="1:19" x14ac:dyDescent="0.25">
      <c r="A1076" t="s">
        <v>1170</v>
      </c>
      <c r="B1076" s="5">
        <v>46091</v>
      </c>
      <c r="C1076" t="s">
        <v>80</v>
      </c>
      <c r="D1076" t="s">
        <v>21</v>
      </c>
      <c r="E1076" t="s">
        <v>22</v>
      </c>
      <c r="F1076" t="s">
        <v>170</v>
      </c>
      <c r="G1076" t="s">
        <v>24</v>
      </c>
      <c r="H1076">
        <v>253</v>
      </c>
      <c r="I1076">
        <v>284</v>
      </c>
      <c r="J1076">
        <v>7</v>
      </c>
      <c r="K1076">
        <v>5.9</v>
      </c>
      <c r="L1076">
        <v>69272.72</v>
      </c>
      <c r="M1076">
        <v>10.15</v>
      </c>
      <c r="N1076">
        <v>203</v>
      </c>
      <c r="O1076">
        <v>232</v>
      </c>
      <c r="P1076" s="5">
        <v>46094</v>
      </c>
      <c r="Q1076" s="5">
        <v>46094</v>
      </c>
      <c r="R1076" t="s">
        <v>25</v>
      </c>
      <c r="S1076" t="s">
        <v>72</v>
      </c>
    </row>
    <row r="1077" spans="1:19" x14ac:dyDescent="0.25">
      <c r="A1077" t="s">
        <v>1171</v>
      </c>
      <c r="B1077" s="5">
        <v>46096</v>
      </c>
      <c r="C1077" t="s">
        <v>53</v>
      </c>
      <c r="D1077" t="s">
        <v>54</v>
      </c>
      <c r="E1077" t="s">
        <v>55</v>
      </c>
      <c r="F1077" t="s">
        <v>56</v>
      </c>
      <c r="G1077" t="s">
        <v>24</v>
      </c>
      <c r="H1077">
        <v>195</v>
      </c>
      <c r="I1077">
        <v>177</v>
      </c>
      <c r="J1077">
        <v>13</v>
      </c>
      <c r="K1077">
        <v>6.9</v>
      </c>
      <c r="L1077">
        <v>21679.360000000001</v>
      </c>
      <c r="M1077">
        <v>5.91</v>
      </c>
      <c r="N1077">
        <v>118.2</v>
      </c>
      <c r="O1077">
        <v>280</v>
      </c>
      <c r="P1077" s="5">
        <v>46100</v>
      </c>
      <c r="Q1077" s="5">
        <v>46098</v>
      </c>
      <c r="R1077" t="s">
        <v>25</v>
      </c>
      <c r="S1077" t="s">
        <v>26</v>
      </c>
    </row>
    <row r="1078" spans="1:19" x14ac:dyDescent="0.25">
      <c r="A1078" t="s">
        <v>1172</v>
      </c>
      <c r="B1078" s="5">
        <v>46120</v>
      </c>
      <c r="C1078" t="s">
        <v>43</v>
      </c>
      <c r="D1078" t="s">
        <v>44</v>
      </c>
      <c r="E1078" t="s">
        <v>93</v>
      </c>
      <c r="F1078" t="s">
        <v>106</v>
      </c>
      <c r="G1078" t="s">
        <v>24</v>
      </c>
      <c r="H1078">
        <v>309</v>
      </c>
      <c r="I1078">
        <v>285</v>
      </c>
      <c r="J1078">
        <v>19</v>
      </c>
      <c r="K1078">
        <v>5.9</v>
      </c>
      <c r="L1078">
        <v>30803.37</v>
      </c>
      <c r="M1078">
        <v>9.2799999999999994</v>
      </c>
      <c r="N1078">
        <v>222.72</v>
      </c>
      <c r="O1078">
        <v>332</v>
      </c>
      <c r="P1078" s="5">
        <v>46122</v>
      </c>
      <c r="Q1078" s="5">
        <v>46122</v>
      </c>
      <c r="R1078" t="s">
        <v>25</v>
      </c>
      <c r="S1078" t="s">
        <v>51</v>
      </c>
    </row>
    <row r="1079" spans="1:19" x14ac:dyDescent="0.25">
      <c r="A1079" t="s">
        <v>1173</v>
      </c>
      <c r="B1079" s="5">
        <v>46031</v>
      </c>
      <c r="C1079" t="s">
        <v>35</v>
      </c>
      <c r="D1079" t="s">
        <v>36</v>
      </c>
      <c r="E1079" t="s">
        <v>37</v>
      </c>
      <c r="F1079" t="s">
        <v>88</v>
      </c>
      <c r="G1079" t="s">
        <v>24</v>
      </c>
      <c r="H1079">
        <v>163</v>
      </c>
      <c r="I1079">
        <v>167</v>
      </c>
      <c r="J1079">
        <v>8</v>
      </c>
      <c r="K1079">
        <v>1.3</v>
      </c>
      <c r="L1079">
        <v>14900.09</v>
      </c>
      <c r="M1079">
        <v>6.4</v>
      </c>
      <c r="N1079">
        <v>140.80000000000001</v>
      </c>
      <c r="O1079">
        <v>126</v>
      </c>
      <c r="P1079" s="5">
        <v>46033</v>
      </c>
      <c r="Q1079" s="5">
        <v>46032</v>
      </c>
      <c r="R1079" t="s">
        <v>39</v>
      </c>
      <c r="S1079" t="s">
        <v>72</v>
      </c>
    </row>
    <row r="1080" spans="1:19" x14ac:dyDescent="0.25">
      <c r="A1080" t="s">
        <v>1174</v>
      </c>
      <c r="B1080" s="5">
        <v>46135</v>
      </c>
      <c r="C1080" t="s">
        <v>53</v>
      </c>
      <c r="D1080" t="s">
        <v>54</v>
      </c>
      <c r="E1080" t="s">
        <v>131</v>
      </c>
      <c r="F1080" t="s">
        <v>61</v>
      </c>
      <c r="G1080" t="s">
        <v>24</v>
      </c>
      <c r="H1080">
        <v>211</v>
      </c>
      <c r="I1080">
        <v>234</v>
      </c>
      <c r="J1080">
        <v>18</v>
      </c>
      <c r="K1080">
        <v>3.1</v>
      </c>
      <c r="L1080">
        <v>27546.799999999999</v>
      </c>
      <c r="M1080">
        <v>9.36</v>
      </c>
      <c r="N1080">
        <v>205.92</v>
      </c>
      <c r="O1080">
        <v>237</v>
      </c>
      <c r="P1080" s="5">
        <v>46141</v>
      </c>
      <c r="Q1080" s="5">
        <v>46143</v>
      </c>
      <c r="R1080" t="s">
        <v>25</v>
      </c>
      <c r="S1080" t="s">
        <v>51</v>
      </c>
    </row>
    <row r="1081" spans="1:19" x14ac:dyDescent="0.25">
      <c r="A1081" t="s">
        <v>1175</v>
      </c>
      <c r="B1081" s="5">
        <v>46159</v>
      </c>
      <c r="C1081" t="s">
        <v>48</v>
      </c>
      <c r="D1081" t="s">
        <v>49</v>
      </c>
      <c r="E1081" t="s">
        <v>60</v>
      </c>
      <c r="F1081" t="s">
        <v>137</v>
      </c>
      <c r="G1081" t="s">
        <v>32</v>
      </c>
      <c r="H1081">
        <v>96</v>
      </c>
      <c r="I1081">
        <v>88</v>
      </c>
      <c r="J1081">
        <v>5</v>
      </c>
      <c r="K1081">
        <v>4.0999999999999996</v>
      </c>
      <c r="L1081">
        <v>17362.900000000001</v>
      </c>
      <c r="M1081">
        <v>2.94</v>
      </c>
      <c r="N1081">
        <v>64.680000000000007</v>
      </c>
      <c r="O1081">
        <v>117</v>
      </c>
      <c r="P1081" s="5">
        <v>46171</v>
      </c>
      <c r="Q1081" s="5">
        <v>46170</v>
      </c>
      <c r="R1081" t="s">
        <v>25</v>
      </c>
      <c r="S1081" t="s">
        <v>26</v>
      </c>
    </row>
    <row r="1082" spans="1:19" x14ac:dyDescent="0.25">
      <c r="A1082" t="s">
        <v>1176</v>
      </c>
      <c r="B1082" s="5">
        <v>46154</v>
      </c>
      <c r="C1082" t="s">
        <v>59</v>
      </c>
      <c r="D1082" t="s">
        <v>49</v>
      </c>
      <c r="E1082" t="s">
        <v>60</v>
      </c>
      <c r="F1082" t="s">
        <v>114</v>
      </c>
      <c r="G1082" t="s">
        <v>24</v>
      </c>
      <c r="H1082">
        <v>268</v>
      </c>
      <c r="I1082">
        <v>237</v>
      </c>
      <c r="J1082">
        <v>14</v>
      </c>
      <c r="K1082">
        <v>5.2</v>
      </c>
      <c r="L1082">
        <v>49020.17</v>
      </c>
      <c r="M1082">
        <v>8.68</v>
      </c>
      <c r="N1082">
        <v>225.68</v>
      </c>
      <c r="O1082">
        <v>243</v>
      </c>
      <c r="P1082" s="5">
        <v>46160</v>
      </c>
      <c r="Q1082" s="5">
        <v>46161</v>
      </c>
      <c r="R1082" t="s">
        <v>100</v>
      </c>
      <c r="S1082" t="s">
        <v>51</v>
      </c>
    </row>
    <row r="1083" spans="1:19" x14ac:dyDescent="0.25">
      <c r="A1083" t="s">
        <v>1177</v>
      </c>
      <c r="B1083" s="5">
        <v>46145</v>
      </c>
      <c r="C1083" t="s">
        <v>20</v>
      </c>
      <c r="D1083" t="s">
        <v>21</v>
      </c>
      <c r="E1083" t="s">
        <v>90</v>
      </c>
      <c r="F1083" t="s">
        <v>122</v>
      </c>
      <c r="G1083" t="s">
        <v>57</v>
      </c>
      <c r="H1083">
        <v>294</v>
      </c>
      <c r="I1083">
        <v>268</v>
      </c>
      <c r="J1083">
        <v>4</v>
      </c>
      <c r="K1083">
        <v>3.4</v>
      </c>
      <c r="L1083">
        <v>64361.89</v>
      </c>
      <c r="M1083">
        <v>9.51</v>
      </c>
      <c r="N1083">
        <v>247.26</v>
      </c>
      <c r="O1083">
        <v>392</v>
      </c>
      <c r="P1083" s="5">
        <v>46153</v>
      </c>
      <c r="Q1083" s="5">
        <v>46153</v>
      </c>
      <c r="R1083" t="s">
        <v>25</v>
      </c>
      <c r="S1083" t="s">
        <v>51</v>
      </c>
    </row>
    <row r="1084" spans="1:19" x14ac:dyDescent="0.25">
      <c r="A1084" t="s">
        <v>1178</v>
      </c>
      <c r="B1084" s="5">
        <v>46165</v>
      </c>
      <c r="C1084" t="s">
        <v>28</v>
      </c>
      <c r="D1084" t="s">
        <v>29</v>
      </c>
      <c r="E1084" t="s">
        <v>30</v>
      </c>
      <c r="F1084" t="s">
        <v>38</v>
      </c>
      <c r="G1084" t="s">
        <v>24</v>
      </c>
      <c r="H1084">
        <v>195</v>
      </c>
      <c r="I1084">
        <v>154</v>
      </c>
      <c r="J1084">
        <v>4</v>
      </c>
      <c r="K1084">
        <v>5.0999999999999996</v>
      </c>
      <c r="L1084">
        <v>34019.199999999997</v>
      </c>
      <c r="M1084">
        <v>6.41</v>
      </c>
      <c r="N1084">
        <v>166.66</v>
      </c>
      <c r="O1084">
        <v>282</v>
      </c>
      <c r="P1084" s="5">
        <v>46167</v>
      </c>
      <c r="Q1084" s="5">
        <v>46169</v>
      </c>
      <c r="R1084" t="s">
        <v>25</v>
      </c>
      <c r="S1084" t="s">
        <v>51</v>
      </c>
    </row>
    <row r="1085" spans="1:19" x14ac:dyDescent="0.25">
      <c r="A1085" t="s">
        <v>1179</v>
      </c>
      <c r="B1085" s="5">
        <v>46067</v>
      </c>
      <c r="C1085" t="s">
        <v>80</v>
      </c>
      <c r="D1085" t="s">
        <v>21</v>
      </c>
      <c r="E1085" t="s">
        <v>66</v>
      </c>
      <c r="F1085" t="s">
        <v>46</v>
      </c>
      <c r="G1085" t="s">
        <v>32</v>
      </c>
      <c r="H1085">
        <v>227</v>
      </c>
      <c r="I1085">
        <v>217</v>
      </c>
      <c r="J1085">
        <v>5</v>
      </c>
      <c r="K1085">
        <v>1.3</v>
      </c>
      <c r="L1085">
        <v>43427.62</v>
      </c>
      <c r="M1085">
        <v>4.87</v>
      </c>
      <c r="N1085">
        <v>97.4</v>
      </c>
      <c r="O1085">
        <v>187</v>
      </c>
      <c r="P1085" s="5">
        <v>46069</v>
      </c>
      <c r="Q1085" s="5">
        <v>46068</v>
      </c>
      <c r="R1085" t="s">
        <v>39</v>
      </c>
      <c r="S1085" t="s">
        <v>72</v>
      </c>
    </row>
    <row r="1086" spans="1:19" x14ac:dyDescent="0.25">
      <c r="A1086" t="s">
        <v>1180</v>
      </c>
      <c r="B1086" s="5">
        <v>46120</v>
      </c>
      <c r="C1086" t="s">
        <v>20</v>
      </c>
      <c r="D1086" t="s">
        <v>21</v>
      </c>
      <c r="E1086" t="s">
        <v>22</v>
      </c>
      <c r="F1086" t="s">
        <v>31</v>
      </c>
      <c r="G1086" t="s">
        <v>32</v>
      </c>
      <c r="H1086">
        <v>312</v>
      </c>
      <c r="I1086">
        <v>228</v>
      </c>
      <c r="J1086">
        <v>18</v>
      </c>
      <c r="K1086">
        <v>5.4</v>
      </c>
      <c r="L1086">
        <v>93007.2</v>
      </c>
      <c r="M1086">
        <v>7.81</v>
      </c>
      <c r="N1086">
        <v>187.44</v>
      </c>
      <c r="O1086">
        <v>303</v>
      </c>
      <c r="P1086" s="5">
        <v>46122</v>
      </c>
      <c r="Q1086" s="5">
        <v>46121</v>
      </c>
      <c r="R1086" t="s">
        <v>25</v>
      </c>
      <c r="S1086" t="s">
        <v>72</v>
      </c>
    </row>
    <row r="1087" spans="1:19" x14ac:dyDescent="0.25">
      <c r="A1087" t="s">
        <v>1182</v>
      </c>
      <c r="B1087" s="5">
        <v>46072</v>
      </c>
      <c r="C1087" t="s">
        <v>48</v>
      </c>
      <c r="D1087" t="s">
        <v>49</v>
      </c>
      <c r="E1087" t="s">
        <v>76</v>
      </c>
      <c r="F1087" t="s">
        <v>91</v>
      </c>
      <c r="G1087" t="s">
        <v>32</v>
      </c>
      <c r="H1087">
        <v>184</v>
      </c>
      <c r="I1087">
        <v>201</v>
      </c>
      <c r="J1087">
        <v>11</v>
      </c>
      <c r="K1087">
        <v>7.5</v>
      </c>
      <c r="L1087">
        <v>38874.629999999997</v>
      </c>
      <c r="M1087">
        <v>4.58</v>
      </c>
      <c r="N1087">
        <v>82.44</v>
      </c>
      <c r="O1087">
        <v>261</v>
      </c>
      <c r="P1087" s="5">
        <v>46080</v>
      </c>
      <c r="Q1087" s="5">
        <v>46080</v>
      </c>
      <c r="R1087" t="s">
        <v>25</v>
      </c>
      <c r="S1087" t="s">
        <v>86</v>
      </c>
    </row>
    <row r="1088" spans="1:19" x14ac:dyDescent="0.25">
      <c r="A1088" t="s">
        <v>1183</v>
      </c>
      <c r="B1088" s="5">
        <v>46173</v>
      </c>
      <c r="C1088" t="s">
        <v>35</v>
      </c>
      <c r="D1088" t="s">
        <v>36</v>
      </c>
      <c r="E1088" t="s">
        <v>69</v>
      </c>
      <c r="F1088" t="s">
        <v>38</v>
      </c>
      <c r="G1088" t="s">
        <v>24</v>
      </c>
      <c r="H1088">
        <v>293</v>
      </c>
      <c r="I1088">
        <v>220</v>
      </c>
      <c r="J1088">
        <v>1</v>
      </c>
      <c r="K1088">
        <v>6.2</v>
      </c>
      <c r="L1088">
        <v>22292.1</v>
      </c>
      <c r="M1088">
        <v>7.49</v>
      </c>
      <c r="N1088">
        <v>179.76</v>
      </c>
      <c r="O1088">
        <v>321</v>
      </c>
      <c r="P1088" s="5">
        <v>46176</v>
      </c>
      <c r="Q1088" s="5">
        <v>46175</v>
      </c>
      <c r="R1088" t="s">
        <v>25</v>
      </c>
      <c r="S1088" t="s">
        <v>72</v>
      </c>
    </row>
    <row r="1089" spans="1:19" x14ac:dyDescent="0.25">
      <c r="A1089" t="s">
        <v>1184</v>
      </c>
      <c r="B1089" s="5">
        <v>46117</v>
      </c>
      <c r="C1089" t="s">
        <v>59</v>
      </c>
      <c r="D1089" t="s">
        <v>49</v>
      </c>
      <c r="E1089" t="s">
        <v>50</v>
      </c>
      <c r="F1089" t="s">
        <v>61</v>
      </c>
      <c r="G1089" t="s">
        <v>24</v>
      </c>
      <c r="H1089">
        <v>261</v>
      </c>
      <c r="I1089">
        <v>198</v>
      </c>
      <c r="J1089">
        <v>15</v>
      </c>
      <c r="K1089">
        <v>8.9</v>
      </c>
      <c r="L1089">
        <v>29333.82</v>
      </c>
      <c r="M1089">
        <v>7.4</v>
      </c>
      <c r="N1089">
        <v>192.4</v>
      </c>
      <c r="O1089">
        <v>303</v>
      </c>
      <c r="P1089" s="5">
        <v>46120</v>
      </c>
      <c r="Q1089" s="5">
        <v>46122</v>
      </c>
      <c r="R1089" t="s">
        <v>39</v>
      </c>
      <c r="S1089" t="s">
        <v>86</v>
      </c>
    </row>
    <row r="1090" spans="1:19" x14ac:dyDescent="0.25">
      <c r="A1090" t="s">
        <v>1185</v>
      </c>
      <c r="B1090" s="5">
        <v>46181</v>
      </c>
      <c r="C1090" t="s">
        <v>53</v>
      </c>
      <c r="D1090" t="s">
        <v>54</v>
      </c>
      <c r="E1090" t="s">
        <v>55</v>
      </c>
      <c r="F1090" t="s">
        <v>46</v>
      </c>
      <c r="G1090" t="s">
        <v>24</v>
      </c>
      <c r="H1090">
        <v>213</v>
      </c>
      <c r="I1090">
        <v>209</v>
      </c>
      <c r="J1090">
        <v>7</v>
      </c>
      <c r="K1090">
        <v>5.0999999999999996</v>
      </c>
      <c r="L1090">
        <v>26006.92</v>
      </c>
      <c r="M1090">
        <v>4.78</v>
      </c>
      <c r="N1090">
        <v>124.28</v>
      </c>
      <c r="O1090">
        <v>209</v>
      </c>
      <c r="P1090" s="5">
        <v>46189</v>
      </c>
      <c r="Q1090" s="5">
        <v>46191</v>
      </c>
      <c r="R1090" t="s">
        <v>25</v>
      </c>
      <c r="S1090" t="s">
        <v>72</v>
      </c>
    </row>
    <row r="1091" spans="1:19" x14ac:dyDescent="0.25">
      <c r="A1091" t="s">
        <v>1186</v>
      </c>
      <c r="B1091" s="5">
        <v>46026</v>
      </c>
      <c r="C1091" t="s">
        <v>28</v>
      </c>
      <c r="D1091" t="s">
        <v>29</v>
      </c>
      <c r="E1091" t="s">
        <v>30</v>
      </c>
      <c r="F1091" t="s">
        <v>83</v>
      </c>
      <c r="G1091" t="s">
        <v>24</v>
      </c>
      <c r="H1091">
        <v>190</v>
      </c>
      <c r="I1091">
        <v>182</v>
      </c>
      <c r="J1091">
        <v>9</v>
      </c>
      <c r="K1091">
        <v>5.7</v>
      </c>
      <c r="L1091">
        <v>36168.31</v>
      </c>
      <c r="M1091">
        <v>6.26</v>
      </c>
      <c r="N1091">
        <v>150.24</v>
      </c>
      <c r="O1091">
        <v>168</v>
      </c>
      <c r="P1091" s="5">
        <v>46033</v>
      </c>
      <c r="Q1091" s="5">
        <v>46031</v>
      </c>
      <c r="R1091" t="s">
        <v>25</v>
      </c>
      <c r="S1091" t="s">
        <v>72</v>
      </c>
    </row>
    <row r="1092" spans="1:19" x14ac:dyDescent="0.25">
      <c r="A1092" t="s">
        <v>1187</v>
      </c>
      <c r="B1092" s="5">
        <v>46069</v>
      </c>
      <c r="C1092" t="s">
        <v>48</v>
      </c>
      <c r="D1092" t="s">
        <v>49</v>
      </c>
      <c r="E1092" t="s">
        <v>76</v>
      </c>
      <c r="F1092" t="s">
        <v>56</v>
      </c>
      <c r="G1092" t="s">
        <v>24</v>
      </c>
      <c r="H1092">
        <v>296</v>
      </c>
      <c r="I1092">
        <v>222</v>
      </c>
      <c r="J1092">
        <v>10</v>
      </c>
      <c r="K1092">
        <v>3.4</v>
      </c>
      <c r="L1092">
        <v>44147.01</v>
      </c>
      <c r="M1092">
        <v>4.1100000000000003</v>
      </c>
      <c r="N1092">
        <v>73.98</v>
      </c>
      <c r="O1092">
        <v>289</v>
      </c>
      <c r="P1092" s="5">
        <v>46077</v>
      </c>
      <c r="Q1092" s="5">
        <v>46078</v>
      </c>
      <c r="R1092" t="s">
        <v>100</v>
      </c>
      <c r="S1092" t="s">
        <v>26</v>
      </c>
    </row>
    <row r="1093" spans="1:19" x14ac:dyDescent="0.25">
      <c r="A1093" t="s">
        <v>1188</v>
      </c>
      <c r="B1093" s="5">
        <v>46170</v>
      </c>
      <c r="C1093" t="s">
        <v>43</v>
      </c>
      <c r="D1093" t="s">
        <v>44</v>
      </c>
      <c r="E1093" t="s">
        <v>161</v>
      </c>
      <c r="F1093" t="s">
        <v>85</v>
      </c>
      <c r="G1093" t="s">
        <v>32</v>
      </c>
      <c r="H1093">
        <v>83</v>
      </c>
      <c r="I1093">
        <v>70</v>
      </c>
      <c r="J1093">
        <v>0</v>
      </c>
      <c r="K1093">
        <v>7.7</v>
      </c>
      <c r="L1093">
        <v>10153.049999999999</v>
      </c>
      <c r="M1093">
        <v>2.2200000000000002</v>
      </c>
      <c r="N1093">
        <v>44.4</v>
      </c>
      <c r="O1093">
        <v>68</v>
      </c>
      <c r="P1093" s="5">
        <v>46179</v>
      </c>
      <c r="Q1093" s="5">
        <v>46180</v>
      </c>
      <c r="R1093" t="s">
        <v>25</v>
      </c>
      <c r="S1093" t="s">
        <v>33</v>
      </c>
    </row>
    <row r="1094" spans="1:19" x14ac:dyDescent="0.25">
      <c r="A1094" t="s">
        <v>1189</v>
      </c>
      <c r="B1094" s="5">
        <v>46140</v>
      </c>
      <c r="C1094" t="s">
        <v>53</v>
      </c>
      <c r="D1094" t="s">
        <v>54</v>
      </c>
      <c r="E1094" t="s">
        <v>131</v>
      </c>
      <c r="F1094" t="s">
        <v>88</v>
      </c>
      <c r="G1094" t="s">
        <v>24</v>
      </c>
      <c r="H1094">
        <v>154</v>
      </c>
      <c r="I1094">
        <v>157</v>
      </c>
      <c r="J1094">
        <v>10</v>
      </c>
      <c r="K1094">
        <v>1.2</v>
      </c>
      <c r="L1094">
        <v>21358.87</v>
      </c>
      <c r="M1094">
        <v>5.78</v>
      </c>
      <c r="N1094">
        <v>104.04</v>
      </c>
      <c r="O1094">
        <v>252</v>
      </c>
      <c r="P1094" s="5">
        <v>46152</v>
      </c>
      <c r="Q1094" s="5">
        <v>46152</v>
      </c>
      <c r="R1094" t="s">
        <v>25</v>
      </c>
      <c r="S1094" t="s">
        <v>26</v>
      </c>
    </row>
    <row r="1095" spans="1:19" x14ac:dyDescent="0.25">
      <c r="A1095" t="s">
        <v>1190</v>
      </c>
      <c r="B1095" s="5">
        <v>46126</v>
      </c>
      <c r="C1095" t="s">
        <v>43</v>
      </c>
      <c r="D1095" t="s">
        <v>44</v>
      </c>
      <c r="E1095" t="s">
        <v>161</v>
      </c>
      <c r="F1095" t="s">
        <v>61</v>
      </c>
      <c r="G1095" t="s">
        <v>24</v>
      </c>
      <c r="H1095">
        <v>148</v>
      </c>
      <c r="I1095">
        <v>117</v>
      </c>
      <c r="J1095">
        <v>2</v>
      </c>
      <c r="K1095">
        <v>8.5</v>
      </c>
      <c r="L1095">
        <v>13227.75</v>
      </c>
      <c r="M1095">
        <v>3.37</v>
      </c>
      <c r="N1095">
        <v>74.14</v>
      </c>
      <c r="O1095">
        <v>201</v>
      </c>
      <c r="P1095" s="5">
        <v>46132</v>
      </c>
      <c r="Q1095" s="5">
        <v>46132</v>
      </c>
      <c r="R1095" t="s">
        <v>25</v>
      </c>
      <c r="S1095" t="s">
        <v>86</v>
      </c>
    </row>
    <row r="1096" spans="1:19" x14ac:dyDescent="0.25">
      <c r="A1096" t="s">
        <v>1191</v>
      </c>
      <c r="B1096" s="5">
        <v>46197</v>
      </c>
      <c r="C1096" t="s">
        <v>59</v>
      </c>
      <c r="D1096" t="s">
        <v>49</v>
      </c>
      <c r="E1096" t="s">
        <v>76</v>
      </c>
      <c r="F1096" t="s">
        <v>135</v>
      </c>
      <c r="G1096" t="s">
        <v>24</v>
      </c>
      <c r="H1096">
        <v>204</v>
      </c>
      <c r="I1096">
        <v>219</v>
      </c>
      <c r="J1096">
        <v>1</v>
      </c>
      <c r="K1096">
        <v>3.9</v>
      </c>
      <c r="L1096">
        <v>33222.49</v>
      </c>
      <c r="M1096">
        <v>6.98</v>
      </c>
      <c r="N1096">
        <v>139.6</v>
      </c>
      <c r="O1096">
        <v>257</v>
      </c>
      <c r="P1096" s="5">
        <v>46206</v>
      </c>
      <c r="Q1096" s="5">
        <v>46204</v>
      </c>
      <c r="R1096" t="s">
        <v>39</v>
      </c>
      <c r="S1096" t="s">
        <v>33</v>
      </c>
    </row>
    <row r="1097" spans="1:19" x14ac:dyDescent="0.25">
      <c r="A1097" t="s">
        <v>1192</v>
      </c>
      <c r="B1097" s="5">
        <v>46039</v>
      </c>
      <c r="C1097" t="s">
        <v>35</v>
      </c>
      <c r="D1097" t="s">
        <v>36</v>
      </c>
      <c r="E1097" t="s">
        <v>37</v>
      </c>
      <c r="F1097" t="s">
        <v>104</v>
      </c>
      <c r="G1097" t="s">
        <v>32</v>
      </c>
      <c r="H1097">
        <v>316</v>
      </c>
      <c r="I1097">
        <v>323</v>
      </c>
      <c r="J1097">
        <v>11</v>
      </c>
      <c r="K1097">
        <v>2.5</v>
      </c>
      <c r="L1097">
        <v>22759.45</v>
      </c>
      <c r="M1097">
        <v>12.23</v>
      </c>
      <c r="N1097">
        <v>269.06</v>
      </c>
      <c r="O1097">
        <v>396</v>
      </c>
      <c r="P1097" s="5">
        <v>46043</v>
      </c>
      <c r="Q1097" s="5">
        <v>46043</v>
      </c>
      <c r="R1097" t="s">
        <v>39</v>
      </c>
      <c r="S1097" t="s">
        <v>86</v>
      </c>
    </row>
    <row r="1098" spans="1:19" x14ac:dyDescent="0.25">
      <c r="A1098" t="s">
        <v>1193</v>
      </c>
      <c r="B1098" s="5">
        <v>46024</v>
      </c>
      <c r="C1098" t="s">
        <v>80</v>
      </c>
      <c r="D1098" t="s">
        <v>21</v>
      </c>
      <c r="E1098" t="s">
        <v>22</v>
      </c>
      <c r="F1098" t="s">
        <v>46</v>
      </c>
      <c r="G1098" t="s">
        <v>24</v>
      </c>
      <c r="H1098">
        <v>204</v>
      </c>
      <c r="I1098">
        <v>192</v>
      </c>
      <c r="J1098">
        <v>17</v>
      </c>
      <c r="K1098">
        <v>7.4</v>
      </c>
      <c r="L1098">
        <v>47651.67</v>
      </c>
      <c r="M1098">
        <v>6.76</v>
      </c>
      <c r="N1098">
        <v>135.19999999999999</v>
      </c>
      <c r="O1098">
        <v>187</v>
      </c>
      <c r="P1098" s="5">
        <v>46028</v>
      </c>
      <c r="Q1098" s="5">
        <v>46030</v>
      </c>
      <c r="R1098" t="s">
        <v>25</v>
      </c>
      <c r="S1098" t="s">
        <v>86</v>
      </c>
    </row>
    <row r="1099" spans="1:19" x14ac:dyDescent="0.25">
      <c r="A1099" t="s">
        <v>1194</v>
      </c>
      <c r="B1099" s="5">
        <v>46024</v>
      </c>
      <c r="C1099" t="s">
        <v>53</v>
      </c>
      <c r="D1099" t="s">
        <v>54</v>
      </c>
      <c r="E1099" t="s">
        <v>55</v>
      </c>
      <c r="F1099" t="s">
        <v>38</v>
      </c>
      <c r="G1099" t="s">
        <v>57</v>
      </c>
      <c r="H1099">
        <v>95</v>
      </c>
      <c r="I1099">
        <v>100</v>
      </c>
      <c r="J1099">
        <v>8</v>
      </c>
      <c r="K1099">
        <v>5.8</v>
      </c>
      <c r="L1099">
        <v>13748.62</v>
      </c>
      <c r="M1099">
        <v>2.08</v>
      </c>
      <c r="N1099">
        <v>45.76</v>
      </c>
      <c r="O1099">
        <v>55</v>
      </c>
      <c r="P1099" s="5">
        <v>46035</v>
      </c>
      <c r="Q1099" s="5">
        <v>46035</v>
      </c>
      <c r="R1099" t="s">
        <v>100</v>
      </c>
      <c r="S1099" t="s">
        <v>33</v>
      </c>
    </row>
    <row r="1100" spans="1:19" x14ac:dyDescent="0.25">
      <c r="A1100" t="s">
        <v>1195</v>
      </c>
      <c r="B1100" s="5">
        <v>46103</v>
      </c>
      <c r="C1100" t="s">
        <v>43</v>
      </c>
      <c r="D1100" t="s">
        <v>44</v>
      </c>
      <c r="E1100" t="s">
        <v>161</v>
      </c>
      <c r="F1100" t="s">
        <v>74</v>
      </c>
      <c r="G1100" t="s">
        <v>57</v>
      </c>
      <c r="H1100">
        <v>100</v>
      </c>
      <c r="I1100">
        <v>104</v>
      </c>
      <c r="J1100">
        <v>0</v>
      </c>
      <c r="K1100">
        <v>3.3</v>
      </c>
      <c r="L1100">
        <v>15558.75</v>
      </c>
      <c r="M1100">
        <v>2.97</v>
      </c>
      <c r="N1100">
        <v>77.22</v>
      </c>
      <c r="O1100">
        <v>94</v>
      </c>
      <c r="P1100" s="5">
        <v>46108</v>
      </c>
      <c r="Q1100" s="5">
        <v>46106</v>
      </c>
      <c r="R1100" t="s">
        <v>25</v>
      </c>
      <c r="S1100" t="s">
        <v>72</v>
      </c>
    </row>
    <row r="1101" spans="1:19" x14ac:dyDescent="0.25">
      <c r="A1101" t="s">
        <v>1196</v>
      </c>
      <c r="B1101" s="5">
        <v>46174</v>
      </c>
      <c r="C1101" t="s">
        <v>48</v>
      </c>
      <c r="D1101" t="s">
        <v>49</v>
      </c>
      <c r="E1101" t="s">
        <v>60</v>
      </c>
      <c r="F1101" t="s">
        <v>23</v>
      </c>
      <c r="G1101" t="s">
        <v>24</v>
      </c>
      <c r="H1101">
        <v>83</v>
      </c>
      <c r="I1101">
        <v>59</v>
      </c>
      <c r="J1101">
        <v>2</v>
      </c>
      <c r="K1101">
        <v>8.1999999999999993</v>
      </c>
      <c r="L1101">
        <v>13746.5</v>
      </c>
      <c r="M1101">
        <v>2.2999999999999998</v>
      </c>
      <c r="N1101">
        <v>59.8</v>
      </c>
      <c r="O1101">
        <v>129</v>
      </c>
      <c r="P1101" s="5">
        <v>46184</v>
      </c>
      <c r="Q1101" s="5">
        <v>46185</v>
      </c>
      <c r="R1101" t="s">
        <v>25</v>
      </c>
      <c r="S1101" t="s">
        <v>51</v>
      </c>
    </row>
    <row r="1102" spans="1:19" x14ac:dyDescent="0.25">
      <c r="A1102" t="s">
        <v>1197</v>
      </c>
      <c r="B1102" s="5">
        <v>46168</v>
      </c>
      <c r="C1102" t="s">
        <v>53</v>
      </c>
      <c r="D1102" t="s">
        <v>54</v>
      </c>
      <c r="E1102" t="s">
        <v>131</v>
      </c>
      <c r="F1102" t="s">
        <v>83</v>
      </c>
      <c r="G1102" t="s">
        <v>24</v>
      </c>
      <c r="H1102">
        <v>231</v>
      </c>
      <c r="I1102">
        <v>221</v>
      </c>
      <c r="J1102">
        <v>5</v>
      </c>
      <c r="K1102">
        <v>7.7</v>
      </c>
      <c r="L1102">
        <v>30568.639999999999</v>
      </c>
      <c r="M1102">
        <v>5.46</v>
      </c>
      <c r="N1102">
        <v>131.04</v>
      </c>
      <c r="O1102">
        <v>220</v>
      </c>
      <c r="P1102" s="5">
        <v>46176</v>
      </c>
      <c r="Q1102" s="5">
        <v>46175</v>
      </c>
      <c r="R1102" t="s">
        <v>39</v>
      </c>
      <c r="S1102" t="s">
        <v>26</v>
      </c>
    </row>
    <row r="1103" spans="1:19" x14ac:dyDescent="0.25">
      <c r="A1103" t="s">
        <v>1198</v>
      </c>
      <c r="B1103" s="5">
        <v>46059</v>
      </c>
      <c r="C1103" t="s">
        <v>53</v>
      </c>
      <c r="D1103" t="s">
        <v>54</v>
      </c>
      <c r="E1103" t="s">
        <v>55</v>
      </c>
      <c r="F1103" t="s">
        <v>41</v>
      </c>
      <c r="G1103" t="s">
        <v>24</v>
      </c>
      <c r="H1103">
        <v>286</v>
      </c>
      <c r="I1103">
        <v>244</v>
      </c>
      <c r="J1103">
        <v>13</v>
      </c>
      <c r="K1103">
        <v>1.9</v>
      </c>
      <c r="L1103">
        <v>41057.07</v>
      </c>
      <c r="M1103">
        <v>4.5999999999999996</v>
      </c>
      <c r="N1103">
        <v>101.2</v>
      </c>
      <c r="O1103">
        <v>257</v>
      </c>
      <c r="P1103" s="5">
        <v>46063</v>
      </c>
      <c r="Q1103" s="5">
        <v>46064</v>
      </c>
      <c r="R1103" t="s">
        <v>39</v>
      </c>
      <c r="S1103" t="s">
        <v>72</v>
      </c>
    </row>
    <row r="1104" spans="1:19" x14ac:dyDescent="0.25">
      <c r="A1104" t="s">
        <v>1199</v>
      </c>
      <c r="B1104" s="5">
        <v>46079</v>
      </c>
      <c r="C1104" t="s">
        <v>43</v>
      </c>
      <c r="D1104" t="s">
        <v>44</v>
      </c>
      <c r="E1104" t="s">
        <v>93</v>
      </c>
      <c r="F1104" t="s">
        <v>64</v>
      </c>
      <c r="G1104" t="s">
        <v>32</v>
      </c>
      <c r="H1104">
        <v>199</v>
      </c>
      <c r="I1104">
        <v>219</v>
      </c>
      <c r="J1104">
        <v>5</v>
      </c>
      <c r="K1104">
        <v>7.9</v>
      </c>
      <c r="L1104">
        <v>27353.52</v>
      </c>
      <c r="M1104">
        <v>5.29</v>
      </c>
      <c r="N1104">
        <v>105.8</v>
      </c>
      <c r="O1104">
        <v>245</v>
      </c>
      <c r="P1104" s="5">
        <v>46083</v>
      </c>
      <c r="Q1104" s="5">
        <v>46085</v>
      </c>
      <c r="R1104" t="s">
        <v>39</v>
      </c>
      <c r="S1104" t="s">
        <v>86</v>
      </c>
    </row>
    <row r="1105" spans="1:19" x14ac:dyDescent="0.25">
      <c r="A1105" t="s">
        <v>1200</v>
      </c>
      <c r="B1105" s="5">
        <v>46162</v>
      </c>
      <c r="C1105" t="s">
        <v>35</v>
      </c>
      <c r="D1105" t="s">
        <v>36</v>
      </c>
      <c r="E1105" t="s">
        <v>37</v>
      </c>
      <c r="F1105" t="s">
        <v>96</v>
      </c>
      <c r="G1105" t="s">
        <v>57</v>
      </c>
      <c r="H1105">
        <v>270</v>
      </c>
      <c r="I1105">
        <v>244</v>
      </c>
      <c r="J1105">
        <v>5</v>
      </c>
      <c r="K1105">
        <v>4.9000000000000004</v>
      </c>
      <c r="L1105">
        <v>29939.56</v>
      </c>
      <c r="M1105">
        <v>9.61</v>
      </c>
      <c r="N1105">
        <v>249.86</v>
      </c>
      <c r="O1105">
        <v>358</v>
      </c>
      <c r="P1105" s="5">
        <v>46167</v>
      </c>
      <c r="Q1105" s="5">
        <v>46167</v>
      </c>
      <c r="R1105" t="s">
        <v>25</v>
      </c>
      <c r="S1105" t="s">
        <v>72</v>
      </c>
    </row>
    <row r="1106" spans="1:19" x14ac:dyDescent="0.25">
      <c r="A1106" t="s">
        <v>1201</v>
      </c>
      <c r="B1106" s="5">
        <v>46184</v>
      </c>
      <c r="C1106" t="s">
        <v>59</v>
      </c>
      <c r="D1106" t="s">
        <v>49</v>
      </c>
      <c r="E1106" t="s">
        <v>76</v>
      </c>
      <c r="F1106" t="s">
        <v>96</v>
      </c>
      <c r="G1106" t="s">
        <v>32</v>
      </c>
      <c r="H1106">
        <v>314</v>
      </c>
      <c r="I1106">
        <v>244</v>
      </c>
      <c r="J1106">
        <v>2</v>
      </c>
      <c r="K1106">
        <v>3</v>
      </c>
      <c r="L1106">
        <v>41150.230000000003</v>
      </c>
      <c r="M1106">
        <v>6.01</v>
      </c>
      <c r="N1106">
        <v>108.18</v>
      </c>
      <c r="O1106">
        <v>374</v>
      </c>
      <c r="P1106" s="5">
        <v>46191</v>
      </c>
      <c r="Q1106" s="5">
        <v>46195</v>
      </c>
      <c r="R1106" t="s">
        <v>39</v>
      </c>
      <c r="S1106" t="s">
        <v>33</v>
      </c>
    </row>
    <row r="1107" spans="1:19" x14ac:dyDescent="0.25">
      <c r="A1107" t="s">
        <v>1202</v>
      </c>
      <c r="B1107" s="5">
        <v>46116</v>
      </c>
      <c r="C1107" t="s">
        <v>35</v>
      </c>
      <c r="D1107" t="s">
        <v>36</v>
      </c>
      <c r="E1107" t="s">
        <v>37</v>
      </c>
      <c r="F1107" t="s">
        <v>112</v>
      </c>
      <c r="G1107" t="s">
        <v>57</v>
      </c>
      <c r="H1107">
        <v>132</v>
      </c>
      <c r="I1107">
        <v>127</v>
      </c>
      <c r="J1107">
        <v>8</v>
      </c>
      <c r="K1107">
        <v>0.1</v>
      </c>
      <c r="L1107">
        <v>10870.22</v>
      </c>
      <c r="M1107">
        <v>5.04</v>
      </c>
      <c r="N1107">
        <v>110.88</v>
      </c>
      <c r="O1107">
        <v>119</v>
      </c>
      <c r="P1107" s="5">
        <v>46118</v>
      </c>
      <c r="Q1107" s="5">
        <v>46122</v>
      </c>
      <c r="R1107" t="s">
        <v>25</v>
      </c>
      <c r="S1107" t="s">
        <v>26</v>
      </c>
    </row>
    <row r="1108" spans="1:19" x14ac:dyDescent="0.25">
      <c r="A1108" t="s">
        <v>1203</v>
      </c>
      <c r="B1108" s="5">
        <v>46049</v>
      </c>
      <c r="C1108" t="s">
        <v>28</v>
      </c>
      <c r="D1108" t="s">
        <v>29</v>
      </c>
      <c r="E1108" t="s">
        <v>63</v>
      </c>
      <c r="F1108" t="s">
        <v>64</v>
      </c>
      <c r="G1108" t="s">
        <v>24</v>
      </c>
      <c r="H1108">
        <v>101</v>
      </c>
      <c r="I1108">
        <v>116</v>
      </c>
      <c r="J1108">
        <v>5</v>
      </c>
      <c r="K1108">
        <v>4.5999999999999996</v>
      </c>
      <c r="L1108">
        <v>26135.73</v>
      </c>
      <c r="M1108">
        <v>4</v>
      </c>
      <c r="N1108">
        <v>80</v>
      </c>
      <c r="O1108">
        <v>145</v>
      </c>
      <c r="P1108" s="5">
        <v>46055</v>
      </c>
      <c r="Q1108" s="5">
        <v>46059</v>
      </c>
      <c r="R1108" t="s">
        <v>100</v>
      </c>
      <c r="S1108" t="s">
        <v>51</v>
      </c>
    </row>
    <row r="1109" spans="1:19" x14ac:dyDescent="0.25">
      <c r="A1109" t="s">
        <v>1204</v>
      </c>
      <c r="B1109" s="5">
        <v>46066</v>
      </c>
      <c r="C1109" t="s">
        <v>80</v>
      </c>
      <c r="D1109" t="s">
        <v>21</v>
      </c>
      <c r="E1109" t="s">
        <v>90</v>
      </c>
      <c r="F1109" t="s">
        <v>74</v>
      </c>
      <c r="G1109" t="s">
        <v>32</v>
      </c>
      <c r="H1109">
        <v>263</v>
      </c>
      <c r="I1109">
        <v>259</v>
      </c>
      <c r="J1109">
        <v>22</v>
      </c>
      <c r="K1109">
        <v>2.8</v>
      </c>
      <c r="L1109">
        <v>74579.63</v>
      </c>
      <c r="M1109">
        <v>10.51</v>
      </c>
      <c r="N1109">
        <v>210.2</v>
      </c>
      <c r="O1109">
        <v>223</v>
      </c>
      <c r="P1109" s="5">
        <v>46069</v>
      </c>
      <c r="Q1109" s="5">
        <v>46069</v>
      </c>
      <c r="R1109" t="s">
        <v>25</v>
      </c>
      <c r="S1109" t="s">
        <v>26</v>
      </c>
    </row>
    <row r="1110" spans="1:19" x14ac:dyDescent="0.25">
      <c r="A1110" t="s">
        <v>1205</v>
      </c>
      <c r="B1110" s="5">
        <v>46114</v>
      </c>
      <c r="C1110" t="s">
        <v>80</v>
      </c>
      <c r="D1110" t="s">
        <v>21</v>
      </c>
      <c r="E1110" t="s">
        <v>22</v>
      </c>
      <c r="F1110" t="s">
        <v>110</v>
      </c>
      <c r="G1110" t="s">
        <v>24</v>
      </c>
      <c r="H1110">
        <v>120</v>
      </c>
      <c r="I1110">
        <v>130</v>
      </c>
      <c r="J1110">
        <v>9</v>
      </c>
      <c r="K1110">
        <v>6.3</v>
      </c>
      <c r="L1110">
        <v>27659.56</v>
      </c>
      <c r="M1110">
        <v>3.39</v>
      </c>
      <c r="N1110">
        <v>67.8</v>
      </c>
      <c r="O1110">
        <v>168</v>
      </c>
      <c r="P1110" s="5">
        <v>46126</v>
      </c>
      <c r="Q1110" s="5">
        <v>46126</v>
      </c>
      <c r="R1110" t="s">
        <v>100</v>
      </c>
      <c r="S1110" t="s">
        <v>86</v>
      </c>
    </row>
    <row r="1111" spans="1:19" x14ac:dyDescent="0.25">
      <c r="A1111" t="s">
        <v>1206</v>
      </c>
      <c r="B1111" s="5">
        <v>46031</v>
      </c>
      <c r="C1111" t="s">
        <v>53</v>
      </c>
      <c r="D1111" t="s">
        <v>54</v>
      </c>
      <c r="E1111" t="s">
        <v>131</v>
      </c>
      <c r="F1111" t="s">
        <v>67</v>
      </c>
      <c r="G1111" t="s">
        <v>57</v>
      </c>
      <c r="H1111">
        <v>91</v>
      </c>
      <c r="I1111">
        <v>102</v>
      </c>
      <c r="J1111">
        <v>5</v>
      </c>
      <c r="K1111">
        <v>6.9</v>
      </c>
      <c r="L1111">
        <v>17087.45</v>
      </c>
      <c r="M1111">
        <v>2.97</v>
      </c>
      <c r="N1111">
        <v>77.22</v>
      </c>
      <c r="O1111">
        <v>63</v>
      </c>
      <c r="P1111" s="5">
        <v>46038</v>
      </c>
      <c r="Q1111" s="5">
        <v>46039</v>
      </c>
      <c r="R1111" t="s">
        <v>25</v>
      </c>
      <c r="S1111" t="s">
        <v>33</v>
      </c>
    </row>
    <row r="1112" spans="1:19" x14ac:dyDescent="0.25">
      <c r="A1112" t="s">
        <v>1207</v>
      </c>
      <c r="B1112" s="5">
        <v>46035</v>
      </c>
      <c r="C1112" t="s">
        <v>80</v>
      </c>
      <c r="D1112" t="s">
        <v>21</v>
      </c>
      <c r="E1112" t="s">
        <v>90</v>
      </c>
      <c r="F1112" t="s">
        <v>170</v>
      </c>
      <c r="G1112" t="s">
        <v>57</v>
      </c>
      <c r="H1112">
        <v>153</v>
      </c>
      <c r="I1112">
        <v>173</v>
      </c>
      <c r="J1112">
        <v>10</v>
      </c>
      <c r="K1112">
        <v>8.6999999999999993</v>
      </c>
      <c r="L1112">
        <v>44054.13</v>
      </c>
      <c r="M1112">
        <v>5.98</v>
      </c>
      <c r="N1112">
        <v>155.47999999999999</v>
      </c>
      <c r="O1112">
        <v>143</v>
      </c>
      <c r="P1112" s="5">
        <v>46037</v>
      </c>
      <c r="Q1112" s="5">
        <v>46037</v>
      </c>
      <c r="R1112" t="s">
        <v>25</v>
      </c>
      <c r="S1112" t="s">
        <v>51</v>
      </c>
    </row>
    <row r="1113" spans="1:19" x14ac:dyDescent="0.25">
      <c r="A1113" t="s">
        <v>1208</v>
      </c>
      <c r="B1113" s="5">
        <v>46132</v>
      </c>
      <c r="C1113" t="s">
        <v>80</v>
      </c>
      <c r="D1113" t="s">
        <v>21</v>
      </c>
      <c r="E1113" t="s">
        <v>66</v>
      </c>
      <c r="F1113" t="s">
        <v>91</v>
      </c>
      <c r="G1113" t="s">
        <v>32</v>
      </c>
      <c r="H1113">
        <v>236</v>
      </c>
      <c r="I1113">
        <v>240</v>
      </c>
      <c r="J1113">
        <v>17</v>
      </c>
      <c r="K1113">
        <v>0.6</v>
      </c>
      <c r="L1113">
        <v>67200.69</v>
      </c>
      <c r="M1113">
        <v>9.56</v>
      </c>
      <c r="N1113">
        <v>191.2</v>
      </c>
      <c r="O1113">
        <v>282</v>
      </c>
      <c r="P1113" s="5">
        <v>46143</v>
      </c>
      <c r="Q1113" s="5">
        <v>46143</v>
      </c>
      <c r="R1113" t="s">
        <v>39</v>
      </c>
      <c r="S1113" t="s">
        <v>51</v>
      </c>
    </row>
    <row r="1114" spans="1:19" x14ac:dyDescent="0.25">
      <c r="A1114" t="s">
        <v>1209</v>
      </c>
      <c r="B1114" s="5">
        <v>46118</v>
      </c>
      <c r="C1114" t="s">
        <v>48</v>
      </c>
      <c r="D1114" t="s">
        <v>49</v>
      </c>
      <c r="E1114" t="s">
        <v>50</v>
      </c>
      <c r="F1114" t="s">
        <v>64</v>
      </c>
      <c r="G1114" t="s">
        <v>57</v>
      </c>
      <c r="H1114">
        <v>91</v>
      </c>
      <c r="I1114">
        <v>79</v>
      </c>
      <c r="J1114">
        <v>0</v>
      </c>
      <c r="K1114">
        <v>0.5</v>
      </c>
      <c r="L1114">
        <v>18782.72</v>
      </c>
      <c r="M1114">
        <v>2.52</v>
      </c>
      <c r="N1114">
        <v>45.36</v>
      </c>
      <c r="O1114">
        <v>152</v>
      </c>
      <c r="P1114" s="5">
        <v>46129</v>
      </c>
      <c r="Q1114" s="5">
        <v>46131</v>
      </c>
      <c r="R1114" t="s">
        <v>39</v>
      </c>
      <c r="S1114" t="s">
        <v>26</v>
      </c>
    </row>
    <row r="1115" spans="1:19" x14ac:dyDescent="0.25">
      <c r="A1115" t="s">
        <v>1210</v>
      </c>
      <c r="B1115" s="5">
        <v>46122</v>
      </c>
      <c r="C1115" t="s">
        <v>53</v>
      </c>
      <c r="D1115" t="s">
        <v>54</v>
      </c>
      <c r="E1115" t="s">
        <v>131</v>
      </c>
      <c r="F1115" t="s">
        <v>114</v>
      </c>
      <c r="G1115" t="s">
        <v>24</v>
      </c>
      <c r="H1115">
        <v>147</v>
      </c>
      <c r="I1115">
        <v>108</v>
      </c>
      <c r="J1115">
        <v>7</v>
      </c>
      <c r="K1115">
        <v>2.2000000000000002</v>
      </c>
      <c r="L1115">
        <v>14358.73</v>
      </c>
      <c r="M1115">
        <v>3.71</v>
      </c>
      <c r="N1115">
        <v>74.2</v>
      </c>
      <c r="O1115">
        <v>156</v>
      </c>
      <c r="P1115" s="5">
        <v>46133</v>
      </c>
      <c r="Q1115" s="5">
        <v>46133</v>
      </c>
      <c r="R1115" t="s">
        <v>25</v>
      </c>
      <c r="S1115" t="s">
        <v>86</v>
      </c>
    </row>
    <row r="1116" spans="1:19" x14ac:dyDescent="0.25">
      <c r="A1116" t="s">
        <v>1211</v>
      </c>
      <c r="B1116" s="5">
        <v>46080</v>
      </c>
      <c r="C1116" t="s">
        <v>80</v>
      </c>
      <c r="D1116" t="s">
        <v>21</v>
      </c>
      <c r="E1116" t="s">
        <v>22</v>
      </c>
      <c r="F1116" t="s">
        <v>46</v>
      </c>
      <c r="G1116" t="s">
        <v>32</v>
      </c>
      <c r="H1116">
        <v>180</v>
      </c>
      <c r="I1116">
        <v>167</v>
      </c>
      <c r="J1116">
        <v>6</v>
      </c>
      <c r="K1116">
        <v>7.6</v>
      </c>
      <c r="L1116">
        <v>37245.230000000003</v>
      </c>
      <c r="M1116">
        <v>3.88</v>
      </c>
      <c r="N1116">
        <v>85.36</v>
      </c>
      <c r="O1116">
        <v>142</v>
      </c>
      <c r="P1116" s="5">
        <v>46083</v>
      </c>
      <c r="Q1116" s="5">
        <v>46087</v>
      </c>
      <c r="R1116" t="s">
        <v>25</v>
      </c>
      <c r="S1116" t="s">
        <v>86</v>
      </c>
    </row>
    <row r="1117" spans="1:19" x14ac:dyDescent="0.25">
      <c r="A1117" t="s">
        <v>1212</v>
      </c>
      <c r="B1117" s="5">
        <v>46056</v>
      </c>
      <c r="C1117" t="s">
        <v>35</v>
      </c>
      <c r="D1117" t="s">
        <v>36</v>
      </c>
      <c r="E1117" t="s">
        <v>37</v>
      </c>
      <c r="F1117" t="s">
        <v>56</v>
      </c>
      <c r="G1117" t="s">
        <v>57</v>
      </c>
      <c r="H1117">
        <v>153</v>
      </c>
      <c r="I1117">
        <v>117</v>
      </c>
      <c r="J1117">
        <v>6</v>
      </c>
      <c r="K1117">
        <v>1.7</v>
      </c>
      <c r="L1117">
        <v>8310.17</v>
      </c>
      <c r="M1117">
        <v>4.7699999999999996</v>
      </c>
      <c r="N1117">
        <v>95.4</v>
      </c>
      <c r="O1117">
        <v>169</v>
      </c>
      <c r="P1117" s="5">
        <v>46061</v>
      </c>
      <c r="Q1117" s="5">
        <v>46061</v>
      </c>
      <c r="R1117" t="s">
        <v>25</v>
      </c>
      <c r="S1117" t="s">
        <v>33</v>
      </c>
    </row>
    <row r="1118" spans="1:19" x14ac:dyDescent="0.25">
      <c r="A1118" t="s">
        <v>1213</v>
      </c>
      <c r="B1118" s="5">
        <v>46026</v>
      </c>
      <c r="C1118" t="s">
        <v>80</v>
      </c>
      <c r="D1118" t="s">
        <v>21</v>
      </c>
      <c r="E1118" t="s">
        <v>66</v>
      </c>
      <c r="F1118" t="s">
        <v>135</v>
      </c>
      <c r="G1118" t="s">
        <v>57</v>
      </c>
      <c r="H1118">
        <v>90</v>
      </c>
      <c r="I1118">
        <v>89</v>
      </c>
      <c r="J1118">
        <v>7</v>
      </c>
      <c r="K1118">
        <v>7.6</v>
      </c>
      <c r="L1118">
        <v>18500.599999999999</v>
      </c>
      <c r="M1118">
        <v>2.96</v>
      </c>
      <c r="N1118">
        <v>76.959999999999994</v>
      </c>
      <c r="O1118">
        <v>155</v>
      </c>
      <c r="P1118" s="5">
        <v>46036</v>
      </c>
      <c r="Q1118" s="5">
        <v>46036</v>
      </c>
      <c r="R1118" t="s">
        <v>25</v>
      </c>
      <c r="S1118" t="s">
        <v>33</v>
      </c>
    </row>
    <row r="1119" spans="1:19" x14ac:dyDescent="0.25">
      <c r="A1119" t="s">
        <v>1214</v>
      </c>
      <c r="B1119" s="5">
        <v>46045</v>
      </c>
      <c r="C1119" t="s">
        <v>35</v>
      </c>
      <c r="D1119" t="s">
        <v>36</v>
      </c>
      <c r="E1119" t="s">
        <v>69</v>
      </c>
      <c r="F1119" t="s">
        <v>56</v>
      </c>
      <c r="G1119" t="s">
        <v>24</v>
      </c>
      <c r="H1119">
        <v>193</v>
      </c>
      <c r="I1119">
        <v>157</v>
      </c>
      <c r="J1119">
        <v>2</v>
      </c>
      <c r="K1119">
        <v>8.3000000000000007</v>
      </c>
      <c r="L1119">
        <v>13955.06</v>
      </c>
      <c r="M1119">
        <v>6.43</v>
      </c>
      <c r="N1119">
        <v>154.32</v>
      </c>
      <c r="O1119">
        <v>238</v>
      </c>
      <c r="P1119" s="5">
        <v>46056</v>
      </c>
      <c r="Q1119" s="5">
        <v>46060</v>
      </c>
      <c r="R1119" t="s">
        <v>25</v>
      </c>
      <c r="S1119" t="s">
        <v>51</v>
      </c>
    </row>
    <row r="1120" spans="1:19" x14ac:dyDescent="0.25">
      <c r="A1120" t="s">
        <v>1215</v>
      </c>
      <c r="B1120" s="5">
        <v>46045</v>
      </c>
      <c r="C1120" t="s">
        <v>43</v>
      </c>
      <c r="D1120" t="s">
        <v>44</v>
      </c>
      <c r="E1120" t="s">
        <v>45</v>
      </c>
      <c r="F1120" t="s">
        <v>91</v>
      </c>
      <c r="G1120" t="s">
        <v>24</v>
      </c>
      <c r="H1120">
        <v>268</v>
      </c>
      <c r="I1120">
        <v>261</v>
      </c>
      <c r="J1120">
        <v>11</v>
      </c>
      <c r="K1120">
        <v>1.5</v>
      </c>
      <c r="L1120">
        <v>28767.43</v>
      </c>
      <c r="M1120">
        <v>6.2</v>
      </c>
      <c r="N1120">
        <v>124</v>
      </c>
      <c r="O1120">
        <v>230</v>
      </c>
      <c r="P1120" s="5">
        <v>46049</v>
      </c>
      <c r="Q1120" s="5">
        <v>46053</v>
      </c>
      <c r="R1120" t="s">
        <v>25</v>
      </c>
      <c r="S1120" t="s">
        <v>51</v>
      </c>
    </row>
    <row r="1121" spans="1:19" x14ac:dyDescent="0.25">
      <c r="A1121" t="s">
        <v>1216</v>
      </c>
      <c r="B1121" s="5">
        <v>46042</v>
      </c>
      <c r="C1121" t="s">
        <v>59</v>
      </c>
      <c r="D1121" t="s">
        <v>49</v>
      </c>
      <c r="E1121" t="s">
        <v>76</v>
      </c>
      <c r="F1121" t="s">
        <v>31</v>
      </c>
      <c r="G1121" t="s">
        <v>32</v>
      </c>
      <c r="H1121">
        <v>198</v>
      </c>
      <c r="I1121">
        <v>218</v>
      </c>
      <c r="J1121">
        <v>14</v>
      </c>
      <c r="K1121">
        <v>1.1000000000000001</v>
      </c>
      <c r="L1121">
        <v>39146</v>
      </c>
      <c r="M1121">
        <v>8.1199999999999992</v>
      </c>
      <c r="N1121">
        <v>162.4</v>
      </c>
      <c r="O1121">
        <v>215</v>
      </c>
      <c r="P1121" s="5">
        <v>46052</v>
      </c>
      <c r="Q1121" s="5">
        <v>46050</v>
      </c>
      <c r="R1121" t="s">
        <v>25</v>
      </c>
      <c r="S1121" t="s">
        <v>51</v>
      </c>
    </row>
    <row r="1122" spans="1:19" x14ac:dyDescent="0.25">
      <c r="A1122" t="s">
        <v>1217</v>
      </c>
      <c r="B1122" s="5">
        <v>46048</v>
      </c>
      <c r="C1122" t="s">
        <v>43</v>
      </c>
      <c r="D1122" t="s">
        <v>44</v>
      </c>
      <c r="E1122" t="s">
        <v>93</v>
      </c>
      <c r="F1122" t="s">
        <v>85</v>
      </c>
      <c r="G1122" t="s">
        <v>32</v>
      </c>
      <c r="H1122">
        <v>170</v>
      </c>
      <c r="I1122">
        <v>188</v>
      </c>
      <c r="J1122">
        <v>9</v>
      </c>
      <c r="K1122">
        <v>1.1000000000000001</v>
      </c>
      <c r="L1122">
        <v>22596.76</v>
      </c>
      <c r="M1122">
        <v>3.4</v>
      </c>
      <c r="N1122">
        <v>74.8</v>
      </c>
      <c r="O1122">
        <v>154</v>
      </c>
      <c r="P1122" s="5">
        <v>46056</v>
      </c>
      <c r="Q1122" s="5">
        <v>46055</v>
      </c>
      <c r="R1122" t="s">
        <v>25</v>
      </c>
      <c r="S1122" t="s">
        <v>51</v>
      </c>
    </row>
    <row r="1123" spans="1:19" x14ac:dyDescent="0.25">
      <c r="A1123" t="s">
        <v>1218</v>
      </c>
      <c r="B1123" s="5">
        <v>46160</v>
      </c>
      <c r="C1123" t="s">
        <v>48</v>
      </c>
      <c r="D1123" t="s">
        <v>49</v>
      </c>
      <c r="E1123" t="s">
        <v>76</v>
      </c>
      <c r="F1123" t="s">
        <v>197</v>
      </c>
      <c r="G1123" t="s">
        <v>32</v>
      </c>
      <c r="H1123">
        <v>220</v>
      </c>
      <c r="I1123">
        <v>210</v>
      </c>
      <c r="J1123">
        <v>14</v>
      </c>
      <c r="K1123">
        <v>7.9</v>
      </c>
      <c r="L1123">
        <v>42630.51</v>
      </c>
      <c r="M1123">
        <v>8.68</v>
      </c>
      <c r="N1123">
        <v>173.6</v>
      </c>
      <c r="O1123">
        <v>204</v>
      </c>
      <c r="P1123" s="5">
        <v>46168</v>
      </c>
      <c r="Q1123" s="5">
        <v>46166</v>
      </c>
      <c r="R1123" t="s">
        <v>25</v>
      </c>
      <c r="S1123" t="s">
        <v>51</v>
      </c>
    </row>
    <row r="1124" spans="1:19" x14ac:dyDescent="0.25">
      <c r="A1124" t="s">
        <v>1219</v>
      </c>
      <c r="B1124" s="5">
        <v>46145</v>
      </c>
      <c r="C1124" t="s">
        <v>28</v>
      </c>
      <c r="D1124" t="s">
        <v>29</v>
      </c>
      <c r="E1124" t="s">
        <v>63</v>
      </c>
      <c r="F1124" t="s">
        <v>41</v>
      </c>
      <c r="G1124" t="s">
        <v>57</v>
      </c>
      <c r="H1124">
        <v>220</v>
      </c>
      <c r="I1124">
        <v>251</v>
      </c>
      <c r="J1124">
        <v>15</v>
      </c>
      <c r="K1124">
        <v>1.4</v>
      </c>
      <c r="L1124">
        <v>65459.46</v>
      </c>
      <c r="M1124">
        <v>5.56</v>
      </c>
      <c r="N1124">
        <v>144.56</v>
      </c>
      <c r="O1124">
        <v>250</v>
      </c>
      <c r="P1124" s="5">
        <v>46152</v>
      </c>
      <c r="Q1124" s="5">
        <v>46152</v>
      </c>
      <c r="R1124" t="s">
        <v>25</v>
      </c>
      <c r="S1124" t="s">
        <v>26</v>
      </c>
    </row>
    <row r="1125" spans="1:19" x14ac:dyDescent="0.25">
      <c r="A1125" t="s">
        <v>1220</v>
      </c>
      <c r="B1125" s="5">
        <v>46058</v>
      </c>
      <c r="C1125" t="s">
        <v>43</v>
      </c>
      <c r="D1125" t="s">
        <v>44</v>
      </c>
      <c r="E1125" t="s">
        <v>45</v>
      </c>
      <c r="F1125" t="s">
        <v>122</v>
      </c>
      <c r="G1125" t="s">
        <v>57</v>
      </c>
      <c r="H1125">
        <v>273</v>
      </c>
      <c r="I1125">
        <v>252</v>
      </c>
      <c r="J1125">
        <v>1</v>
      </c>
      <c r="K1125">
        <v>1.6</v>
      </c>
      <c r="L1125">
        <v>25092.54</v>
      </c>
      <c r="M1125">
        <v>5.31</v>
      </c>
      <c r="N1125">
        <v>106.2</v>
      </c>
      <c r="O1125">
        <v>267</v>
      </c>
      <c r="P1125" s="5">
        <v>46070</v>
      </c>
      <c r="Q1125" s="5">
        <v>46070</v>
      </c>
      <c r="R1125" t="s">
        <v>25</v>
      </c>
      <c r="S1125" t="s">
        <v>86</v>
      </c>
    </row>
    <row r="1126" spans="1:19" x14ac:dyDescent="0.25">
      <c r="A1126" t="s">
        <v>1221</v>
      </c>
      <c r="B1126" s="5">
        <v>46094</v>
      </c>
      <c r="C1126" t="s">
        <v>53</v>
      </c>
      <c r="D1126" t="s">
        <v>54</v>
      </c>
      <c r="E1126" t="s">
        <v>131</v>
      </c>
      <c r="F1126" t="s">
        <v>170</v>
      </c>
      <c r="G1126" t="s">
        <v>57</v>
      </c>
      <c r="H1126">
        <v>247</v>
      </c>
      <c r="I1126">
        <v>200</v>
      </c>
      <c r="J1126">
        <v>3</v>
      </c>
      <c r="K1126">
        <v>6.7</v>
      </c>
      <c r="L1126">
        <v>25818.639999999999</v>
      </c>
      <c r="M1126">
        <v>5.62</v>
      </c>
      <c r="N1126">
        <v>123.64</v>
      </c>
      <c r="O1126">
        <v>257</v>
      </c>
      <c r="P1126" s="5">
        <v>46096</v>
      </c>
      <c r="Q1126" s="5">
        <v>46096</v>
      </c>
      <c r="R1126" t="s">
        <v>25</v>
      </c>
      <c r="S1126" t="s">
        <v>51</v>
      </c>
    </row>
    <row r="1127" spans="1:19" x14ac:dyDescent="0.25">
      <c r="A1127" t="s">
        <v>1222</v>
      </c>
      <c r="B1127" s="5">
        <v>46035</v>
      </c>
      <c r="C1127" t="s">
        <v>59</v>
      </c>
      <c r="D1127" t="s">
        <v>49</v>
      </c>
      <c r="E1127" t="s">
        <v>60</v>
      </c>
      <c r="F1127" t="s">
        <v>38</v>
      </c>
      <c r="G1127" t="s">
        <v>57</v>
      </c>
      <c r="H1127">
        <v>258</v>
      </c>
      <c r="I1127">
        <v>202</v>
      </c>
      <c r="J1127">
        <v>16</v>
      </c>
      <c r="K1127">
        <v>1.2</v>
      </c>
      <c r="L1127">
        <v>33197.81</v>
      </c>
      <c r="M1127">
        <v>8.15</v>
      </c>
      <c r="N1127">
        <v>146.69999999999999</v>
      </c>
      <c r="O1127">
        <v>280</v>
      </c>
      <c r="P1127" s="5">
        <v>46042</v>
      </c>
      <c r="Q1127" s="5">
        <v>46042</v>
      </c>
      <c r="R1127" t="s">
        <v>25</v>
      </c>
      <c r="S1127" t="s">
        <v>26</v>
      </c>
    </row>
    <row r="1128" spans="1:19" x14ac:dyDescent="0.25">
      <c r="A1128" t="s">
        <v>1223</v>
      </c>
      <c r="B1128" s="5">
        <v>46046</v>
      </c>
      <c r="C1128" t="s">
        <v>35</v>
      </c>
      <c r="D1128" t="s">
        <v>36</v>
      </c>
      <c r="E1128" t="s">
        <v>69</v>
      </c>
      <c r="F1128" t="s">
        <v>91</v>
      </c>
      <c r="G1128" t="s">
        <v>32</v>
      </c>
      <c r="H1128">
        <v>306</v>
      </c>
      <c r="I1128">
        <v>226</v>
      </c>
      <c r="J1128">
        <v>6</v>
      </c>
      <c r="K1128">
        <v>1.8</v>
      </c>
      <c r="L1128">
        <v>24102.28</v>
      </c>
      <c r="M1128">
        <v>5.94</v>
      </c>
      <c r="N1128">
        <v>154.44</v>
      </c>
      <c r="O1128">
        <v>325</v>
      </c>
      <c r="P1128" s="5">
        <v>46055</v>
      </c>
      <c r="Q1128" s="5">
        <v>46059</v>
      </c>
      <c r="R1128" t="s">
        <v>100</v>
      </c>
      <c r="S1128" t="s">
        <v>26</v>
      </c>
    </row>
    <row r="1129" spans="1:19" x14ac:dyDescent="0.25">
      <c r="A1129" t="s">
        <v>1224</v>
      </c>
      <c r="B1129" s="5">
        <v>46047</v>
      </c>
      <c r="C1129" t="s">
        <v>28</v>
      </c>
      <c r="D1129" t="s">
        <v>29</v>
      </c>
      <c r="E1129" t="s">
        <v>63</v>
      </c>
      <c r="F1129" t="s">
        <v>64</v>
      </c>
      <c r="G1129" t="s">
        <v>57</v>
      </c>
      <c r="H1129">
        <v>276</v>
      </c>
      <c r="I1129">
        <v>207</v>
      </c>
      <c r="J1129">
        <v>1</v>
      </c>
      <c r="K1129">
        <v>1.5</v>
      </c>
      <c r="L1129">
        <v>47887.75</v>
      </c>
      <c r="M1129">
        <v>8.1199999999999992</v>
      </c>
      <c r="N1129">
        <v>146.16</v>
      </c>
      <c r="O1129">
        <v>356</v>
      </c>
      <c r="P1129" s="5">
        <v>46053</v>
      </c>
      <c r="Q1129" s="5">
        <v>46055</v>
      </c>
      <c r="R1129" t="s">
        <v>39</v>
      </c>
      <c r="S1129" t="s">
        <v>26</v>
      </c>
    </row>
    <row r="1130" spans="1:19" x14ac:dyDescent="0.25">
      <c r="A1130" t="s">
        <v>1225</v>
      </c>
      <c r="B1130" s="5">
        <v>46158</v>
      </c>
      <c r="C1130" t="s">
        <v>28</v>
      </c>
      <c r="D1130" t="s">
        <v>29</v>
      </c>
      <c r="E1130" t="s">
        <v>63</v>
      </c>
      <c r="F1130" t="s">
        <v>71</v>
      </c>
      <c r="G1130" t="s">
        <v>32</v>
      </c>
      <c r="H1130">
        <v>281</v>
      </c>
      <c r="I1130">
        <v>205</v>
      </c>
      <c r="J1130">
        <v>5</v>
      </c>
      <c r="K1130">
        <v>8.6999999999999993</v>
      </c>
      <c r="L1130">
        <v>44705.08</v>
      </c>
      <c r="M1130">
        <v>6.74</v>
      </c>
      <c r="N1130">
        <v>161.76</v>
      </c>
      <c r="O1130">
        <v>282</v>
      </c>
      <c r="P1130" s="5">
        <v>46162</v>
      </c>
      <c r="Q1130" s="5">
        <v>46161</v>
      </c>
      <c r="R1130" t="s">
        <v>25</v>
      </c>
      <c r="S1130" t="s">
        <v>72</v>
      </c>
    </row>
    <row r="1131" spans="1:19" x14ac:dyDescent="0.25">
      <c r="A1131" t="s">
        <v>1226</v>
      </c>
      <c r="B1131" s="5">
        <v>46026</v>
      </c>
      <c r="C1131" t="s">
        <v>80</v>
      </c>
      <c r="D1131" t="s">
        <v>21</v>
      </c>
      <c r="E1131" t="s">
        <v>90</v>
      </c>
      <c r="F1131" t="s">
        <v>88</v>
      </c>
      <c r="G1131" t="s">
        <v>24</v>
      </c>
      <c r="H1131">
        <v>183</v>
      </c>
      <c r="I1131">
        <v>175</v>
      </c>
      <c r="J1131">
        <v>6</v>
      </c>
      <c r="K1131">
        <v>7.6</v>
      </c>
      <c r="L1131">
        <v>58125.64</v>
      </c>
      <c r="M1131">
        <v>5.08</v>
      </c>
      <c r="N1131">
        <v>91.44</v>
      </c>
      <c r="O1131">
        <v>241</v>
      </c>
      <c r="P1131" s="5">
        <v>46031</v>
      </c>
      <c r="Q1131" s="5">
        <v>46033</v>
      </c>
      <c r="R1131" t="s">
        <v>25</v>
      </c>
      <c r="S1131" t="s">
        <v>26</v>
      </c>
    </row>
    <row r="1132" spans="1:19" x14ac:dyDescent="0.25">
      <c r="A1132" t="s">
        <v>1227</v>
      </c>
      <c r="B1132" s="5">
        <v>46123</v>
      </c>
      <c r="C1132" t="s">
        <v>48</v>
      </c>
      <c r="D1132" t="s">
        <v>49</v>
      </c>
      <c r="E1132" t="s">
        <v>76</v>
      </c>
      <c r="F1132" t="s">
        <v>197</v>
      </c>
      <c r="G1132" t="s">
        <v>57</v>
      </c>
      <c r="H1132">
        <v>95</v>
      </c>
      <c r="I1132">
        <v>80</v>
      </c>
      <c r="J1132">
        <v>2</v>
      </c>
      <c r="K1132">
        <v>6.9</v>
      </c>
      <c r="L1132">
        <v>15198.5</v>
      </c>
      <c r="M1132">
        <v>2.29</v>
      </c>
      <c r="N1132">
        <v>54.96</v>
      </c>
      <c r="O1132">
        <v>155</v>
      </c>
      <c r="P1132" s="5">
        <v>46128</v>
      </c>
      <c r="Q1132" s="5">
        <v>46128</v>
      </c>
      <c r="R1132" t="s">
        <v>39</v>
      </c>
      <c r="S1132" t="s">
        <v>51</v>
      </c>
    </row>
    <row r="1133" spans="1:19" x14ac:dyDescent="0.25">
      <c r="A1133" t="s">
        <v>1228</v>
      </c>
      <c r="B1133" s="5">
        <v>46168</v>
      </c>
      <c r="C1133" t="s">
        <v>35</v>
      </c>
      <c r="D1133" t="s">
        <v>36</v>
      </c>
      <c r="E1133" t="s">
        <v>69</v>
      </c>
      <c r="F1133" t="s">
        <v>122</v>
      </c>
      <c r="G1133" t="s">
        <v>57</v>
      </c>
      <c r="H1133">
        <v>82</v>
      </c>
      <c r="I1133">
        <v>69</v>
      </c>
      <c r="J1133">
        <v>4</v>
      </c>
      <c r="K1133">
        <v>1.5</v>
      </c>
      <c r="L1133">
        <v>6167.18</v>
      </c>
      <c r="M1133">
        <v>1.88</v>
      </c>
      <c r="N1133">
        <v>45.12</v>
      </c>
      <c r="O1133">
        <v>80</v>
      </c>
      <c r="P1133" s="5">
        <v>46171</v>
      </c>
      <c r="Q1133" s="5">
        <v>46171</v>
      </c>
      <c r="R1133" t="s">
        <v>25</v>
      </c>
      <c r="S1133" t="s">
        <v>72</v>
      </c>
    </row>
    <row r="1134" spans="1:19" x14ac:dyDescent="0.25">
      <c r="A1134" t="s">
        <v>1229</v>
      </c>
      <c r="B1134" s="5">
        <v>46193</v>
      </c>
      <c r="C1134" t="s">
        <v>43</v>
      </c>
      <c r="D1134" t="s">
        <v>44</v>
      </c>
      <c r="E1134" t="s">
        <v>45</v>
      </c>
      <c r="F1134" t="s">
        <v>41</v>
      </c>
      <c r="G1134" t="s">
        <v>24</v>
      </c>
      <c r="H1134">
        <v>167</v>
      </c>
      <c r="I1134">
        <v>187</v>
      </c>
      <c r="J1134">
        <v>10</v>
      </c>
      <c r="K1134">
        <v>2.9</v>
      </c>
      <c r="L1134">
        <v>20849.41</v>
      </c>
      <c r="M1134">
        <v>5.68</v>
      </c>
      <c r="N1134">
        <v>147.68</v>
      </c>
      <c r="O1134">
        <v>137</v>
      </c>
      <c r="P1134" s="5">
        <v>46203</v>
      </c>
      <c r="Q1134" s="5">
        <v>46207</v>
      </c>
      <c r="R1134" t="s">
        <v>39</v>
      </c>
      <c r="S1134" t="s">
        <v>33</v>
      </c>
    </row>
    <row r="1135" spans="1:19" x14ac:dyDescent="0.25">
      <c r="A1135" t="s">
        <v>1230</v>
      </c>
      <c r="B1135" s="5">
        <v>46182</v>
      </c>
      <c r="C1135" t="s">
        <v>35</v>
      </c>
      <c r="D1135" t="s">
        <v>36</v>
      </c>
      <c r="E1135" t="s">
        <v>37</v>
      </c>
      <c r="F1135" t="s">
        <v>38</v>
      </c>
      <c r="G1135" t="s">
        <v>57</v>
      </c>
      <c r="H1135">
        <v>243</v>
      </c>
      <c r="I1135">
        <v>200</v>
      </c>
      <c r="J1135">
        <v>6</v>
      </c>
      <c r="K1135">
        <v>7.4</v>
      </c>
      <c r="L1135">
        <v>16083.95</v>
      </c>
      <c r="M1135">
        <v>6.88</v>
      </c>
      <c r="N1135">
        <v>151.36000000000001</v>
      </c>
      <c r="O1135">
        <v>259</v>
      </c>
      <c r="P1135" s="5">
        <v>46187</v>
      </c>
      <c r="Q1135" s="5">
        <v>46188</v>
      </c>
      <c r="R1135" t="s">
        <v>25</v>
      </c>
      <c r="S1135" t="s">
        <v>86</v>
      </c>
    </row>
    <row r="1136" spans="1:19" x14ac:dyDescent="0.25">
      <c r="A1136" t="s">
        <v>1231</v>
      </c>
      <c r="B1136" s="5">
        <v>46140</v>
      </c>
      <c r="C1136" t="s">
        <v>43</v>
      </c>
      <c r="D1136" t="s">
        <v>44</v>
      </c>
      <c r="E1136" t="s">
        <v>161</v>
      </c>
      <c r="F1136" t="s">
        <v>119</v>
      </c>
      <c r="G1136" t="s">
        <v>32</v>
      </c>
      <c r="H1136">
        <v>250</v>
      </c>
      <c r="I1136">
        <v>186</v>
      </c>
      <c r="J1136">
        <v>9</v>
      </c>
      <c r="K1136">
        <v>2</v>
      </c>
      <c r="L1136">
        <v>18376.89</v>
      </c>
      <c r="M1136">
        <v>6.99</v>
      </c>
      <c r="N1136">
        <v>139.80000000000001</v>
      </c>
      <c r="O1136">
        <v>229</v>
      </c>
      <c r="P1136" s="5">
        <v>46143</v>
      </c>
      <c r="Q1136" s="5">
        <v>46144</v>
      </c>
      <c r="R1136" t="s">
        <v>39</v>
      </c>
      <c r="S1136" t="s">
        <v>33</v>
      </c>
    </row>
    <row r="1137" spans="1:19" x14ac:dyDescent="0.25">
      <c r="A1137" t="s">
        <v>1232</v>
      </c>
      <c r="B1137" s="5">
        <v>46118</v>
      </c>
      <c r="C1137" t="s">
        <v>59</v>
      </c>
      <c r="D1137" t="s">
        <v>49</v>
      </c>
      <c r="E1137" t="s">
        <v>76</v>
      </c>
      <c r="F1137" t="s">
        <v>31</v>
      </c>
      <c r="G1137" t="s">
        <v>32</v>
      </c>
      <c r="H1137">
        <v>301</v>
      </c>
      <c r="I1137">
        <v>277</v>
      </c>
      <c r="J1137">
        <v>19</v>
      </c>
      <c r="K1137">
        <v>8.1999999999999993</v>
      </c>
      <c r="L1137">
        <v>46414.84</v>
      </c>
      <c r="M1137">
        <v>7.19</v>
      </c>
      <c r="N1137">
        <v>172.56</v>
      </c>
      <c r="O1137">
        <v>363</v>
      </c>
      <c r="P1137" s="5">
        <v>46129</v>
      </c>
      <c r="Q1137" s="5">
        <v>46129</v>
      </c>
      <c r="R1137" t="s">
        <v>25</v>
      </c>
      <c r="S1137" t="s">
        <v>51</v>
      </c>
    </row>
    <row r="1138" spans="1:19" x14ac:dyDescent="0.25">
      <c r="A1138" t="s">
        <v>1233</v>
      </c>
      <c r="B1138" s="5">
        <v>46134</v>
      </c>
      <c r="C1138" t="s">
        <v>48</v>
      </c>
      <c r="D1138" t="s">
        <v>49</v>
      </c>
      <c r="E1138" t="s">
        <v>60</v>
      </c>
      <c r="F1138" t="s">
        <v>88</v>
      </c>
      <c r="G1138" t="s">
        <v>57</v>
      </c>
      <c r="H1138">
        <v>200</v>
      </c>
      <c r="I1138">
        <v>229</v>
      </c>
      <c r="J1138">
        <v>6</v>
      </c>
      <c r="K1138">
        <v>3.5</v>
      </c>
      <c r="L1138">
        <v>53242.42</v>
      </c>
      <c r="M1138">
        <v>6.22</v>
      </c>
      <c r="N1138">
        <v>111.96</v>
      </c>
      <c r="O1138">
        <v>270</v>
      </c>
      <c r="P1138" s="5">
        <v>46139</v>
      </c>
      <c r="Q1138" s="5">
        <v>46139</v>
      </c>
      <c r="R1138" t="s">
        <v>25</v>
      </c>
      <c r="S1138" t="s">
        <v>86</v>
      </c>
    </row>
    <row r="1139" spans="1:19" x14ac:dyDescent="0.25">
      <c r="A1139" t="s">
        <v>1234</v>
      </c>
      <c r="B1139" s="5">
        <v>46096</v>
      </c>
      <c r="C1139" t="s">
        <v>48</v>
      </c>
      <c r="D1139" t="s">
        <v>49</v>
      </c>
      <c r="E1139" t="s">
        <v>50</v>
      </c>
      <c r="F1139" t="s">
        <v>104</v>
      </c>
      <c r="G1139" t="s">
        <v>57</v>
      </c>
      <c r="H1139">
        <v>217</v>
      </c>
      <c r="I1139">
        <v>221</v>
      </c>
      <c r="J1139">
        <v>1</v>
      </c>
      <c r="K1139">
        <v>3</v>
      </c>
      <c r="L1139">
        <v>51167.839999999997</v>
      </c>
      <c r="M1139">
        <v>8.9600000000000009</v>
      </c>
      <c r="N1139">
        <v>232.96</v>
      </c>
      <c r="O1139">
        <v>199</v>
      </c>
      <c r="P1139" s="5">
        <v>46103</v>
      </c>
      <c r="Q1139" s="5">
        <v>46103</v>
      </c>
      <c r="R1139" t="s">
        <v>100</v>
      </c>
      <c r="S1139" t="s">
        <v>86</v>
      </c>
    </row>
    <row r="1140" spans="1:19" x14ac:dyDescent="0.25">
      <c r="A1140" t="s">
        <v>1235</v>
      </c>
      <c r="B1140" s="5">
        <v>46118</v>
      </c>
      <c r="C1140" t="s">
        <v>35</v>
      </c>
      <c r="D1140" t="s">
        <v>36</v>
      </c>
      <c r="E1140" t="s">
        <v>69</v>
      </c>
      <c r="F1140" t="s">
        <v>244</v>
      </c>
      <c r="G1140" t="s">
        <v>32</v>
      </c>
      <c r="H1140">
        <v>157</v>
      </c>
      <c r="I1140">
        <v>170</v>
      </c>
      <c r="J1140">
        <v>3</v>
      </c>
      <c r="K1140">
        <v>7.7</v>
      </c>
      <c r="L1140">
        <v>14007.27</v>
      </c>
      <c r="M1140">
        <v>7.06</v>
      </c>
      <c r="N1140">
        <v>141.19999999999999</v>
      </c>
      <c r="O1140">
        <v>178</v>
      </c>
      <c r="P1140" s="5">
        <v>46125</v>
      </c>
      <c r="Q1140" s="5">
        <v>46124</v>
      </c>
      <c r="R1140" t="s">
        <v>25</v>
      </c>
      <c r="S1140" t="s">
        <v>33</v>
      </c>
    </row>
    <row r="1141" spans="1:19" x14ac:dyDescent="0.25">
      <c r="A1141" t="s">
        <v>1236</v>
      </c>
      <c r="B1141" s="5">
        <v>46096</v>
      </c>
      <c r="C1141" t="s">
        <v>80</v>
      </c>
      <c r="D1141" t="s">
        <v>21</v>
      </c>
      <c r="E1141" t="s">
        <v>66</v>
      </c>
      <c r="F1141" t="s">
        <v>74</v>
      </c>
      <c r="G1141" t="s">
        <v>24</v>
      </c>
      <c r="H1141">
        <v>147</v>
      </c>
      <c r="I1141">
        <v>146</v>
      </c>
      <c r="J1141">
        <v>8</v>
      </c>
      <c r="K1141">
        <v>2.2000000000000002</v>
      </c>
      <c r="L1141">
        <v>49761.03</v>
      </c>
      <c r="M1141">
        <v>5.49</v>
      </c>
      <c r="N1141">
        <v>120.78</v>
      </c>
      <c r="O1141">
        <v>188</v>
      </c>
      <c r="P1141" s="5">
        <v>46102</v>
      </c>
      <c r="Q1141" s="5">
        <v>46102</v>
      </c>
      <c r="R1141" t="s">
        <v>25</v>
      </c>
      <c r="S1141" t="s">
        <v>72</v>
      </c>
    </row>
    <row r="1142" spans="1:19" x14ac:dyDescent="0.25">
      <c r="A1142" t="s">
        <v>1237</v>
      </c>
      <c r="B1142" s="5">
        <v>46079</v>
      </c>
      <c r="C1142" t="s">
        <v>53</v>
      </c>
      <c r="D1142" t="s">
        <v>54</v>
      </c>
      <c r="E1142" t="s">
        <v>55</v>
      </c>
      <c r="F1142" t="s">
        <v>88</v>
      </c>
      <c r="G1142" t="s">
        <v>32</v>
      </c>
      <c r="H1142">
        <v>106</v>
      </c>
      <c r="I1142">
        <v>120</v>
      </c>
      <c r="J1142">
        <v>7</v>
      </c>
      <c r="K1142">
        <v>0.2</v>
      </c>
      <c r="L1142">
        <v>18221.27</v>
      </c>
      <c r="M1142">
        <v>2.5099999999999998</v>
      </c>
      <c r="N1142">
        <v>65.260000000000005</v>
      </c>
      <c r="O1142">
        <v>157</v>
      </c>
      <c r="P1142" s="5">
        <v>46083</v>
      </c>
      <c r="Q1142" s="5">
        <v>46083</v>
      </c>
      <c r="R1142" t="s">
        <v>25</v>
      </c>
      <c r="S1142" t="s">
        <v>26</v>
      </c>
    </row>
    <row r="1143" spans="1:19" x14ac:dyDescent="0.25">
      <c r="A1143" t="s">
        <v>1238</v>
      </c>
      <c r="B1143" s="5">
        <v>46137</v>
      </c>
      <c r="C1143" t="s">
        <v>20</v>
      </c>
      <c r="D1143" t="s">
        <v>21</v>
      </c>
      <c r="E1143" t="s">
        <v>66</v>
      </c>
      <c r="F1143" t="s">
        <v>64</v>
      </c>
      <c r="G1143" t="s">
        <v>57</v>
      </c>
      <c r="H1143">
        <v>151</v>
      </c>
      <c r="I1143">
        <v>129</v>
      </c>
      <c r="J1143">
        <v>3</v>
      </c>
      <c r="K1143">
        <v>7.3</v>
      </c>
      <c r="L1143">
        <v>46978.53</v>
      </c>
      <c r="M1143">
        <v>2.87</v>
      </c>
      <c r="N1143">
        <v>74.62</v>
      </c>
      <c r="O1143">
        <v>228</v>
      </c>
      <c r="P1143" s="5">
        <v>46143</v>
      </c>
      <c r="Q1143" s="5">
        <v>46143</v>
      </c>
      <c r="R1143" t="s">
        <v>100</v>
      </c>
      <c r="S1143" t="s">
        <v>72</v>
      </c>
    </row>
    <row r="1144" spans="1:19" x14ac:dyDescent="0.25">
      <c r="A1144" t="s">
        <v>1239</v>
      </c>
      <c r="B1144" s="5">
        <v>46072</v>
      </c>
      <c r="C1144" t="s">
        <v>43</v>
      </c>
      <c r="D1144" t="s">
        <v>44</v>
      </c>
      <c r="E1144" t="s">
        <v>45</v>
      </c>
      <c r="F1144" t="s">
        <v>114</v>
      </c>
      <c r="G1144" t="s">
        <v>32</v>
      </c>
      <c r="H1144">
        <v>319</v>
      </c>
      <c r="I1144">
        <v>341</v>
      </c>
      <c r="J1144">
        <v>2</v>
      </c>
      <c r="K1144">
        <v>4.8</v>
      </c>
      <c r="L1144">
        <v>48791.62</v>
      </c>
      <c r="M1144">
        <v>12.85</v>
      </c>
      <c r="N1144">
        <v>257</v>
      </c>
      <c r="O1144">
        <v>392</v>
      </c>
      <c r="P1144" s="5">
        <v>46081</v>
      </c>
      <c r="Q1144" s="5">
        <v>46085</v>
      </c>
      <c r="R1144" t="s">
        <v>25</v>
      </c>
      <c r="S1144" t="s">
        <v>72</v>
      </c>
    </row>
    <row r="1145" spans="1:19" x14ac:dyDescent="0.25">
      <c r="A1145" t="s">
        <v>1240</v>
      </c>
      <c r="B1145" s="5">
        <v>46197</v>
      </c>
      <c r="C1145" t="s">
        <v>48</v>
      </c>
      <c r="D1145" t="s">
        <v>49</v>
      </c>
      <c r="E1145" t="s">
        <v>76</v>
      </c>
      <c r="F1145" t="s">
        <v>67</v>
      </c>
      <c r="G1145" t="s">
        <v>32</v>
      </c>
      <c r="H1145">
        <v>128</v>
      </c>
      <c r="I1145">
        <v>102</v>
      </c>
      <c r="J1145">
        <v>0</v>
      </c>
      <c r="K1145">
        <v>2.5</v>
      </c>
      <c r="L1145">
        <v>18691.419999999998</v>
      </c>
      <c r="M1145">
        <v>4.0999999999999996</v>
      </c>
      <c r="N1145">
        <v>90.2</v>
      </c>
      <c r="O1145">
        <v>127</v>
      </c>
      <c r="P1145" s="5">
        <v>46206</v>
      </c>
      <c r="Q1145" s="5">
        <v>46205</v>
      </c>
      <c r="R1145" t="s">
        <v>25</v>
      </c>
      <c r="S1145" t="s">
        <v>86</v>
      </c>
    </row>
    <row r="1146" spans="1:19" x14ac:dyDescent="0.25">
      <c r="A1146" t="s">
        <v>1241</v>
      </c>
      <c r="B1146" s="5">
        <v>46189</v>
      </c>
      <c r="C1146" t="s">
        <v>80</v>
      </c>
      <c r="D1146" t="s">
        <v>21</v>
      </c>
      <c r="E1146" t="s">
        <v>22</v>
      </c>
      <c r="F1146" t="s">
        <v>104</v>
      </c>
      <c r="G1146" t="s">
        <v>32</v>
      </c>
      <c r="H1146">
        <v>86</v>
      </c>
      <c r="I1146">
        <v>95</v>
      </c>
      <c r="J1146">
        <v>4</v>
      </c>
      <c r="K1146">
        <v>6.1</v>
      </c>
      <c r="L1146">
        <v>24240.560000000001</v>
      </c>
      <c r="M1146">
        <v>2.13</v>
      </c>
      <c r="N1146">
        <v>51.12</v>
      </c>
      <c r="O1146">
        <v>99</v>
      </c>
      <c r="P1146" s="5">
        <v>46192</v>
      </c>
      <c r="Q1146" s="5">
        <v>46194</v>
      </c>
      <c r="R1146" t="s">
        <v>25</v>
      </c>
      <c r="S1146" t="s">
        <v>51</v>
      </c>
    </row>
    <row r="1147" spans="1:19" x14ac:dyDescent="0.25">
      <c r="A1147" t="s">
        <v>1242</v>
      </c>
      <c r="B1147" s="5">
        <v>46169</v>
      </c>
      <c r="C1147" t="s">
        <v>20</v>
      </c>
      <c r="D1147" t="s">
        <v>21</v>
      </c>
      <c r="E1147" t="s">
        <v>22</v>
      </c>
      <c r="F1147" t="s">
        <v>106</v>
      </c>
      <c r="G1147" t="s">
        <v>57</v>
      </c>
      <c r="H1147">
        <v>275</v>
      </c>
      <c r="I1147">
        <v>245</v>
      </c>
      <c r="J1147">
        <v>19</v>
      </c>
      <c r="K1147">
        <v>6.2</v>
      </c>
      <c r="L1147">
        <v>72070.09</v>
      </c>
      <c r="M1147">
        <v>4.62</v>
      </c>
      <c r="N1147">
        <v>83.16</v>
      </c>
      <c r="O1147">
        <v>285</v>
      </c>
      <c r="P1147" s="5">
        <v>46177</v>
      </c>
      <c r="Q1147" s="5">
        <v>46178</v>
      </c>
      <c r="R1147" t="s">
        <v>25</v>
      </c>
      <c r="S1147" t="s">
        <v>26</v>
      </c>
    </row>
    <row r="1148" spans="1:19" x14ac:dyDescent="0.25">
      <c r="A1148" t="s">
        <v>1243</v>
      </c>
      <c r="B1148" s="5">
        <v>46123</v>
      </c>
      <c r="C1148" t="s">
        <v>43</v>
      </c>
      <c r="D1148" t="s">
        <v>44</v>
      </c>
      <c r="E1148" t="s">
        <v>45</v>
      </c>
      <c r="F1148" t="s">
        <v>170</v>
      </c>
      <c r="G1148" t="s">
        <v>57</v>
      </c>
      <c r="H1148">
        <v>86</v>
      </c>
      <c r="I1148">
        <v>84</v>
      </c>
      <c r="J1148">
        <v>1</v>
      </c>
      <c r="K1148">
        <v>6.5</v>
      </c>
      <c r="L1148">
        <v>11979.06</v>
      </c>
      <c r="M1148">
        <v>2.21</v>
      </c>
      <c r="N1148">
        <v>48.62</v>
      </c>
      <c r="O1148">
        <v>140</v>
      </c>
      <c r="P1148" s="5">
        <v>46135</v>
      </c>
      <c r="Q1148" s="5">
        <v>46135</v>
      </c>
      <c r="R1148" t="s">
        <v>25</v>
      </c>
      <c r="S1148" t="s">
        <v>51</v>
      </c>
    </row>
    <row r="1149" spans="1:19" x14ac:dyDescent="0.25">
      <c r="A1149" t="s">
        <v>1244</v>
      </c>
      <c r="B1149" s="5">
        <v>46186</v>
      </c>
      <c r="C1149" t="s">
        <v>53</v>
      </c>
      <c r="D1149" t="s">
        <v>54</v>
      </c>
      <c r="E1149" t="s">
        <v>55</v>
      </c>
      <c r="F1149" t="s">
        <v>77</v>
      </c>
      <c r="G1149" t="s">
        <v>32</v>
      </c>
      <c r="H1149">
        <v>259</v>
      </c>
      <c r="I1149">
        <v>255</v>
      </c>
      <c r="J1149">
        <v>21</v>
      </c>
      <c r="K1149">
        <v>5.4</v>
      </c>
      <c r="L1149">
        <v>30330.23</v>
      </c>
      <c r="M1149">
        <v>9.81</v>
      </c>
      <c r="N1149">
        <v>196.2</v>
      </c>
      <c r="O1149">
        <v>309</v>
      </c>
      <c r="P1149" s="5">
        <v>46191</v>
      </c>
      <c r="Q1149" s="5">
        <v>46191</v>
      </c>
      <c r="R1149" t="s">
        <v>25</v>
      </c>
      <c r="S1149" t="s">
        <v>33</v>
      </c>
    </row>
    <row r="1150" spans="1:19" x14ac:dyDescent="0.25">
      <c r="A1150" t="s">
        <v>1245</v>
      </c>
      <c r="B1150" s="5">
        <v>46152</v>
      </c>
      <c r="C1150" t="s">
        <v>48</v>
      </c>
      <c r="D1150" t="s">
        <v>49</v>
      </c>
      <c r="E1150" t="s">
        <v>50</v>
      </c>
      <c r="F1150" t="s">
        <v>46</v>
      </c>
      <c r="G1150" t="s">
        <v>57</v>
      </c>
      <c r="H1150">
        <v>200</v>
      </c>
      <c r="I1150">
        <v>178</v>
      </c>
      <c r="J1150">
        <v>15</v>
      </c>
      <c r="K1150">
        <v>5</v>
      </c>
      <c r="L1150">
        <v>35187.94</v>
      </c>
      <c r="M1150">
        <v>4.87</v>
      </c>
      <c r="N1150">
        <v>116.88</v>
      </c>
      <c r="O1150">
        <v>190</v>
      </c>
      <c r="P1150" s="5">
        <v>46162</v>
      </c>
      <c r="Q1150" s="5">
        <v>46162</v>
      </c>
      <c r="R1150" t="s">
        <v>25</v>
      </c>
      <c r="S1150" t="s">
        <v>33</v>
      </c>
    </row>
    <row r="1151" spans="1:19" x14ac:dyDescent="0.25">
      <c r="A1151" t="s">
        <v>1246</v>
      </c>
      <c r="B1151" s="5">
        <v>46026</v>
      </c>
      <c r="C1151" t="s">
        <v>53</v>
      </c>
      <c r="D1151" t="s">
        <v>54</v>
      </c>
      <c r="E1151" t="s">
        <v>55</v>
      </c>
      <c r="F1151" t="s">
        <v>67</v>
      </c>
      <c r="G1151" t="s">
        <v>24</v>
      </c>
      <c r="H1151">
        <v>119</v>
      </c>
      <c r="I1151">
        <v>105</v>
      </c>
      <c r="J1151">
        <v>3</v>
      </c>
      <c r="K1151">
        <v>7.6</v>
      </c>
      <c r="L1151">
        <v>16990.13</v>
      </c>
      <c r="M1151">
        <v>4.1399999999999997</v>
      </c>
      <c r="N1151">
        <v>107.64</v>
      </c>
      <c r="O1151">
        <v>125</v>
      </c>
      <c r="P1151" s="5">
        <v>46029</v>
      </c>
      <c r="Q1151" s="5">
        <v>46033</v>
      </c>
      <c r="R1151" t="s">
        <v>100</v>
      </c>
      <c r="S1151" t="s">
        <v>86</v>
      </c>
    </row>
    <row r="1152" spans="1:19" x14ac:dyDescent="0.25">
      <c r="A1152" t="s">
        <v>1247</v>
      </c>
      <c r="B1152" s="5">
        <v>46159</v>
      </c>
      <c r="C1152" t="s">
        <v>59</v>
      </c>
      <c r="D1152" t="s">
        <v>49</v>
      </c>
      <c r="E1152" t="s">
        <v>76</v>
      </c>
      <c r="F1152" t="s">
        <v>197</v>
      </c>
      <c r="G1152" t="s">
        <v>24</v>
      </c>
      <c r="H1152">
        <v>202</v>
      </c>
      <c r="I1152">
        <v>162</v>
      </c>
      <c r="J1152">
        <v>7</v>
      </c>
      <c r="K1152">
        <v>2.4</v>
      </c>
      <c r="L1152">
        <v>27844.16</v>
      </c>
      <c r="M1152">
        <v>6.66</v>
      </c>
      <c r="N1152">
        <v>133.19999999999999</v>
      </c>
      <c r="O1152">
        <v>198</v>
      </c>
      <c r="P1152" s="5">
        <v>46163</v>
      </c>
      <c r="Q1152" s="5">
        <v>46161</v>
      </c>
      <c r="R1152" t="s">
        <v>25</v>
      </c>
      <c r="S1152" t="s">
        <v>86</v>
      </c>
    </row>
    <row r="1153" spans="1:19" x14ac:dyDescent="0.25">
      <c r="A1153" t="s">
        <v>1248</v>
      </c>
      <c r="B1153" s="5">
        <v>46087</v>
      </c>
      <c r="C1153" t="s">
        <v>43</v>
      </c>
      <c r="D1153" t="s">
        <v>44</v>
      </c>
      <c r="E1153" t="s">
        <v>161</v>
      </c>
      <c r="F1153" t="s">
        <v>46</v>
      </c>
      <c r="G1153" t="s">
        <v>57</v>
      </c>
      <c r="H1153">
        <v>223</v>
      </c>
      <c r="I1153">
        <v>255</v>
      </c>
      <c r="J1153">
        <v>20</v>
      </c>
      <c r="K1153">
        <v>5.0999999999999996</v>
      </c>
      <c r="L1153">
        <v>33726.959999999999</v>
      </c>
      <c r="M1153">
        <v>8.7799999999999994</v>
      </c>
      <c r="N1153">
        <v>175.6</v>
      </c>
      <c r="O1153">
        <v>228</v>
      </c>
      <c r="P1153" s="5">
        <v>46094</v>
      </c>
      <c r="Q1153" s="5">
        <v>46096</v>
      </c>
      <c r="R1153" t="s">
        <v>25</v>
      </c>
      <c r="S1153" t="s">
        <v>26</v>
      </c>
    </row>
    <row r="1154" spans="1:19" x14ac:dyDescent="0.25">
      <c r="A1154" t="s">
        <v>1249</v>
      </c>
      <c r="B1154" s="5">
        <v>46109</v>
      </c>
      <c r="C1154" t="s">
        <v>28</v>
      </c>
      <c r="D1154" t="s">
        <v>29</v>
      </c>
      <c r="E1154" t="s">
        <v>95</v>
      </c>
      <c r="F1154" t="s">
        <v>64</v>
      </c>
      <c r="G1154" t="s">
        <v>32</v>
      </c>
      <c r="H1154">
        <v>247</v>
      </c>
      <c r="I1154">
        <v>183</v>
      </c>
      <c r="J1154">
        <v>7</v>
      </c>
      <c r="K1154">
        <v>7.5</v>
      </c>
      <c r="L1154">
        <v>46481.66</v>
      </c>
      <c r="M1154">
        <v>7.09</v>
      </c>
      <c r="N1154">
        <v>141.80000000000001</v>
      </c>
      <c r="O1154">
        <v>224</v>
      </c>
      <c r="P1154" s="5">
        <v>46121</v>
      </c>
      <c r="Q1154" s="5">
        <v>46120</v>
      </c>
      <c r="R1154" t="s">
        <v>39</v>
      </c>
      <c r="S1154" t="s">
        <v>72</v>
      </c>
    </row>
    <row r="1155" spans="1:19" x14ac:dyDescent="0.25">
      <c r="A1155" t="s">
        <v>1250</v>
      </c>
      <c r="B1155" s="5">
        <v>46198</v>
      </c>
      <c r="C1155" t="s">
        <v>53</v>
      </c>
      <c r="D1155" t="s">
        <v>54</v>
      </c>
      <c r="E1155" t="s">
        <v>131</v>
      </c>
      <c r="F1155" t="s">
        <v>23</v>
      </c>
      <c r="G1155" t="s">
        <v>32</v>
      </c>
      <c r="H1155">
        <v>106</v>
      </c>
      <c r="I1155">
        <v>114</v>
      </c>
      <c r="J1155">
        <v>0</v>
      </c>
      <c r="K1155">
        <v>6</v>
      </c>
      <c r="L1155">
        <v>14931.14</v>
      </c>
      <c r="M1155">
        <v>2.89</v>
      </c>
      <c r="N1155">
        <v>52.02</v>
      </c>
      <c r="O1155">
        <v>148</v>
      </c>
      <c r="P1155" s="5">
        <v>46202</v>
      </c>
      <c r="Q1155" s="5">
        <v>46200</v>
      </c>
      <c r="R1155" t="s">
        <v>25</v>
      </c>
      <c r="S1155" t="s">
        <v>51</v>
      </c>
    </row>
    <row r="1156" spans="1:19" x14ac:dyDescent="0.25">
      <c r="A1156" t="s">
        <v>1251</v>
      </c>
      <c r="B1156" s="5">
        <v>46125</v>
      </c>
      <c r="C1156" t="s">
        <v>80</v>
      </c>
      <c r="D1156" t="s">
        <v>21</v>
      </c>
      <c r="E1156" t="s">
        <v>66</v>
      </c>
      <c r="F1156" t="s">
        <v>96</v>
      </c>
      <c r="G1156" t="s">
        <v>32</v>
      </c>
      <c r="H1156">
        <v>280</v>
      </c>
      <c r="I1156">
        <v>236</v>
      </c>
      <c r="J1156">
        <v>9</v>
      </c>
      <c r="K1156">
        <v>5.0999999999999996</v>
      </c>
      <c r="L1156">
        <v>70780.72</v>
      </c>
      <c r="M1156">
        <v>6.43</v>
      </c>
      <c r="N1156">
        <v>141.46</v>
      </c>
      <c r="O1156">
        <v>310</v>
      </c>
      <c r="P1156" s="5">
        <v>46134</v>
      </c>
      <c r="Q1156" s="5">
        <v>46132</v>
      </c>
      <c r="R1156" t="s">
        <v>25</v>
      </c>
      <c r="S1156" t="s">
        <v>26</v>
      </c>
    </row>
    <row r="1157" spans="1:19" x14ac:dyDescent="0.25">
      <c r="A1157" t="s">
        <v>1252</v>
      </c>
      <c r="B1157" s="5">
        <v>46041</v>
      </c>
      <c r="C1157" t="s">
        <v>43</v>
      </c>
      <c r="D1157" t="s">
        <v>44</v>
      </c>
      <c r="E1157" t="s">
        <v>45</v>
      </c>
      <c r="F1157" t="s">
        <v>114</v>
      </c>
      <c r="G1157" t="s">
        <v>24</v>
      </c>
      <c r="H1157">
        <v>248</v>
      </c>
      <c r="I1157">
        <v>185</v>
      </c>
      <c r="J1157">
        <v>2</v>
      </c>
      <c r="K1157">
        <v>8.8000000000000007</v>
      </c>
      <c r="L1157">
        <v>17662.509999999998</v>
      </c>
      <c r="M1157">
        <v>6.73</v>
      </c>
      <c r="N1157">
        <v>148.06</v>
      </c>
      <c r="O1157">
        <v>292</v>
      </c>
      <c r="P1157" s="5">
        <v>46049</v>
      </c>
      <c r="Q1157" s="5">
        <v>46049</v>
      </c>
      <c r="R1157" t="s">
        <v>25</v>
      </c>
      <c r="S1157" t="s">
        <v>33</v>
      </c>
    </row>
    <row r="1158" spans="1:19" x14ac:dyDescent="0.25">
      <c r="A1158" t="s">
        <v>1253</v>
      </c>
      <c r="B1158" s="5">
        <v>46170</v>
      </c>
      <c r="C1158" t="s">
        <v>35</v>
      </c>
      <c r="D1158" t="s">
        <v>36</v>
      </c>
      <c r="E1158" t="s">
        <v>37</v>
      </c>
      <c r="F1158" t="s">
        <v>244</v>
      </c>
      <c r="G1158" t="s">
        <v>24</v>
      </c>
      <c r="H1158">
        <v>231</v>
      </c>
      <c r="I1158">
        <v>198</v>
      </c>
      <c r="J1158">
        <v>10</v>
      </c>
      <c r="K1158">
        <v>3.2</v>
      </c>
      <c r="L1158">
        <v>16063.74</v>
      </c>
      <c r="M1158">
        <v>3.57</v>
      </c>
      <c r="N1158">
        <v>71.400000000000006</v>
      </c>
      <c r="O1158">
        <v>195</v>
      </c>
      <c r="P1158" s="5">
        <v>46176</v>
      </c>
      <c r="Q1158" s="5">
        <v>46176</v>
      </c>
      <c r="R1158" t="s">
        <v>100</v>
      </c>
      <c r="S1158" t="s">
        <v>33</v>
      </c>
    </row>
    <row r="1159" spans="1:19" x14ac:dyDescent="0.25">
      <c r="A1159" t="s">
        <v>1254</v>
      </c>
      <c r="B1159" s="5">
        <v>46041</v>
      </c>
      <c r="C1159" t="s">
        <v>53</v>
      </c>
      <c r="D1159" t="s">
        <v>54</v>
      </c>
      <c r="E1159" t="s">
        <v>55</v>
      </c>
      <c r="F1159" t="s">
        <v>64</v>
      </c>
      <c r="G1159" t="s">
        <v>24</v>
      </c>
      <c r="H1159">
        <v>114</v>
      </c>
      <c r="I1159">
        <v>117</v>
      </c>
      <c r="J1159">
        <v>1</v>
      </c>
      <c r="K1159">
        <v>2.8</v>
      </c>
      <c r="L1159">
        <v>19740.21</v>
      </c>
      <c r="M1159">
        <v>4.22</v>
      </c>
      <c r="N1159">
        <v>101.28</v>
      </c>
      <c r="O1159">
        <v>177</v>
      </c>
      <c r="P1159" s="5">
        <v>46050</v>
      </c>
      <c r="Q1159" s="5">
        <v>46054</v>
      </c>
      <c r="R1159" t="s">
        <v>100</v>
      </c>
      <c r="S1159" t="s">
        <v>26</v>
      </c>
    </row>
    <row r="1160" spans="1:19" x14ac:dyDescent="0.25">
      <c r="A1160" t="s">
        <v>1255</v>
      </c>
      <c r="B1160" s="5">
        <v>46144</v>
      </c>
      <c r="C1160" t="s">
        <v>28</v>
      </c>
      <c r="D1160" t="s">
        <v>29</v>
      </c>
      <c r="E1160" t="s">
        <v>63</v>
      </c>
      <c r="F1160" t="s">
        <v>96</v>
      </c>
      <c r="G1160" t="s">
        <v>24</v>
      </c>
      <c r="H1160">
        <v>122</v>
      </c>
      <c r="I1160">
        <v>110</v>
      </c>
      <c r="J1160">
        <v>9</v>
      </c>
      <c r="K1160">
        <v>2.1</v>
      </c>
      <c r="L1160">
        <v>31458.5</v>
      </c>
      <c r="M1160">
        <v>2.4700000000000002</v>
      </c>
      <c r="N1160">
        <v>59.28</v>
      </c>
      <c r="O1160">
        <v>181</v>
      </c>
      <c r="P1160" s="5">
        <v>46156</v>
      </c>
      <c r="Q1160" s="5">
        <v>46154</v>
      </c>
      <c r="R1160" t="s">
        <v>100</v>
      </c>
      <c r="S1160" t="s">
        <v>26</v>
      </c>
    </row>
    <row r="1161" spans="1:19" x14ac:dyDescent="0.25">
      <c r="A1161" t="s">
        <v>1256</v>
      </c>
      <c r="B1161" s="5">
        <v>46158</v>
      </c>
      <c r="C1161" t="s">
        <v>53</v>
      </c>
      <c r="D1161" t="s">
        <v>54</v>
      </c>
      <c r="E1161" t="s">
        <v>131</v>
      </c>
      <c r="F1161" t="s">
        <v>96</v>
      </c>
      <c r="G1161" t="s">
        <v>32</v>
      </c>
      <c r="H1161">
        <v>170</v>
      </c>
      <c r="I1161">
        <v>139</v>
      </c>
      <c r="J1161">
        <v>8</v>
      </c>
      <c r="K1161">
        <v>1.9</v>
      </c>
      <c r="L1161">
        <v>21194.95</v>
      </c>
      <c r="M1161">
        <v>5.56</v>
      </c>
      <c r="N1161">
        <v>122.32</v>
      </c>
      <c r="O1161">
        <v>181</v>
      </c>
      <c r="P1161" s="5">
        <v>46161</v>
      </c>
      <c r="Q1161" s="5">
        <v>46160</v>
      </c>
      <c r="R1161" t="s">
        <v>100</v>
      </c>
      <c r="S1161" t="s">
        <v>51</v>
      </c>
    </row>
    <row r="1162" spans="1:19" x14ac:dyDescent="0.25">
      <c r="A1162" t="s">
        <v>1257</v>
      </c>
      <c r="B1162" s="5">
        <v>46030</v>
      </c>
      <c r="C1162" t="s">
        <v>48</v>
      </c>
      <c r="D1162" t="s">
        <v>49</v>
      </c>
      <c r="E1162" t="s">
        <v>50</v>
      </c>
      <c r="F1162" t="s">
        <v>110</v>
      </c>
      <c r="G1162" t="s">
        <v>32</v>
      </c>
      <c r="H1162">
        <v>139</v>
      </c>
      <c r="I1162">
        <v>107</v>
      </c>
      <c r="J1162">
        <v>0</v>
      </c>
      <c r="K1162">
        <v>1.1000000000000001</v>
      </c>
      <c r="L1162">
        <v>19740.32</v>
      </c>
      <c r="M1162">
        <v>3.92</v>
      </c>
      <c r="N1162">
        <v>94.08</v>
      </c>
      <c r="O1162">
        <v>195</v>
      </c>
      <c r="P1162" s="5">
        <v>46036</v>
      </c>
      <c r="Q1162" s="5">
        <v>46036</v>
      </c>
      <c r="R1162" t="s">
        <v>39</v>
      </c>
      <c r="S1162" t="s">
        <v>86</v>
      </c>
    </row>
    <row r="1163" spans="1:19" x14ac:dyDescent="0.25">
      <c r="A1163" t="s">
        <v>1258</v>
      </c>
      <c r="B1163" s="5">
        <v>46145</v>
      </c>
      <c r="C1163" t="s">
        <v>80</v>
      </c>
      <c r="D1163" t="s">
        <v>21</v>
      </c>
      <c r="E1163" t="s">
        <v>66</v>
      </c>
      <c r="F1163" t="s">
        <v>74</v>
      </c>
      <c r="G1163" t="s">
        <v>24</v>
      </c>
      <c r="H1163">
        <v>92</v>
      </c>
      <c r="I1163">
        <v>66</v>
      </c>
      <c r="J1163">
        <v>2</v>
      </c>
      <c r="K1163">
        <v>5.0999999999999996</v>
      </c>
      <c r="L1163">
        <v>16075.51</v>
      </c>
      <c r="M1163">
        <v>2.2400000000000002</v>
      </c>
      <c r="N1163">
        <v>53.76</v>
      </c>
      <c r="O1163">
        <v>179</v>
      </c>
      <c r="P1163" s="5">
        <v>46153</v>
      </c>
      <c r="Q1163" s="5">
        <v>46153</v>
      </c>
      <c r="R1163" t="s">
        <v>39</v>
      </c>
      <c r="S1163" t="s">
        <v>72</v>
      </c>
    </row>
    <row r="1164" spans="1:19" x14ac:dyDescent="0.25">
      <c r="A1164" t="s">
        <v>1259</v>
      </c>
      <c r="B1164" s="5">
        <v>46102</v>
      </c>
      <c r="C1164" t="s">
        <v>20</v>
      </c>
      <c r="D1164" t="s">
        <v>21</v>
      </c>
      <c r="E1164" t="s">
        <v>90</v>
      </c>
      <c r="F1164" t="s">
        <v>106</v>
      </c>
      <c r="G1164" t="s">
        <v>57</v>
      </c>
      <c r="H1164">
        <v>288</v>
      </c>
      <c r="I1164">
        <v>232</v>
      </c>
      <c r="J1164">
        <v>19</v>
      </c>
      <c r="K1164">
        <v>3.8</v>
      </c>
      <c r="L1164">
        <v>82650.44</v>
      </c>
      <c r="M1164">
        <v>6.02</v>
      </c>
      <c r="N1164">
        <v>108.36</v>
      </c>
      <c r="O1164">
        <v>352</v>
      </c>
      <c r="P1164" s="5">
        <v>46107</v>
      </c>
      <c r="Q1164" s="5">
        <v>46108</v>
      </c>
      <c r="R1164" t="s">
        <v>25</v>
      </c>
      <c r="S1164" t="s">
        <v>72</v>
      </c>
    </row>
    <row r="1165" spans="1:19" x14ac:dyDescent="0.25">
      <c r="A1165" t="s">
        <v>1260</v>
      </c>
      <c r="B1165" s="5">
        <v>46073</v>
      </c>
      <c r="C1165" t="s">
        <v>80</v>
      </c>
      <c r="D1165" t="s">
        <v>21</v>
      </c>
      <c r="E1165" t="s">
        <v>66</v>
      </c>
      <c r="F1165" t="s">
        <v>96</v>
      </c>
      <c r="G1165" t="s">
        <v>57</v>
      </c>
      <c r="H1165">
        <v>269</v>
      </c>
      <c r="I1165">
        <v>238</v>
      </c>
      <c r="J1165">
        <v>7</v>
      </c>
      <c r="K1165">
        <v>3.8</v>
      </c>
      <c r="L1165">
        <v>55773.57</v>
      </c>
      <c r="M1165">
        <v>4.74</v>
      </c>
      <c r="N1165">
        <v>123.24</v>
      </c>
      <c r="O1165">
        <v>320</v>
      </c>
      <c r="P1165" s="5">
        <v>46077</v>
      </c>
      <c r="Q1165" s="5">
        <v>46079</v>
      </c>
      <c r="R1165" t="s">
        <v>25</v>
      </c>
      <c r="S1165" t="s">
        <v>33</v>
      </c>
    </row>
    <row r="1166" spans="1:19" x14ac:dyDescent="0.25">
      <c r="A1166" t="s">
        <v>1261</v>
      </c>
      <c r="B1166" s="5">
        <v>46200</v>
      </c>
      <c r="C1166" t="s">
        <v>48</v>
      </c>
      <c r="D1166" t="s">
        <v>49</v>
      </c>
      <c r="E1166" t="s">
        <v>60</v>
      </c>
      <c r="F1166" t="s">
        <v>56</v>
      </c>
      <c r="G1166" t="s">
        <v>32</v>
      </c>
      <c r="H1166">
        <v>199</v>
      </c>
      <c r="I1166">
        <v>204</v>
      </c>
      <c r="J1166">
        <v>4</v>
      </c>
      <c r="K1166">
        <v>3.1</v>
      </c>
      <c r="L1166">
        <v>32581.71</v>
      </c>
      <c r="M1166">
        <v>5.7</v>
      </c>
      <c r="N1166">
        <v>114</v>
      </c>
      <c r="O1166">
        <v>268</v>
      </c>
      <c r="P1166" s="5">
        <v>46206</v>
      </c>
      <c r="Q1166" s="5">
        <v>46206</v>
      </c>
      <c r="R1166" t="s">
        <v>25</v>
      </c>
      <c r="S1166" t="s">
        <v>26</v>
      </c>
    </row>
    <row r="1167" spans="1:19" x14ac:dyDescent="0.25">
      <c r="A1167" t="s">
        <v>1262</v>
      </c>
      <c r="B1167" s="5">
        <v>46097</v>
      </c>
      <c r="C1167" t="s">
        <v>48</v>
      </c>
      <c r="D1167" t="s">
        <v>49</v>
      </c>
      <c r="E1167" t="s">
        <v>60</v>
      </c>
      <c r="F1167" t="s">
        <v>83</v>
      </c>
      <c r="G1167" t="s">
        <v>32</v>
      </c>
      <c r="H1167">
        <v>180</v>
      </c>
      <c r="I1167">
        <v>156</v>
      </c>
      <c r="J1167">
        <v>4</v>
      </c>
      <c r="K1167">
        <v>5.9</v>
      </c>
      <c r="L1167">
        <v>31961.39</v>
      </c>
      <c r="M1167">
        <v>5.63</v>
      </c>
      <c r="N1167">
        <v>123.86</v>
      </c>
      <c r="O1167">
        <v>196</v>
      </c>
      <c r="P1167" s="5">
        <v>46103</v>
      </c>
      <c r="Q1167" s="5">
        <v>46103</v>
      </c>
      <c r="R1167" t="s">
        <v>25</v>
      </c>
      <c r="S1167" t="s">
        <v>26</v>
      </c>
    </row>
    <row r="1168" spans="1:19" x14ac:dyDescent="0.25">
      <c r="A1168" t="s">
        <v>1263</v>
      </c>
      <c r="B1168" s="5">
        <v>46054</v>
      </c>
      <c r="C1168" t="s">
        <v>35</v>
      </c>
      <c r="D1168" t="s">
        <v>36</v>
      </c>
      <c r="E1168" t="s">
        <v>37</v>
      </c>
      <c r="F1168" t="s">
        <v>85</v>
      </c>
      <c r="G1168" t="s">
        <v>24</v>
      </c>
      <c r="H1168">
        <v>272</v>
      </c>
      <c r="I1168">
        <v>266</v>
      </c>
      <c r="J1168">
        <v>21</v>
      </c>
      <c r="K1168">
        <v>8.5</v>
      </c>
      <c r="L1168">
        <v>22831.31</v>
      </c>
      <c r="M1168">
        <v>6.61</v>
      </c>
      <c r="N1168">
        <v>171.86</v>
      </c>
      <c r="O1168">
        <v>301</v>
      </c>
      <c r="P1168" s="5">
        <v>46062</v>
      </c>
      <c r="Q1168" s="5">
        <v>46062</v>
      </c>
      <c r="R1168" t="s">
        <v>25</v>
      </c>
      <c r="S1168" t="s">
        <v>26</v>
      </c>
    </row>
    <row r="1169" spans="1:19" x14ac:dyDescent="0.25">
      <c r="A1169" t="s">
        <v>1264</v>
      </c>
      <c r="B1169" s="5">
        <v>46066</v>
      </c>
      <c r="C1169" t="s">
        <v>43</v>
      </c>
      <c r="D1169" t="s">
        <v>44</v>
      </c>
      <c r="E1169" t="s">
        <v>93</v>
      </c>
      <c r="F1169" t="s">
        <v>23</v>
      </c>
      <c r="G1169" t="s">
        <v>57</v>
      </c>
      <c r="H1169">
        <v>92</v>
      </c>
      <c r="I1169">
        <v>89</v>
      </c>
      <c r="J1169">
        <v>4</v>
      </c>
      <c r="K1169">
        <v>1.2</v>
      </c>
      <c r="L1169">
        <v>11970.37</v>
      </c>
      <c r="M1169">
        <v>2.0699999999999998</v>
      </c>
      <c r="N1169">
        <v>53.82</v>
      </c>
      <c r="O1169">
        <v>188</v>
      </c>
      <c r="P1169" s="5">
        <v>46078</v>
      </c>
      <c r="Q1169" s="5">
        <v>46078</v>
      </c>
      <c r="R1169" t="s">
        <v>25</v>
      </c>
      <c r="S1169" t="s">
        <v>33</v>
      </c>
    </row>
    <row r="1170" spans="1:19" x14ac:dyDescent="0.25">
      <c r="A1170" t="s">
        <v>1265</v>
      </c>
      <c r="B1170" s="5">
        <v>46025</v>
      </c>
      <c r="C1170" t="s">
        <v>53</v>
      </c>
      <c r="D1170" t="s">
        <v>54</v>
      </c>
      <c r="E1170" t="s">
        <v>55</v>
      </c>
      <c r="F1170" t="s">
        <v>91</v>
      </c>
      <c r="G1170" t="s">
        <v>32</v>
      </c>
      <c r="H1170">
        <v>95</v>
      </c>
      <c r="I1170">
        <v>96</v>
      </c>
      <c r="J1170">
        <v>1</v>
      </c>
      <c r="K1170">
        <v>4.3</v>
      </c>
      <c r="L1170">
        <v>10929.81</v>
      </c>
      <c r="M1170">
        <v>3.8</v>
      </c>
      <c r="N1170">
        <v>98.8</v>
      </c>
      <c r="O1170">
        <v>144</v>
      </c>
      <c r="P1170" s="5">
        <v>46030</v>
      </c>
      <c r="Q1170" s="5">
        <v>46030</v>
      </c>
      <c r="R1170" t="s">
        <v>100</v>
      </c>
      <c r="S1170" t="s">
        <v>72</v>
      </c>
    </row>
    <row r="1171" spans="1:19" x14ac:dyDescent="0.25">
      <c r="A1171" t="s">
        <v>1266</v>
      </c>
      <c r="B1171" s="5">
        <v>46172</v>
      </c>
      <c r="C1171" t="s">
        <v>43</v>
      </c>
      <c r="D1171" t="s">
        <v>44</v>
      </c>
      <c r="E1171" t="s">
        <v>93</v>
      </c>
      <c r="F1171" t="s">
        <v>170</v>
      </c>
      <c r="G1171" t="s">
        <v>24</v>
      </c>
      <c r="H1171">
        <v>89</v>
      </c>
      <c r="I1171">
        <v>73</v>
      </c>
      <c r="J1171">
        <v>0</v>
      </c>
      <c r="K1171">
        <v>2.5</v>
      </c>
      <c r="L1171">
        <v>7930.09</v>
      </c>
      <c r="M1171">
        <v>2.94</v>
      </c>
      <c r="N1171">
        <v>58.8</v>
      </c>
      <c r="O1171">
        <v>107</v>
      </c>
      <c r="P1171" s="5">
        <v>46183</v>
      </c>
      <c r="Q1171" s="5">
        <v>46181</v>
      </c>
      <c r="R1171" t="s">
        <v>25</v>
      </c>
      <c r="S1171" t="s">
        <v>86</v>
      </c>
    </row>
    <row r="1172" spans="1:19" x14ac:dyDescent="0.25">
      <c r="A1172" t="s">
        <v>1267</v>
      </c>
      <c r="B1172" s="5">
        <v>46050</v>
      </c>
      <c r="C1172" t="s">
        <v>43</v>
      </c>
      <c r="D1172" t="s">
        <v>44</v>
      </c>
      <c r="E1172" t="s">
        <v>93</v>
      </c>
      <c r="F1172" t="s">
        <v>135</v>
      </c>
      <c r="G1172" t="s">
        <v>24</v>
      </c>
      <c r="H1172">
        <v>132</v>
      </c>
      <c r="I1172">
        <v>136</v>
      </c>
      <c r="J1172">
        <v>6</v>
      </c>
      <c r="K1172">
        <v>7.7</v>
      </c>
      <c r="L1172">
        <v>18211.18</v>
      </c>
      <c r="M1172">
        <v>4.3899999999999997</v>
      </c>
      <c r="N1172">
        <v>87.8</v>
      </c>
      <c r="O1172">
        <v>176</v>
      </c>
      <c r="P1172" s="5">
        <v>46061</v>
      </c>
      <c r="Q1172" s="5">
        <v>46062</v>
      </c>
      <c r="R1172" t="s">
        <v>100</v>
      </c>
      <c r="S1172" t="s">
        <v>72</v>
      </c>
    </row>
    <row r="1173" spans="1:19" x14ac:dyDescent="0.25">
      <c r="A1173" t="s">
        <v>1268</v>
      </c>
      <c r="B1173" s="5">
        <v>46043</v>
      </c>
      <c r="C1173" t="s">
        <v>28</v>
      </c>
      <c r="D1173" t="s">
        <v>29</v>
      </c>
      <c r="E1173" t="s">
        <v>63</v>
      </c>
      <c r="F1173" t="s">
        <v>38</v>
      </c>
      <c r="G1173" t="s">
        <v>57</v>
      </c>
      <c r="H1173">
        <v>146</v>
      </c>
      <c r="I1173">
        <v>149</v>
      </c>
      <c r="J1173">
        <v>8</v>
      </c>
      <c r="K1173">
        <v>1.7</v>
      </c>
      <c r="L1173">
        <v>35452.03</v>
      </c>
      <c r="M1173">
        <v>3.47</v>
      </c>
      <c r="N1173">
        <v>62.46</v>
      </c>
      <c r="O1173">
        <v>163</v>
      </c>
      <c r="P1173" s="5">
        <v>46053</v>
      </c>
      <c r="Q1173" s="5">
        <v>46054</v>
      </c>
      <c r="R1173" t="s">
        <v>25</v>
      </c>
      <c r="S1173" t="s">
        <v>86</v>
      </c>
    </row>
    <row r="1174" spans="1:19" x14ac:dyDescent="0.25">
      <c r="A1174" t="s">
        <v>1269</v>
      </c>
      <c r="B1174" s="5">
        <v>46069</v>
      </c>
      <c r="C1174" t="s">
        <v>28</v>
      </c>
      <c r="D1174" t="s">
        <v>29</v>
      </c>
      <c r="E1174" t="s">
        <v>95</v>
      </c>
      <c r="F1174" t="s">
        <v>125</v>
      </c>
      <c r="G1174" t="s">
        <v>57</v>
      </c>
      <c r="H1174">
        <v>120</v>
      </c>
      <c r="I1174">
        <v>134</v>
      </c>
      <c r="J1174">
        <v>9</v>
      </c>
      <c r="K1174">
        <v>0.3</v>
      </c>
      <c r="L1174">
        <v>26443.759999999998</v>
      </c>
      <c r="M1174">
        <v>3.35</v>
      </c>
      <c r="N1174">
        <v>73.7</v>
      </c>
      <c r="O1174">
        <v>184</v>
      </c>
      <c r="P1174" s="5">
        <v>46074</v>
      </c>
      <c r="Q1174" s="5">
        <v>46073</v>
      </c>
      <c r="R1174" t="s">
        <v>25</v>
      </c>
      <c r="S1174" t="s">
        <v>72</v>
      </c>
    </row>
    <row r="1175" spans="1:19" x14ac:dyDescent="0.25">
      <c r="A1175" t="s">
        <v>1270</v>
      </c>
      <c r="B1175" s="5">
        <v>46171</v>
      </c>
      <c r="C1175" t="s">
        <v>35</v>
      </c>
      <c r="D1175" t="s">
        <v>36</v>
      </c>
      <c r="E1175" t="s">
        <v>69</v>
      </c>
      <c r="F1175" t="s">
        <v>38</v>
      </c>
      <c r="G1175" t="s">
        <v>24</v>
      </c>
      <c r="H1175">
        <v>280</v>
      </c>
      <c r="I1175">
        <v>300</v>
      </c>
      <c r="J1175">
        <v>23</v>
      </c>
      <c r="K1175">
        <v>0.3</v>
      </c>
      <c r="L1175">
        <v>34513.040000000001</v>
      </c>
      <c r="M1175">
        <v>10.09</v>
      </c>
      <c r="N1175">
        <v>201.8</v>
      </c>
      <c r="O1175">
        <v>311</v>
      </c>
      <c r="P1175" s="5">
        <v>46179</v>
      </c>
      <c r="Q1175" s="5">
        <v>46177</v>
      </c>
      <c r="R1175" t="s">
        <v>25</v>
      </c>
      <c r="S1175" t="s">
        <v>33</v>
      </c>
    </row>
    <row r="1176" spans="1:19" x14ac:dyDescent="0.25">
      <c r="A1176" t="s">
        <v>1271</v>
      </c>
      <c r="B1176" s="5">
        <v>46188</v>
      </c>
      <c r="C1176" t="s">
        <v>53</v>
      </c>
      <c r="D1176" t="s">
        <v>54</v>
      </c>
      <c r="E1176" t="s">
        <v>131</v>
      </c>
      <c r="F1176" t="s">
        <v>244</v>
      </c>
      <c r="G1176" t="s">
        <v>57</v>
      </c>
      <c r="H1176">
        <v>307</v>
      </c>
      <c r="I1176">
        <v>258</v>
      </c>
      <c r="J1176">
        <v>12</v>
      </c>
      <c r="K1176">
        <v>1.7</v>
      </c>
      <c r="L1176">
        <v>28321.62</v>
      </c>
      <c r="M1176">
        <v>6.62</v>
      </c>
      <c r="N1176">
        <v>132.4</v>
      </c>
      <c r="O1176">
        <v>325</v>
      </c>
      <c r="P1176" s="5">
        <v>46198</v>
      </c>
      <c r="Q1176" s="5">
        <v>46199</v>
      </c>
      <c r="R1176" t="s">
        <v>25</v>
      </c>
      <c r="S1176" t="s">
        <v>26</v>
      </c>
    </row>
    <row r="1177" spans="1:19" x14ac:dyDescent="0.25">
      <c r="A1177" t="s">
        <v>1272</v>
      </c>
      <c r="B1177" s="5">
        <v>46179</v>
      </c>
      <c r="C1177" t="s">
        <v>59</v>
      </c>
      <c r="D1177" t="s">
        <v>49</v>
      </c>
      <c r="E1177" t="s">
        <v>76</v>
      </c>
      <c r="F1177" t="s">
        <v>83</v>
      </c>
      <c r="G1177" t="s">
        <v>57</v>
      </c>
      <c r="H1177">
        <v>180</v>
      </c>
      <c r="I1177">
        <v>155</v>
      </c>
      <c r="J1177">
        <v>7</v>
      </c>
      <c r="K1177">
        <v>3</v>
      </c>
      <c r="L1177">
        <v>34162.94</v>
      </c>
      <c r="M1177">
        <v>3.38</v>
      </c>
      <c r="N1177">
        <v>67.599999999999994</v>
      </c>
      <c r="O1177">
        <v>174</v>
      </c>
      <c r="P1177" s="5">
        <v>46189</v>
      </c>
      <c r="Q1177" s="5">
        <v>46189</v>
      </c>
      <c r="R1177" t="s">
        <v>39</v>
      </c>
      <c r="S1177" t="s">
        <v>33</v>
      </c>
    </row>
    <row r="1178" spans="1:19" x14ac:dyDescent="0.25">
      <c r="A1178" t="s">
        <v>1273</v>
      </c>
      <c r="B1178" s="5">
        <v>46057</v>
      </c>
      <c r="C1178" t="s">
        <v>80</v>
      </c>
      <c r="D1178" t="s">
        <v>21</v>
      </c>
      <c r="E1178" t="s">
        <v>22</v>
      </c>
      <c r="F1178" t="s">
        <v>112</v>
      </c>
      <c r="G1178" t="s">
        <v>24</v>
      </c>
      <c r="H1178">
        <v>164</v>
      </c>
      <c r="I1178">
        <v>146</v>
      </c>
      <c r="J1178">
        <v>13</v>
      </c>
      <c r="K1178">
        <v>1.9</v>
      </c>
      <c r="L1178">
        <v>41033.61</v>
      </c>
      <c r="M1178">
        <v>3.4</v>
      </c>
      <c r="N1178">
        <v>74.8</v>
      </c>
      <c r="O1178">
        <v>228</v>
      </c>
      <c r="P1178" s="5">
        <v>46066</v>
      </c>
      <c r="Q1178" s="5">
        <v>46070</v>
      </c>
      <c r="R1178" t="s">
        <v>25</v>
      </c>
      <c r="S1178" t="s">
        <v>33</v>
      </c>
    </row>
    <row r="1179" spans="1:19" x14ac:dyDescent="0.25">
      <c r="A1179" t="s">
        <v>1274</v>
      </c>
      <c r="B1179" s="5">
        <v>46194</v>
      </c>
      <c r="C1179" t="s">
        <v>35</v>
      </c>
      <c r="D1179" t="s">
        <v>36</v>
      </c>
      <c r="E1179" t="s">
        <v>69</v>
      </c>
      <c r="F1179" t="s">
        <v>110</v>
      </c>
      <c r="G1179" t="s">
        <v>32</v>
      </c>
      <c r="H1179">
        <v>173</v>
      </c>
      <c r="I1179">
        <v>193</v>
      </c>
      <c r="J1179">
        <v>1</v>
      </c>
      <c r="K1179">
        <v>7.7</v>
      </c>
      <c r="L1179">
        <v>15390.61</v>
      </c>
      <c r="M1179">
        <v>6.3</v>
      </c>
      <c r="N1179">
        <v>138.6</v>
      </c>
      <c r="O1179">
        <v>196</v>
      </c>
      <c r="P1179" s="5">
        <v>46196</v>
      </c>
      <c r="Q1179" s="5">
        <v>46196</v>
      </c>
      <c r="R1179" t="s">
        <v>25</v>
      </c>
      <c r="S1179" t="s">
        <v>51</v>
      </c>
    </row>
    <row r="1180" spans="1:19" x14ac:dyDescent="0.25">
      <c r="A1180" t="s">
        <v>1275</v>
      </c>
      <c r="B1180" s="5">
        <v>46037</v>
      </c>
      <c r="C1180" t="s">
        <v>20</v>
      </c>
      <c r="D1180" t="s">
        <v>21</v>
      </c>
      <c r="E1180" t="s">
        <v>22</v>
      </c>
      <c r="F1180" t="s">
        <v>125</v>
      </c>
      <c r="G1180" t="s">
        <v>32</v>
      </c>
      <c r="H1180">
        <v>313</v>
      </c>
      <c r="I1180">
        <v>256</v>
      </c>
      <c r="J1180">
        <v>14</v>
      </c>
      <c r="K1180">
        <v>6.9</v>
      </c>
      <c r="L1180">
        <v>84196.57</v>
      </c>
      <c r="M1180">
        <v>4.79</v>
      </c>
      <c r="N1180">
        <v>105.38</v>
      </c>
      <c r="O1180">
        <v>306</v>
      </c>
      <c r="P1180" s="5">
        <v>46039</v>
      </c>
      <c r="Q1180" s="5">
        <v>46039</v>
      </c>
      <c r="R1180" t="s">
        <v>39</v>
      </c>
      <c r="S1180" t="s">
        <v>33</v>
      </c>
    </row>
    <row r="1181" spans="1:19" x14ac:dyDescent="0.25">
      <c r="A1181" t="s">
        <v>1276</v>
      </c>
      <c r="B1181" s="5">
        <v>46171</v>
      </c>
      <c r="C1181" t="s">
        <v>80</v>
      </c>
      <c r="D1181" t="s">
        <v>21</v>
      </c>
      <c r="E1181" t="s">
        <v>22</v>
      </c>
      <c r="F1181" t="s">
        <v>61</v>
      </c>
      <c r="G1181" t="s">
        <v>32</v>
      </c>
      <c r="H1181">
        <v>196</v>
      </c>
      <c r="I1181">
        <v>201</v>
      </c>
      <c r="J1181">
        <v>18</v>
      </c>
      <c r="K1181">
        <v>6</v>
      </c>
      <c r="L1181">
        <v>40935.550000000003</v>
      </c>
      <c r="M1181">
        <v>5.42</v>
      </c>
      <c r="N1181">
        <v>130.08000000000001</v>
      </c>
      <c r="O1181">
        <v>261</v>
      </c>
      <c r="P1181" s="5">
        <v>46177</v>
      </c>
      <c r="Q1181" s="5">
        <v>46181</v>
      </c>
      <c r="R1181" t="s">
        <v>25</v>
      </c>
      <c r="S1181" t="s">
        <v>72</v>
      </c>
    </row>
    <row r="1182" spans="1:19" x14ac:dyDescent="0.25">
      <c r="A1182" t="s">
        <v>1277</v>
      </c>
      <c r="B1182" s="5">
        <v>46105</v>
      </c>
      <c r="C1182" t="s">
        <v>59</v>
      </c>
      <c r="D1182" t="s">
        <v>49</v>
      </c>
      <c r="E1182" t="s">
        <v>76</v>
      </c>
      <c r="F1182" t="s">
        <v>83</v>
      </c>
      <c r="G1182" t="s">
        <v>24</v>
      </c>
      <c r="H1182">
        <v>107</v>
      </c>
      <c r="I1182">
        <v>105</v>
      </c>
      <c r="J1182">
        <v>8</v>
      </c>
      <c r="K1182">
        <v>8.4</v>
      </c>
      <c r="L1182">
        <v>15214.88</v>
      </c>
      <c r="M1182">
        <v>2.86</v>
      </c>
      <c r="N1182">
        <v>74.36</v>
      </c>
      <c r="O1182">
        <v>125</v>
      </c>
      <c r="P1182" s="5">
        <v>46115</v>
      </c>
      <c r="Q1182" s="5">
        <v>46119</v>
      </c>
      <c r="R1182" t="s">
        <v>25</v>
      </c>
      <c r="S1182" t="s">
        <v>72</v>
      </c>
    </row>
    <row r="1183" spans="1:19" x14ac:dyDescent="0.25">
      <c r="A1183" t="s">
        <v>1278</v>
      </c>
      <c r="B1183" s="5">
        <v>46184</v>
      </c>
      <c r="C1183" t="s">
        <v>43</v>
      </c>
      <c r="D1183" t="s">
        <v>44</v>
      </c>
      <c r="E1183" t="s">
        <v>161</v>
      </c>
      <c r="F1183" t="s">
        <v>67</v>
      </c>
      <c r="G1183" t="s">
        <v>24</v>
      </c>
      <c r="H1183">
        <v>209</v>
      </c>
      <c r="I1183">
        <v>228</v>
      </c>
      <c r="J1183">
        <v>2</v>
      </c>
      <c r="K1183">
        <v>1.4</v>
      </c>
      <c r="L1183">
        <v>29984.41</v>
      </c>
      <c r="M1183">
        <v>7.3</v>
      </c>
      <c r="N1183">
        <v>160.6</v>
      </c>
      <c r="O1183">
        <v>267</v>
      </c>
      <c r="P1183" s="5">
        <v>46192</v>
      </c>
      <c r="Q1183" s="5">
        <v>46192</v>
      </c>
      <c r="R1183" t="s">
        <v>25</v>
      </c>
      <c r="S1183" t="s">
        <v>51</v>
      </c>
    </row>
    <row r="1184" spans="1:19" x14ac:dyDescent="0.25">
      <c r="A1184" t="s">
        <v>1279</v>
      </c>
      <c r="B1184" s="5">
        <v>46086</v>
      </c>
      <c r="C1184" t="s">
        <v>53</v>
      </c>
      <c r="D1184" t="s">
        <v>54</v>
      </c>
      <c r="E1184" t="s">
        <v>55</v>
      </c>
      <c r="F1184" t="s">
        <v>64</v>
      </c>
      <c r="G1184" t="s">
        <v>57</v>
      </c>
      <c r="H1184">
        <v>240</v>
      </c>
      <c r="I1184">
        <v>192</v>
      </c>
      <c r="J1184">
        <v>10</v>
      </c>
      <c r="K1184">
        <v>8.5</v>
      </c>
      <c r="L1184">
        <v>27088.48</v>
      </c>
      <c r="M1184">
        <v>3.85</v>
      </c>
      <c r="N1184">
        <v>69.3</v>
      </c>
      <c r="O1184">
        <v>230</v>
      </c>
      <c r="P1184" s="5">
        <v>46096</v>
      </c>
      <c r="Q1184" s="5">
        <v>46100</v>
      </c>
      <c r="R1184" t="s">
        <v>39</v>
      </c>
      <c r="S1184" t="s">
        <v>86</v>
      </c>
    </row>
    <row r="1185" spans="1:19" x14ac:dyDescent="0.25">
      <c r="A1185" t="s">
        <v>1280</v>
      </c>
      <c r="B1185" s="5">
        <v>46199</v>
      </c>
      <c r="C1185" t="s">
        <v>35</v>
      </c>
      <c r="D1185" t="s">
        <v>36</v>
      </c>
      <c r="E1185" t="s">
        <v>37</v>
      </c>
      <c r="F1185" t="s">
        <v>71</v>
      </c>
      <c r="G1185" t="s">
        <v>24</v>
      </c>
      <c r="H1185">
        <v>251</v>
      </c>
      <c r="I1185">
        <v>279</v>
      </c>
      <c r="J1185">
        <v>25</v>
      </c>
      <c r="K1185">
        <v>0.7</v>
      </c>
      <c r="L1185">
        <v>31787.73</v>
      </c>
      <c r="M1185">
        <v>8.27</v>
      </c>
      <c r="N1185">
        <v>148.86000000000001</v>
      </c>
      <c r="O1185">
        <v>268</v>
      </c>
      <c r="P1185" s="5">
        <v>46210</v>
      </c>
      <c r="Q1185" s="5">
        <v>46210</v>
      </c>
      <c r="R1185" t="s">
        <v>25</v>
      </c>
      <c r="S1185" t="s">
        <v>26</v>
      </c>
    </row>
    <row r="1186" spans="1:19" x14ac:dyDescent="0.25">
      <c r="A1186" t="s">
        <v>1281</v>
      </c>
      <c r="B1186" s="5">
        <v>46181</v>
      </c>
      <c r="C1186" t="s">
        <v>59</v>
      </c>
      <c r="D1186" t="s">
        <v>49</v>
      </c>
      <c r="E1186" t="s">
        <v>60</v>
      </c>
      <c r="F1186" t="s">
        <v>23</v>
      </c>
      <c r="G1186" t="s">
        <v>24</v>
      </c>
      <c r="H1186">
        <v>170</v>
      </c>
      <c r="I1186">
        <v>135</v>
      </c>
      <c r="J1186">
        <v>4</v>
      </c>
      <c r="K1186">
        <v>8</v>
      </c>
      <c r="L1186">
        <v>25776.06</v>
      </c>
      <c r="M1186">
        <v>2.99</v>
      </c>
      <c r="N1186">
        <v>59.8</v>
      </c>
      <c r="O1186">
        <v>256</v>
      </c>
      <c r="P1186" s="5">
        <v>46189</v>
      </c>
      <c r="Q1186" s="5">
        <v>46189</v>
      </c>
      <c r="R1186" t="s">
        <v>25</v>
      </c>
      <c r="S1186" t="s">
        <v>72</v>
      </c>
    </row>
    <row r="1187" spans="1:19" x14ac:dyDescent="0.25">
      <c r="A1187" t="s">
        <v>1282</v>
      </c>
      <c r="B1187" s="5">
        <v>46069</v>
      </c>
      <c r="C1187" t="s">
        <v>43</v>
      </c>
      <c r="D1187" t="s">
        <v>44</v>
      </c>
      <c r="E1187" t="s">
        <v>93</v>
      </c>
      <c r="F1187" t="s">
        <v>106</v>
      </c>
      <c r="G1187" t="s">
        <v>24</v>
      </c>
      <c r="H1187">
        <v>172</v>
      </c>
      <c r="I1187">
        <v>187</v>
      </c>
      <c r="J1187">
        <v>3</v>
      </c>
      <c r="K1187">
        <v>1</v>
      </c>
      <c r="L1187">
        <v>20337.32</v>
      </c>
      <c r="M1187">
        <v>6.44</v>
      </c>
      <c r="N1187">
        <v>141.68</v>
      </c>
      <c r="O1187">
        <v>229</v>
      </c>
      <c r="P1187" s="5">
        <v>46074</v>
      </c>
      <c r="Q1187" s="5">
        <v>46074</v>
      </c>
      <c r="R1187" t="s">
        <v>25</v>
      </c>
      <c r="S1187" t="s">
        <v>51</v>
      </c>
    </row>
    <row r="1188" spans="1:19" x14ac:dyDescent="0.25">
      <c r="A1188" t="s">
        <v>1283</v>
      </c>
      <c r="B1188" s="5">
        <v>46074</v>
      </c>
      <c r="C1188" t="s">
        <v>59</v>
      </c>
      <c r="D1188" t="s">
        <v>49</v>
      </c>
      <c r="E1188" t="s">
        <v>76</v>
      </c>
      <c r="F1188" t="s">
        <v>135</v>
      </c>
      <c r="G1188" t="s">
        <v>57</v>
      </c>
      <c r="H1188">
        <v>157</v>
      </c>
      <c r="I1188">
        <v>142</v>
      </c>
      <c r="J1188">
        <v>12</v>
      </c>
      <c r="K1188">
        <v>0.2</v>
      </c>
      <c r="L1188">
        <v>24939.759999999998</v>
      </c>
      <c r="M1188">
        <v>4.29</v>
      </c>
      <c r="N1188">
        <v>111.54</v>
      </c>
      <c r="O1188">
        <v>201</v>
      </c>
      <c r="P1188" s="5">
        <v>46076</v>
      </c>
      <c r="Q1188" s="5">
        <v>46076</v>
      </c>
      <c r="R1188" t="s">
        <v>100</v>
      </c>
      <c r="S1188" t="s">
        <v>33</v>
      </c>
    </row>
    <row r="1189" spans="1:19" x14ac:dyDescent="0.25">
      <c r="A1189" t="s">
        <v>1284</v>
      </c>
      <c r="B1189" s="5">
        <v>46118</v>
      </c>
      <c r="C1189" t="s">
        <v>35</v>
      </c>
      <c r="D1189" t="s">
        <v>36</v>
      </c>
      <c r="E1189" t="s">
        <v>69</v>
      </c>
      <c r="F1189" t="s">
        <v>38</v>
      </c>
      <c r="G1189" t="s">
        <v>24</v>
      </c>
      <c r="H1189">
        <v>98</v>
      </c>
      <c r="I1189">
        <v>96</v>
      </c>
      <c r="J1189">
        <v>8</v>
      </c>
      <c r="K1189">
        <v>1.7</v>
      </c>
      <c r="L1189">
        <v>9409.9500000000007</v>
      </c>
      <c r="M1189">
        <v>3.17</v>
      </c>
      <c r="N1189">
        <v>63.4</v>
      </c>
      <c r="O1189">
        <v>159</v>
      </c>
      <c r="P1189" s="5">
        <v>46126</v>
      </c>
      <c r="Q1189" s="5">
        <v>46126</v>
      </c>
      <c r="R1189" t="s">
        <v>25</v>
      </c>
      <c r="S1189" t="s">
        <v>86</v>
      </c>
    </row>
    <row r="1190" spans="1:19" x14ac:dyDescent="0.25">
      <c r="A1190" t="s">
        <v>1285</v>
      </c>
      <c r="B1190" s="5">
        <v>46129</v>
      </c>
      <c r="C1190" t="s">
        <v>28</v>
      </c>
      <c r="D1190" t="s">
        <v>29</v>
      </c>
      <c r="E1190" t="s">
        <v>95</v>
      </c>
      <c r="F1190" t="s">
        <v>137</v>
      </c>
      <c r="G1190" t="s">
        <v>57</v>
      </c>
      <c r="H1190">
        <v>127</v>
      </c>
      <c r="I1190">
        <v>116</v>
      </c>
      <c r="J1190">
        <v>5</v>
      </c>
      <c r="K1190">
        <v>2.9</v>
      </c>
      <c r="L1190">
        <v>25950.27</v>
      </c>
      <c r="M1190">
        <v>3.67</v>
      </c>
      <c r="N1190">
        <v>66.06</v>
      </c>
      <c r="O1190">
        <v>194</v>
      </c>
      <c r="P1190" s="5">
        <v>46132</v>
      </c>
      <c r="Q1190" s="5">
        <v>46134</v>
      </c>
      <c r="R1190" t="s">
        <v>25</v>
      </c>
      <c r="S1190" t="s">
        <v>51</v>
      </c>
    </row>
    <row r="1191" spans="1:19" x14ac:dyDescent="0.25">
      <c r="A1191" t="s">
        <v>1286</v>
      </c>
      <c r="B1191" s="5">
        <v>46177</v>
      </c>
      <c r="C1191" t="s">
        <v>43</v>
      </c>
      <c r="D1191" t="s">
        <v>44</v>
      </c>
      <c r="E1191" t="s">
        <v>93</v>
      </c>
      <c r="F1191" t="s">
        <v>96</v>
      </c>
      <c r="G1191" t="s">
        <v>32</v>
      </c>
      <c r="H1191">
        <v>247</v>
      </c>
      <c r="I1191">
        <v>217</v>
      </c>
      <c r="J1191">
        <v>15</v>
      </c>
      <c r="K1191">
        <v>1.4</v>
      </c>
      <c r="L1191">
        <v>23640.5</v>
      </c>
      <c r="M1191">
        <v>5.59</v>
      </c>
      <c r="N1191">
        <v>134.16</v>
      </c>
      <c r="O1191">
        <v>262</v>
      </c>
      <c r="P1191" s="5">
        <v>46179</v>
      </c>
      <c r="Q1191" s="5">
        <v>46179</v>
      </c>
      <c r="R1191" t="s">
        <v>39</v>
      </c>
      <c r="S1191" t="s">
        <v>26</v>
      </c>
    </row>
    <row r="1192" spans="1:19" x14ac:dyDescent="0.25">
      <c r="A1192" t="s">
        <v>1287</v>
      </c>
      <c r="B1192" s="5">
        <v>46125</v>
      </c>
      <c r="C1192" t="s">
        <v>28</v>
      </c>
      <c r="D1192" t="s">
        <v>29</v>
      </c>
      <c r="E1192" t="s">
        <v>95</v>
      </c>
      <c r="F1192" t="s">
        <v>96</v>
      </c>
      <c r="G1192" t="s">
        <v>24</v>
      </c>
      <c r="H1192">
        <v>142</v>
      </c>
      <c r="I1192">
        <v>130</v>
      </c>
      <c r="J1192">
        <v>9</v>
      </c>
      <c r="K1192">
        <v>1.4</v>
      </c>
      <c r="L1192">
        <v>31253.68</v>
      </c>
      <c r="M1192">
        <v>4.59</v>
      </c>
      <c r="N1192">
        <v>91.8</v>
      </c>
      <c r="O1192">
        <v>112</v>
      </c>
      <c r="P1192" s="5">
        <v>46133</v>
      </c>
      <c r="Q1192" s="5">
        <v>46135</v>
      </c>
      <c r="R1192" t="s">
        <v>25</v>
      </c>
      <c r="S1192" t="s">
        <v>86</v>
      </c>
    </row>
    <row r="1193" spans="1:19" x14ac:dyDescent="0.25">
      <c r="A1193" t="s">
        <v>1288</v>
      </c>
      <c r="B1193" s="5">
        <v>46182</v>
      </c>
      <c r="C1193" t="s">
        <v>80</v>
      </c>
      <c r="D1193" t="s">
        <v>21</v>
      </c>
      <c r="E1193" t="s">
        <v>66</v>
      </c>
      <c r="F1193" t="s">
        <v>88</v>
      </c>
      <c r="G1193" t="s">
        <v>24</v>
      </c>
      <c r="H1193">
        <v>251</v>
      </c>
      <c r="I1193">
        <v>240</v>
      </c>
      <c r="J1193">
        <v>3</v>
      </c>
      <c r="K1193">
        <v>1.8</v>
      </c>
      <c r="L1193">
        <v>57227.31</v>
      </c>
      <c r="M1193">
        <v>8.6999999999999993</v>
      </c>
      <c r="N1193">
        <v>156.6</v>
      </c>
      <c r="O1193">
        <v>222</v>
      </c>
      <c r="P1193" s="5">
        <v>46188</v>
      </c>
      <c r="Q1193" s="5">
        <v>46188</v>
      </c>
      <c r="R1193" t="s">
        <v>25</v>
      </c>
      <c r="S1193" t="s">
        <v>33</v>
      </c>
    </row>
    <row r="1194" spans="1:19" x14ac:dyDescent="0.25">
      <c r="A1194" t="s">
        <v>1289</v>
      </c>
      <c r="B1194" s="5">
        <v>46068</v>
      </c>
      <c r="C1194" t="s">
        <v>43</v>
      </c>
      <c r="D1194" t="s">
        <v>44</v>
      </c>
      <c r="E1194" t="s">
        <v>93</v>
      </c>
      <c r="F1194" t="s">
        <v>77</v>
      </c>
      <c r="G1194" t="s">
        <v>24</v>
      </c>
      <c r="H1194">
        <v>292</v>
      </c>
      <c r="I1194">
        <v>231</v>
      </c>
      <c r="J1194">
        <v>2</v>
      </c>
      <c r="K1194">
        <v>6.7</v>
      </c>
      <c r="L1194">
        <v>30250.91</v>
      </c>
      <c r="M1194">
        <v>4.78</v>
      </c>
      <c r="N1194">
        <v>105.16</v>
      </c>
      <c r="O1194">
        <v>389</v>
      </c>
      <c r="P1194" s="5">
        <v>46072</v>
      </c>
      <c r="Q1194" s="5">
        <v>46074</v>
      </c>
      <c r="R1194" t="s">
        <v>39</v>
      </c>
      <c r="S1194" t="s">
        <v>72</v>
      </c>
    </row>
    <row r="1195" spans="1:19" x14ac:dyDescent="0.25">
      <c r="A1195" t="s">
        <v>1290</v>
      </c>
      <c r="B1195" s="5">
        <v>46125</v>
      </c>
      <c r="C1195" t="s">
        <v>59</v>
      </c>
      <c r="D1195" t="s">
        <v>49</v>
      </c>
      <c r="E1195" t="s">
        <v>50</v>
      </c>
      <c r="F1195" t="s">
        <v>83</v>
      </c>
      <c r="G1195" t="s">
        <v>32</v>
      </c>
      <c r="H1195">
        <v>106</v>
      </c>
      <c r="I1195">
        <v>111</v>
      </c>
      <c r="J1195">
        <v>1</v>
      </c>
      <c r="K1195">
        <v>2.9</v>
      </c>
      <c r="L1195">
        <v>17438.509999999998</v>
      </c>
      <c r="M1195">
        <v>2.82</v>
      </c>
      <c r="N1195">
        <v>62.04</v>
      </c>
      <c r="O1195">
        <v>100</v>
      </c>
      <c r="P1195" s="5">
        <v>46137</v>
      </c>
      <c r="Q1195" s="5">
        <v>46135</v>
      </c>
      <c r="R1195" t="s">
        <v>25</v>
      </c>
      <c r="S1195" t="s">
        <v>51</v>
      </c>
    </row>
    <row r="1196" spans="1:19" x14ac:dyDescent="0.25">
      <c r="A1196" t="s">
        <v>1291</v>
      </c>
      <c r="B1196" s="5">
        <v>46168</v>
      </c>
      <c r="C1196" t="s">
        <v>53</v>
      </c>
      <c r="D1196" t="s">
        <v>54</v>
      </c>
      <c r="E1196" t="s">
        <v>131</v>
      </c>
      <c r="F1196" t="s">
        <v>104</v>
      </c>
      <c r="G1196" t="s">
        <v>32</v>
      </c>
      <c r="H1196">
        <v>243</v>
      </c>
      <c r="I1196">
        <v>229</v>
      </c>
      <c r="J1196">
        <v>6</v>
      </c>
      <c r="K1196">
        <v>2.8</v>
      </c>
      <c r="L1196">
        <v>32628.93</v>
      </c>
      <c r="M1196">
        <v>6.25</v>
      </c>
      <c r="N1196">
        <v>150</v>
      </c>
      <c r="O1196">
        <v>275</v>
      </c>
      <c r="P1196" s="5">
        <v>46176</v>
      </c>
      <c r="Q1196" s="5">
        <v>46176</v>
      </c>
      <c r="R1196" t="s">
        <v>25</v>
      </c>
      <c r="S1196" t="s">
        <v>51</v>
      </c>
    </row>
  </sheetData>
  <conditionalFormatting sqref="A2:A1196">
    <cfRule type="duplicateValues" dxfId="0" priority="1"/>
  </conditionalFormatting>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303B9-E931-49A1-B20F-3CCD1D662CDE}">
  <dimension ref="A1:S1252"/>
  <sheetViews>
    <sheetView topLeftCell="A31" workbookViewId="0">
      <selection activeCell="G43" sqref="G43"/>
    </sheetView>
  </sheetViews>
  <sheetFormatPr defaultRowHeight="15" x14ac:dyDescent="0.25"/>
  <cols>
    <col min="1" max="1" width="21.28515625" customWidth="1"/>
    <col min="2" max="2" width="17.42578125" customWidth="1"/>
    <col min="3" max="3" width="22.42578125" customWidth="1"/>
    <col min="4" max="4" width="17.7109375" customWidth="1"/>
    <col min="5" max="5" width="13.7109375" customWidth="1"/>
    <col min="6" max="6" width="17" customWidth="1"/>
    <col min="7" max="7" width="17.28515625" customWidth="1"/>
    <col min="8" max="8" width="15.5703125" bestFit="1" customWidth="1"/>
    <col min="9" max="9" width="14.5703125" customWidth="1"/>
    <col min="11" max="11" width="25.28515625" customWidth="1"/>
    <col min="12" max="12" width="16.28515625" customWidth="1"/>
    <col min="13" max="13" width="16.140625" customWidth="1"/>
  </cols>
  <sheetData>
    <row r="1" spans="1:19" ht="26.25" x14ac:dyDescent="0.4">
      <c r="A1" s="57" t="s">
        <v>1303</v>
      </c>
      <c r="B1" s="57"/>
      <c r="C1" s="57"/>
      <c r="D1" s="57"/>
      <c r="E1" s="57"/>
      <c r="F1" s="57"/>
      <c r="G1" s="57"/>
      <c r="H1" s="57"/>
      <c r="I1" s="57"/>
      <c r="J1" s="57"/>
      <c r="K1" s="57"/>
      <c r="L1" s="57"/>
      <c r="M1" s="57"/>
      <c r="N1" s="57"/>
      <c r="O1" s="57"/>
      <c r="P1" s="57"/>
      <c r="Q1" s="57"/>
      <c r="R1" s="57"/>
      <c r="S1" s="57"/>
    </row>
    <row r="3" spans="1:19" ht="21" x14ac:dyDescent="0.35">
      <c r="A3" s="6" t="s">
        <v>1307</v>
      </c>
    </row>
    <row r="5" spans="1:19" ht="15.75" x14ac:dyDescent="0.25">
      <c r="A5" s="10" t="s">
        <v>2</v>
      </c>
      <c r="B5" s="10" t="s">
        <v>3</v>
      </c>
      <c r="C5" s="10" t="s">
        <v>1292</v>
      </c>
      <c r="D5" s="10" t="s">
        <v>1293</v>
      </c>
    </row>
    <row r="6" spans="1:19" ht="41.25" customHeight="1" x14ac:dyDescent="0.25">
      <c r="A6" s="7" t="s">
        <v>28</v>
      </c>
      <c r="B6" s="7" t="str">
        <f>IFERROR(_xlfn.XLOOKUP(A6,Product_Lookup!$A$2:$A$10,Product_Lookup!$B$2:$B$10),"Product Not Found")</f>
        <v>Machining</v>
      </c>
      <c r="C6" s="7">
        <f>IFERROR(_xlfn.XLOOKUP(A6,Product_Lookup!$A$2:$A$10,Product_Lookup!$C$2:$C$10),"Product Not Found")</f>
        <v>360</v>
      </c>
      <c r="D6" s="7" t="str">
        <f>IFERROR(_xlfn.XLOOKUP(A6,Product_Lookup!$A$2:$A$10,Product_Lookup!$D$2:$D$10),"Product Not Found")</f>
        <v>Manager D</v>
      </c>
    </row>
    <row r="9" spans="1:19" ht="21" x14ac:dyDescent="0.25">
      <c r="A9" s="8" t="s">
        <v>1306</v>
      </c>
    </row>
    <row r="11" spans="1:19" ht="15.75" x14ac:dyDescent="0.25">
      <c r="A11" s="11" t="s">
        <v>3</v>
      </c>
      <c r="B11" s="11" t="s">
        <v>1308</v>
      </c>
      <c r="C11" s="11" t="s">
        <v>1309</v>
      </c>
      <c r="D11" s="11" t="s">
        <v>1310</v>
      </c>
    </row>
    <row r="12" spans="1:19" x14ac:dyDescent="0.25">
      <c r="A12" s="12" t="str" cm="1">
        <f t="array" ref="A12:A17">_xlfn.UNIQUE(tblProduction[Department])</f>
        <v>Composite</v>
      </c>
      <c r="B12" s="12">
        <f>SUMIFS(Clean_Data!$I:$I,Clean_Data!$D:$D,A12)</f>
        <v>56256</v>
      </c>
      <c r="C12" s="12">
        <f>SUMIFS(Clean_Data!$H:$H,Clean_Data!$D:$D,A12)</f>
        <v>60199</v>
      </c>
      <c r="D12" s="13">
        <f>IFERROR(B12/C12,0)</f>
        <v>0.93450057309922097</v>
      </c>
    </row>
    <row r="13" spans="1:19" x14ac:dyDescent="0.25">
      <c r="A13" s="12" t="str">
        <v>Machining</v>
      </c>
      <c r="B13" s="12">
        <f>SUMIFS(Clean_Data!$I:$I,Clean_Data!$D:$D,A13)</f>
        <v>23091</v>
      </c>
      <c r="C13" s="12">
        <f>SUMIFS(Clean_Data!$H:$H,Clean_Data!$D:$D,A13)</f>
        <v>25078</v>
      </c>
      <c r="D13" s="13">
        <f t="shared" ref="D13:D16" si="0">IFERROR(B13/C13,0)</f>
        <v>0.92076720631629316</v>
      </c>
    </row>
    <row r="14" spans="1:19" x14ac:dyDescent="0.25">
      <c r="A14" s="12" t="str">
        <v>Spares &amp; Repairs</v>
      </c>
      <c r="B14" s="12">
        <f>SUMIFS(Clean_Data!$I:$I,Clean_Data!$D:$D,A14)</f>
        <v>32773</v>
      </c>
      <c r="C14" s="12">
        <f>SUMIFS(Clean_Data!$H:$H,Clean_Data!$D:$D,A14)</f>
        <v>34951</v>
      </c>
      <c r="D14" s="13">
        <f t="shared" si="0"/>
        <v>0.93768418643243401</v>
      </c>
    </row>
    <row r="15" spans="1:19" x14ac:dyDescent="0.25">
      <c r="A15" s="12" t="str">
        <v>Sheet Metal</v>
      </c>
      <c r="B15" s="12">
        <f>SUMIFS(Clean_Data!$I:$I,Clean_Data!$D:$D,A15)</f>
        <v>30708</v>
      </c>
      <c r="C15" s="12">
        <f>SUMIFS(Clean_Data!$H:$H,Clean_Data!$D:$D,A15)</f>
        <v>32748</v>
      </c>
      <c r="D15" s="13">
        <f t="shared" si="0"/>
        <v>0.93770611945767679</v>
      </c>
    </row>
    <row r="16" spans="1:19" x14ac:dyDescent="0.25">
      <c r="A16" s="12" t="str">
        <v>Assembly</v>
      </c>
      <c r="B16" s="12">
        <f>SUMIFS(Clean_Data!$I:$I,Clean_Data!$D:$D,A16)</f>
        <v>51256</v>
      </c>
      <c r="C16" s="12">
        <f>SUMIFS(Clean_Data!$H:$H,Clean_Data!$D:$D,A16)</f>
        <v>54726</v>
      </c>
      <c r="D16" s="13">
        <f t="shared" si="0"/>
        <v>0.93659320980886596</v>
      </c>
    </row>
    <row r="17" spans="1:4" x14ac:dyDescent="0.25">
      <c r="A17" s="12" t="str">
        <v>Surface Treatment</v>
      </c>
      <c r="B17" s="12">
        <f>SUMIFS(Clean_Data!$I:$I,Clean_Data!$D:$D,A17)</f>
        <v>26976</v>
      </c>
      <c r="C17" s="12">
        <f>SUMIFS(Clean_Data!$H:$H,Clean_Data!$D:$D,A17)</f>
        <v>29224</v>
      </c>
      <c r="D17" s="13">
        <f>IFERROR(B17/C17,0)</f>
        <v>0.92307692307692313</v>
      </c>
    </row>
    <row r="18" spans="1:4" ht="15.75" x14ac:dyDescent="0.25">
      <c r="A18" s="14"/>
      <c r="B18" s="14">
        <f>SUM(B12:B17)</f>
        <v>221060</v>
      </c>
      <c r="C18" s="14">
        <f>SUM(C12:C17)</f>
        <v>236926</v>
      </c>
      <c r="D18" s="15">
        <f>IFERROR(B18/C18,0)</f>
        <v>0.93303394308771515</v>
      </c>
    </row>
    <row r="21" spans="1:4" ht="21" x14ac:dyDescent="0.35">
      <c r="A21" s="6" t="s">
        <v>1311</v>
      </c>
    </row>
    <row r="23" spans="1:4" ht="30.75" customHeight="1" x14ac:dyDescent="0.25">
      <c r="A23" s="17" t="s">
        <v>3</v>
      </c>
      <c r="B23" s="17" t="s">
        <v>1312</v>
      </c>
      <c r="C23" s="17" t="s">
        <v>1313</v>
      </c>
    </row>
    <row r="24" spans="1:4" x14ac:dyDescent="0.25">
      <c r="A24" t="str" cm="1">
        <f t="array" ref="A24:A29">_xlfn.UNIQUE(tblProduction[Department])</f>
        <v>Composite</v>
      </c>
      <c r="B24" s="18">
        <f>AVERAGEIFS(Clean_Data!$K:$K,Clean_Data!$D:$D,A24)</f>
        <v>4.3208609271523173</v>
      </c>
      <c r="C24" t="str">
        <f>IF(B24&lt;4.35,"Low Downtime",IF(B24&lt;4.6,"Moderate Downtime","High Downtime"))</f>
        <v>Low Downtime</v>
      </c>
    </row>
    <row r="25" spans="1:4" x14ac:dyDescent="0.25">
      <c r="A25" t="str">
        <v>Machining</v>
      </c>
      <c r="B25" s="18">
        <f>AVERAGEIFS(Clean_Data!$K:$K,Clean_Data!$D:$D,A25)</f>
        <v>4.7387596899224835</v>
      </c>
      <c r="C25" t="str">
        <f t="shared" ref="C25:C29" si="1">IF(B25&lt;4.35,"Low Downtime",IF(B25&lt;4.6,"Moderate Downtime","High Downtime"))</f>
        <v>High Downtime</v>
      </c>
    </row>
    <row r="26" spans="1:4" x14ac:dyDescent="0.25">
      <c r="A26" t="str">
        <v>Spares &amp; Repairs</v>
      </c>
      <c r="B26" s="18">
        <f>AVERAGEIFS(Clean_Data!$K:$K,Clean_Data!$D:$D,A26)</f>
        <v>4.3244318181818189</v>
      </c>
      <c r="C26" t="str">
        <f t="shared" si="1"/>
        <v>Low Downtime</v>
      </c>
    </row>
    <row r="27" spans="1:4" x14ac:dyDescent="0.25">
      <c r="A27" t="str">
        <v>Sheet Metal</v>
      </c>
      <c r="B27" s="18">
        <f>AVERAGEIFS(Clean_Data!$K:$K,Clean_Data!$D:$D,A27)</f>
        <v>4.2497005988023959</v>
      </c>
      <c r="C27" t="str">
        <f t="shared" si="1"/>
        <v>Low Downtime</v>
      </c>
    </row>
    <row r="28" spans="1:4" x14ac:dyDescent="0.25">
      <c r="A28" t="str">
        <v>Assembly</v>
      </c>
      <c r="B28" s="18">
        <f>AVERAGEIFS(Clean_Data!$K:$K,Clean_Data!$D:$D,A28)</f>
        <v>4.4945054945054981</v>
      </c>
      <c r="C28" t="str">
        <f t="shared" si="1"/>
        <v>Moderate Downtime</v>
      </c>
    </row>
    <row r="29" spans="1:4" x14ac:dyDescent="0.25">
      <c r="A29" t="str">
        <v>Surface Treatment</v>
      </c>
      <c r="B29" s="18">
        <f>AVERAGEIFS(Clean_Data!$K:$K,Clean_Data!$D:$D,A29)</f>
        <v>4.3790540540540537</v>
      </c>
      <c r="C29" t="str">
        <f t="shared" si="1"/>
        <v>Moderate Downtime</v>
      </c>
    </row>
    <row r="32" spans="1:4" ht="21" x14ac:dyDescent="0.35">
      <c r="A32" s="6" t="s">
        <v>1314</v>
      </c>
    </row>
    <row r="34" spans="1:8" ht="32.25" customHeight="1" x14ac:dyDescent="0.25">
      <c r="A34" s="20" t="s">
        <v>3</v>
      </c>
      <c r="B34" s="20" t="s">
        <v>25</v>
      </c>
      <c r="C34" s="20" t="s">
        <v>100</v>
      </c>
      <c r="D34" s="20" t="s">
        <v>39</v>
      </c>
      <c r="E34" s="20" t="s">
        <v>1302</v>
      </c>
      <c r="F34" s="20" t="s">
        <v>1315</v>
      </c>
      <c r="G34" s="11" t="s">
        <v>1316</v>
      </c>
      <c r="H34" s="11" t="s">
        <v>1369</v>
      </c>
    </row>
    <row r="35" spans="1:8" x14ac:dyDescent="0.25">
      <c r="A35" s="21" t="str" cm="1">
        <f t="array" ref="A35:A40">_xlfn.UNIQUE(tblProduction[Department])</f>
        <v>Composite</v>
      </c>
      <c r="B35" s="22">
        <f>COUNTIFS(Clean_Data!$D:$D,$A35,Clean_Data!$R:$R,B$34)</f>
        <v>184</v>
      </c>
      <c r="C35" s="22">
        <f>COUNTIFS(Clean_Data!$D:$D,$A35,Clean_Data!$R:$R,C$34)</f>
        <v>60</v>
      </c>
      <c r="D35" s="22">
        <f>COUNTIFS(Clean_Data!$D:$D,$A35,Clean_Data!$R:$R,D$34)</f>
        <v>58</v>
      </c>
      <c r="E35" s="22">
        <f>COUNTIFS(Clean_Data!$D:$D,$A35,Clean_Data!$R:$R,E$34)</f>
        <v>0</v>
      </c>
      <c r="F35" s="12">
        <f>SUM(B35:E35)</f>
        <v>302</v>
      </c>
      <c r="G35" s="13">
        <f>IFERROR(D35/F35,0)</f>
        <v>0.19205298013245034</v>
      </c>
      <c r="H35" s="13">
        <f>IFERROR(B35/F35,0)</f>
        <v>0.60927152317880795</v>
      </c>
    </row>
    <row r="36" spans="1:8" x14ac:dyDescent="0.25">
      <c r="A36" s="23" t="str">
        <v>Machining</v>
      </c>
      <c r="B36" s="22">
        <f>COUNTIFS(Clean_Data!$D:$D,$A36,Clean_Data!$R:$R,B$34)</f>
        <v>81</v>
      </c>
      <c r="C36" s="22">
        <f>COUNTIFS(Clean_Data!$D:$D,$A36,Clean_Data!$R:$R,C$34)</f>
        <v>25</v>
      </c>
      <c r="D36" s="22">
        <f>COUNTIFS(Clean_Data!$D:$D,$A36,Clean_Data!$R:$R,D$34)</f>
        <v>23</v>
      </c>
      <c r="E36" s="22">
        <f>COUNTIFS(Clean_Data!$D:$D,$A36,Clean_Data!$R:$R,E$34)</f>
        <v>0</v>
      </c>
      <c r="F36" s="12">
        <f t="shared" ref="F36:F40" si="2">SUM(B36:E36)</f>
        <v>129</v>
      </c>
      <c r="G36" s="13">
        <f t="shared" ref="G36:G40" si="3">IFERROR(D36/F36,0)</f>
        <v>0.17829457364341086</v>
      </c>
      <c r="H36" s="13">
        <f t="shared" ref="H36:H40" si="4">IFERROR(B36/F36,0)</f>
        <v>0.62790697674418605</v>
      </c>
    </row>
    <row r="37" spans="1:8" x14ac:dyDescent="0.25">
      <c r="A37" s="23" t="str">
        <v>Spares &amp; Repairs</v>
      </c>
      <c r="B37" s="22">
        <f>COUNTIFS(Clean_Data!$D:$D,$A37,Clean_Data!$R:$R,B$34)</f>
        <v>105</v>
      </c>
      <c r="C37" s="22">
        <f>COUNTIFS(Clean_Data!$D:$D,$A37,Clean_Data!$R:$R,C$34)</f>
        <v>35</v>
      </c>
      <c r="D37" s="22">
        <f>COUNTIFS(Clean_Data!$D:$D,$A37,Clean_Data!$R:$R,D$34)</f>
        <v>34</v>
      </c>
      <c r="E37" s="22">
        <f>COUNTIFS(Clean_Data!$D:$D,$A37,Clean_Data!$R:$R,E$34)</f>
        <v>2</v>
      </c>
      <c r="F37" s="12">
        <f t="shared" si="2"/>
        <v>176</v>
      </c>
      <c r="G37" s="13">
        <f t="shared" si="3"/>
        <v>0.19318181818181818</v>
      </c>
      <c r="H37" s="13">
        <f t="shared" si="4"/>
        <v>0.59659090909090906</v>
      </c>
    </row>
    <row r="38" spans="1:8" x14ac:dyDescent="0.25">
      <c r="A38" s="23" t="str">
        <v>Sheet Metal</v>
      </c>
      <c r="B38" s="22">
        <f>COUNTIFS(Clean_Data!$D:$D,$A38,Clean_Data!$R:$R,B$34)</f>
        <v>102</v>
      </c>
      <c r="C38" s="22">
        <f>COUNTIFS(Clean_Data!$D:$D,$A38,Clean_Data!$R:$R,C$34)</f>
        <v>23</v>
      </c>
      <c r="D38" s="22">
        <f>COUNTIFS(Clean_Data!$D:$D,$A38,Clean_Data!$R:$R,D$34)</f>
        <v>42</v>
      </c>
      <c r="E38" s="22">
        <f>COUNTIFS(Clean_Data!$D:$D,$A38,Clean_Data!$R:$R,E$34)</f>
        <v>0</v>
      </c>
      <c r="F38" s="12">
        <f t="shared" si="2"/>
        <v>167</v>
      </c>
      <c r="G38" s="13">
        <f t="shared" si="3"/>
        <v>0.25149700598802394</v>
      </c>
      <c r="H38" s="13">
        <f t="shared" si="4"/>
        <v>0.6107784431137725</v>
      </c>
    </row>
    <row r="39" spans="1:8" x14ac:dyDescent="0.25">
      <c r="A39" s="23" t="str">
        <v>Assembly</v>
      </c>
      <c r="B39" s="22">
        <f>COUNTIFS(Clean_Data!$D:$D,$A39,Clean_Data!$R:$R,B$34)</f>
        <v>166</v>
      </c>
      <c r="C39" s="22">
        <f>COUNTIFS(Clean_Data!$D:$D,$A39,Clean_Data!$R:$R,C$34)</f>
        <v>51</v>
      </c>
      <c r="D39" s="22">
        <f>COUNTIFS(Clean_Data!$D:$D,$A39,Clean_Data!$R:$R,D$34)</f>
        <v>54</v>
      </c>
      <c r="E39" s="22">
        <f>COUNTIFS(Clean_Data!$D:$D,$A39,Clean_Data!$R:$R,E$34)</f>
        <v>2</v>
      </c>
      <c r="F39" s="12">
        <f t="shared" si="2"/>
        <v>273</v>
      </c>
      <c r="G39" s="13">
        <f t="shared" si="3"/>
        <v>0.19780219780219779</v>
      </c>
      <c r="H39" s="13">
        <f t="shared" si="4"/>
        <v>0.60805860805860801</v>
      </c>
    </row>
    <row r="40" spans="1:8" x14ac:dyDescent="0.25">
      <c r="A40" s="23" t="str">
        <v>Surface Treatment</v>
      </c>
      <c r="B40" s="22">
        <f>COUNTIFS(Clean_Data!$D:$D,$A40,Clean_Data!$R:$R,B$34)</f>
        <v>79</v>
      </c>
      <c r="C40" s="22">
        <f>COUNTIFS(Clean_Data!$D:$D,$A40,Clean_Data!$R:$R,C$34)</f>
        <v>37</v>
      </c>
      <c r="D40" s="22">
        <f>COUNTIFS(Clean_Data!$D:$D,$A40,Clean_Data!$R:$R,D$34)</f>
        <v>32</v>
      </c>
      <c r="E40" s="22">
        <f>COUNTIFS(Clean_Data!$D:$D,$A40,Clean_Data!$R:$R,E$34)</f>
        <v>0</v>
      </c>
      <c r="F40" s="12">
        <f t="shared" si="2"/>
        <v>148</v>
      </c>
      <c r="G40" s="13">
        <f t="shared" si="3"/>
        <v>0.21621621621621623</v>
      </c>
      <c r="H40" s="13">
        <f t="shared" si="4"/>
        <v>0.53378378378378377</v>
      </c>
    </row>
    <row r="41" spans="1:8" x14ac:dyDescent="0.25">
      <c r="A41" s="16"/>
    </row>
    <row r="44" spans="1:8" ht="21" x14ac:dyDescent="0.35">
      <c r="A44" s="6" t="s">
        <v>1317</v>
      </c>
    </row>
    <row r="46" spans="1:8" x14ac:dyDescent="0.25">
      <c r="A46" s="16" t="s">
        <v>1318</v>
      </c>
      <c r="B46" s="24">
        <f>_xlfn.MAXIFS($G$35:$G$40,$G$35:$G$40,"&gt;0")</f>
        <v>0.25149700598802394</v>
      </c>
    </row>
    <row r="47" spans="1:8" ht="30" x14ac:dyDescent="0.25">
      <c r="A47" s="16" t="s">
        <v>1319</v>
      </c>
      <c r="B47" s="9" t="str">
        <f>_xlfn.XLOOKUP(B46,$G$35:$G$40,$A$35:$A$40)</f>
        <v>Sheet Metal</v>
      </c>
    </row>
    <row r="48" spans="1:8" x14ac:dyDescent="0.25">
      <c r="A48" s="16"/>
    </row>
    <row r="49" spans="1:12" x14ac:dyDescent="0.25">
      <c r="A49" s="16" t="s">
        <v>1320</v>
      </c>
      <c r="B49" s="19">
        <f>_xlfn.MINIFS($G$35:$G$40,$G$35:$G$40,"&gt;0")</f>
        <v>0.17829457364341086</v>
      </c>
    </row>
    <row r="50" spans="1:12" ht="15" customHeight="1" x14ac:dyDescent="0.25">
      <c r="A50" s="16" t="s">
        <v>1321</v>
      </c>
      <c r="B50" s="9" t="str">
        <f>_xlfn.XLOOKUP(B49,$G$35:$G$40,$A$35:$A$40)</f>
        <v>Machining</v>
      </c>
    </row>
    <row r="51" spans="1:12" x14ac:dyDescent="0.25">
      <c r="A51" s="16"/>
    </row>
    <row r="53" spans="1:12" ht="21" x14ac:dyDescent="0.35">
      <c r="A53" s="6" t="s">
        <v>1322</v>
      </c>
      <c r="K53" s="6" t="s">
        <v>1331</v>
      </c>
    </row>
    <row r="55" spans="1:12" ht="27" customHeight="1" x14ac:dyDescent="0.25">
      <c r="A55" s="29" t="s">
        <v>1323</v>
      </c>
      <c r="B55" s="29" t="s">
        <v>21</v>
      </c>
      <c r="K55" s="21" t="s">
        <v>1326</v>
      </c>
      <c r="L55" s="32">
        <f>ROWS(_xlfn.ANCHORARRAY(A61))</f>
        <v>17</v>
      </c>
    </row>
    <row r="56" spans="1:12" ht="27.75" customHeight="1" x14ac:dyDescent="0.25">
      <c r="A56" s="29" t="s">
        <v>1324</v>
      </c>
      <c r="B56" s="29" t="s">
        <v>57</v>
      </c>
      <c r="K56" s="21" t="s">
        <v>1327</v>
      </c>
      <c r="L56" s="34">
        <f>SUM(INDEX(_xlfn.ANCHORARRAY(A61),,6))</f>
        <v>3389</v>
      </c>
    </row>
    <row r="57" spans="1:12" ht="23.25" customHeight="1" x14ac:dyDescent="0.25">
      <c r="A57" t="s">
        <v>1325</v>
      </c>
      <c r="B57" t="s">
        <v>39</v>
      </c>
      <c r="K57" s="21" t="s">
        <v>1328</v>
      </c>
      <c r="L57" s="30">
        <f>SUM(INDEX(_xlfn.ANCHORARRAY(A61),,7))</f>
        <v>3212</v>
      </c>
    </row>
    <row r="58" spans="1:12" ht="24" customHeight="1" x14ac:dyDescent="0.25">
      <c r="K58" s="21" t="s">
        <v>1329</v>
      </c>
      <c r="L58" s="33">
        <f>SUM(INDEX(_xlfn.ANCHORARRAY(A61),,8))</f>
        <v>171</v>
      </c>
    </row>
    <row r="59" spans="1:12" ht="27" customHeight="1" x14ac:dyDescent="0.25">
      <c r="K59" s="21" t="s">
        <v>1330</v>
      </c>
      <c r="L59" s="31">
        <f>IFERROR(L57/L56,0)</f>
        <v>0.9477722041900265</v>
      </c>
    </row>
    <row r="60" spans="1:12" ht="30" x14ac:dyDescent="0.25">
      <c r="A60" s="16" t="s">
        <v>0</v>
      </c>
      <c r="B60" s="16" t="s">
        <v>1</v>
      </c>
      <c r="C60" s="16" t="s">
        <v>2</v>
      </c>
      <c r="D60" s="16" t="s">
        <v>3</v>
      </c>
      <c r="E60" s="16" t="s">
        <v>6</v>
      </c>
      <c r="F60" s="16" t="s">
        <v>7</v>
      </c>
      <c r="G60" s="16" t="s">
        <v>8</v>
      </c>
      <c r="H60" s="16" t="s">
        <v>9</v>
      </c>
      <c r="I60" s="16" t="s">
        <v>17</v>
      </c>
      <c r="K60" s="16"/>
    </row>
    <row r="61" spans="1:12" x14ac:dyDescent="0.25">
      <c r="A61" s="27" t="str" cm="1">
        <f t="array" ref="A61:I77">_xlfn._xlws.FILTER(CHOOSE({1,2,3,4,5,6,7,8,9},Clean_Data!$A$5:$A$1199,Clean_Data!$B$5:$B$1199,Clean_Data!$C$5:$C$1199,Clean_Data!$D$5:$D$1199,Clean_Data!$G$5:$G$1199,Clean_Data!$H$5:$H$1199,Clean_Data!$I$5:$I$1199,Clean_Data!$J$5:$J$1199,Clean_Data!$R$5:$R$1199),(Clean_Data!$A$5:$A$1199&lt;&gt;"")*(($B$55="All")+(Clean_Data!$D$5:$D$1199=$B$55)&gt;0)*(($B$56="All")+(Clean_Data!$G$5:$G$1199=$B$56)&gt;0)*(($B$57="All")+(Clean_Data!$R$5:$R$1199=$B$57)&gt;0),"No matching records")</f>
        <v>PRD-00083</v>
      </c>
      <c r="B61" s="25">
        <v>46188</v>
      </c>
      <c r="C61" t="str">
        <v>Composite Panel B</v>
      </c>
      <c r="D61" t="str">
        <v>Composite</v>
      </c>
      <c r="E61" t="str">
        <v>Day</v>
      </c>
      <c r="F61">
        <v>232</v>
      </c>
      <c r="G61">
        <v>217</v>
      </c>
      <c r="H61">
        <v>10</v>
      </c>
      <c r="I61" t="str">
        <v>Rejected</v>
      </c>
      <c r="K61" s="16"/>
    </row>
    <row r="62" spans="1:12" x14ac:dyDescent="0.25">
      <c r="A62" s="16" t="str">
        <v>PRD-00086</v>
      </c>
      <c r="B62" s="26">
        <v>46056</v>
      </c>
      <c r="C62" t="str">
        <v>Composite Panel B</v>
      </c>
      <c r="D62" t="str">
        <v>Composite</v>
      </c>
      <c r="E62" t="str">
        <v>Day</v>
      </c>
      <c r="F62">
        <v>223</v>
      </c>
      <c r="G62">
        <v>196</v>
      </c>
      <c r="H62">
        <v>14</v>
      </c>
      <c r="I62" t="str">
        <v>Rejected</v>
      </c>
    </row>
    <row r="63" spans="1:12" x14ac:dyDescent="0.25">
      <c r="A63" s="16" t="str">
        <v>PRD-00230</v>
      </c>
      <c r="B63" s="26">
        <v>46065</v>
      </c>
      <c r="C63" t="str">
        <v>Composite Panel B</v>
      </c>
      <c r="D63" t="str">
        <v>composite</v>
      </c>
      <c r="E63" t="str">
        <v>Day</v>
      </c>
      <c r="F63">
        <v>162</v>
      </c>
      <c r="G63">
        <v>133</v>
      </c>
      <c r="H63">
        <v>12</v>
      </c>
      <c r="I63" t="str">
        <v>Rejected</v>
      </c>
    </row>
    <row r="64" spans="1:12" x14ac:dyDescent="0.25">
      <c r="A64" s="16" t="str">
        <v>PRD-00254</v>
      </c>
      <c r="B64" s="26">
        <v>46077</v>
      </c>
      <c r="C64" t="str">
        <v>Composite Panel A</v>
      </c>
      <c r="D64" t="str">
        <v>Composite</v>
      </c>
      <c r="E64" t="str">
        <v>Day</v>
      </c>
      <c r="F64">
        <v>146</v>
      </c>
      <c r="G64">
        <v>139</v>
      </c>
      <c r="H64">
        <v>13</v>
      </c>
      <c r="I64" t="str">
        <v>Rejected</v>
      </c>
    </row>
    <row r="65" spans="1:9" x14ac:dyDescent="0.25">
      <c r="A65" s="16" t="str">
        <v>PRD-00310</v>
      </c>
      <c r="B65" s="26">
        <v>46096</v>
      </c>
      <c r="C65" t="str">
        <v>Composite Panel A</v>
      </c>
      <c r="D65" t="str">
        <v>Composite</v>
      </c>
      <c r="E65" t="str">
        <v>Day</v>
      </c>
      <c r="F65">
        <v>257</v>
      </c>
      <c r="G65">
        <v>273</v>
      </c>
      <c r="H65">
        <v>8</v>
      </c>
      <c r="I65" t="str">
        <v>Rejected</v>
      </c>
    </row>
    <row r="66" spans="1:9" x14ac:dyDescent="0.25">
      <c r="A66" s="16" t="str">
        <v>PRD-00337</v>
      </c>
      <c r="B66" s="26">
        <v>46154</v>
      </c>
      <c r="C66" t="str">
        <v>Composite Panel B</v>
      </c>
      <c r="D66" t="str">
        <v>Composite</v>
      </c>
      <c r="E66" t="str">
        <v>Day</v>
      </c>
      <c r="F66">
        <v>218</v>
      </c>
      <c r="G66">
        <v>189</v>
      </c>
      <c r="H66">
        <v>6</v>
      </c>
      <c r="I66" t="str">
        <v>Rejected</v>
      </c>
    </row>
    <row r="67" spans="1:9" x14ac:dyDescent="0.25">
      <c r="A67" s="16" t="str">
        <v>PRD-00462</v>
      </c>
      <c r="B67" s="26">
        <v>46127</v>
      </c>
      <c r="C67" t="str">
        <v>Composite Panel B</v>
      </c>
      <c r="D67" t="str">
        <v>Composite</v>
      </c>
      <c r="E67" t="str">
        <v>Day</v>
      </c>
      <c r="F67">
        <v>174</v>
      </c>
      <c r="G67">
        <v>168</v>
      </c>
      <c r="H67">
        <v>1</v>
      </c>
      <c r="I67" t="str">
        <v>Rejected</v>
      </c>
    </row>
    <row r="68" spans="1:9" x14ac:dyDescent="0.25">
      <c r="A68" s="16" t="str">
        <v>PRD-00511</v>
      </c>
      <c r="B68" s="26">
        <v>46132</v>
      </c>
      <c r="C68" t="str">
        <v>Composite Panel B</v>
      </c>
      <c r="D68" t="str">
        <v>Composite</v>
      </c>
      <c r="E68" t="str">
        <v>Day</v>
      </c>
      <c r="F68">
        <v>134</v>
      </c>
      <c r="G68">
        <v>102</v>
      </c>
      <c r="H68">
        <v>3</v>
      </c>
      <c r="I68" t="str">
        <v>Rejected</v>
      </c>
    </row>
    <row r="69" spans="1:9" x14ac:dyDescent="0.25">
      <c r="A69" s="16" t="str">
        <v>PRD-00747</v>
      </c>
      <c r="B69" s="26">
        <v>46194</v>
      </c>
      <c r="C69" t="str">
        <v>Composite Panel B</v>
      </c>
      <c r="D69" t="str">
        <v>Composite</v>
      </c>
      <c r="E69" t="str">
        <v>Day</v>
      </c>
      <c r="F69">
        <v>137</v>
      </c>
      <c r="G69">
        <v>116</v>
      </c>
      <c r="H69">
        <v>2</v>
      </c>
      <c r="I69" t="str">
        <v>Rejected</v>
      </c>
    </row>
    <row r="70" spans="1:9" x14ac:dyDescent="0.25">
      <c r="A70" s="16" t="str">
        <v>PRD-00769</v>
      </c>
      <c r="B70" s="26">
        <v>46081</v>
      </c>
      <c r="C70" t="str">
        <v>Composite Panel B</v>
      </c>
      <c r="D70" t="str">
        <v>Composite</v>
      </c>
      <c r="E70" t="str">
        <v>Day</v>
      </c>
      <c r="F70">
        <v>244</v>
      </c>
      <c r="G70">
        <v>260</v>
      </c>
      <c r="H70">
        <v>21</v>
      </c>
      <c r="I70" t="str">
        <v>Rejected</v>
      </c>
    </row>
    <row r="71" spans="1:9" x14ac:dyDescent="0.25">
      <c r="A71" t="str">
        <v>PRD-00783</v>
      </c>
      <c r="B71" s="26">
        <v>46125</v>
      </c>
      <c r="C71" t="str">
        <v>Composite Panel B</v>
      </c>
      <c r="D71" t="str">
        <v>Composite</v>
      </c>
      <c r="E71" t="str">
        <v>Day</v>
      </c>
      <c r="F71">
        <v>269</v>
      </c>
      <c r="G71">
        <v>261</v>
      </c>
      <c r="H71">
        <v>17</v>
      </c>
      <c r="I71" t="str">
        <v>Rejected</v>
      </c>
    </row>
    <row r="72" spans="1:9" x14ac:dyDescent="0.25">
      <c r="A72" t="str">
        <v>PRD-00802</v>
      </c>
      <c r="B72" s="26">
        <v>46112</v>
      </c>
      <c r="C72" t="str">
        <v>Composite Panel B</v>
      </c>
      <c r="D72" t="str">
        <v>Composite</v>
      </c>
      <c r="E72" t="str">
        <v>Day</v>
      </c>
      <c r="F72">
        <v>195</v>
      </c>
      <c r="G72">
        <v>203</v>
      </c>
      <c r="H72">
        <v>10</v>
      </c>
      <c r="I72" t="str">
        <v>Rejected</v>
      </c>
    </row>
    <row r="73" spans="1:9" x14ac:dyDescent="0.25">
      <c r="A73" t="str">
        <v>PRD-00915</v>
      </c>
      <c r="B73" s="26">
        <v>46172</v>
      </c>
      <c r="C73" t="str">
        <v>Composite Panel B</v>
      </c>
      <c r="D73" t="str">
        <v>Composite</v>
      </c>
      <c r="E73" t="str">
        <v>day</v>
      </c>
      <c r="F73">
        <v>237</v>
      </c>
      <c r="G73">
        <v>170</v>
      </c>
      <c r="H73">
        <v>14</v>
      </c>
      <c r="I73" t="str">
        <v>Rejected</v>
      </c>
    </row>
    <row r="74" spans="1:9" x14ac:dyDescent="0.25">
      <c r="A74" t="str">
        <v>PRD-00924</v>
      </c>
      <c r="B74" s="26">
        <v>46081</v>
      </c>
      <c r="C74" t="str">
        <v>Composite Panel A</v>
      </c>
      <c r="D74" t="str">
        <v>Composite</v>
      </c>
      <c r="E74" t="str">
        <v>Day</v>
      </c>
      <c r="F74">
        <v>290</v>
      </c>
      <c r="G74">
        <v>264</v>
      </c>
      <c r="H74">
        <v>10</v>
      </c>
      <c r="I74" t="str">
        <v>Rejected</v>
      </c>
    </row>
    <row r="75" spans="1:9" x14ac:dyDescent="0.25">
      <c r="A75" t="str">
        <v>PRD-00956</v>
      </c>
      <c r="B75" s="26">
        <v>46046</v>
      </c>
      <c r="C75" t="str">
        <v>Composite Panel B</v>
      </c>
      <c r="D75" t="str">
        <v>Composite</v>
      </c>
      <c r="E75" t="str">
        <v>Day</v>
      </c>
      <c r="F75">
        <v>112</v>
      </c>
      <c r="G75">
        <v>124</v>
      </c>
      <c r="H75">
        <v>3</v>
      </c>
      <c r="I75" t="str">
        <v>Rejected</v>
      </c>
    </row>
    <row r="76" spans="1:9" x14ac:dyDescent="0.25">
      <c r="A76" t="str">
        <v>PRD-01048</v>
      </c>
      <c r="B76" s="26">
        <v>46113</v>
      </c>
      <c r="C76" t="str">
        <v>Composite Panel B</v>
      </c>
      <c r="D76" t="str">
        <v>Composite</v>
      </c>
      <c r="E76" t="str">
        <v>Day</v>
      </c>
      <c r="F76">
        <v>141</v>
      </c>
      <c r="G76">
        <v>151</v>
      </c>
      <c r="H76">
        <v>10</v>
      </c>
      <c r="I76" t="str">
        <v>Rejected</v>
      </c>
    </row>
    <row r="77" spans="1:9" x14ac:dyDescent="0.25">
      <c r="A77" t="str">
        <v>PRD-01066</v>
      </c>
      <c r="B77" s="26">
        <v>46175</v>
      </c>
      <c r="C77" t="str">
        <v>Composite Panel A</v>
      </c>
      <c r="D77" t="str">
        <v>Composite</v>
      </c>
      <c r="E77" t="str">
        <v>Day</v>
      </c>
      <c r="F77">
        <v>218</v>
      </c>
      <c r="G77">
        <v>246</v>
      </c>
      <c r="H77">
        <v>17</v>
      </c>
      <c r="I77" t="str">
        <v>Rejected</v>
      </c>
    </row>
    <row r="78" spans="1:9" x14ac:dyDescent="0.25">
      <c r="B78" s="26"/>
    </row>
    <row r="79" spans="1:9" x14ac:dyDescent="0.25">
      <c r="B79" s="26"/>
    </row>
    <row r="80" spans="1:9" x14ac:dyDescent="0.25">
      <c r="B80" s="26"/>
    </row>
    <row r="81" spans="2:2" x14ac:dyDescent="0.25">
      <c r="B81" s="26"/>
    </row>
    <row r="82" spans="2:2" x14ac:dyDescent="0.25">
      <c r="B82" s="26"/>
    </row>
    <row r="83" spans="2:2" x14ac:dyDescent="0.25">
      <c r="B83" s="26"/>
    </row>
    <row r="84" spans="2:2" x14ac:dyDescent="0.25">
      <c r="B84" s="26"/>
    </row>
    <row r="85" spans="2:2" x14ac:dyDescent="0.25">
      <c r="B85" s="26"/>
    </row>
    <row r="86" spans="2:2" x14ac:dyDescent="0.25">
      <c r="B86" s="26"/>
    </row>
    <row r="87" spans="2:2" x14ac:dyDescent="0.25">
      <c r="B87" s="26"/>
    </row>
    <row r="88" spans="2:2" x14ac:dyDescent="0.25">
      <c r="B88" s="26"/>
    </row>
    <row r="89" spans="2:2" x14ac:dyDescent="0.25">
      <c r="B89" s="26"/>
    </row>
    <row r="90" spans="2:2" x14ac:dyDescent="0.25">
      <c r="B90" s="26"/>
    </row>
    <row r="91" spans="2:2" x14ac:dyDescent="0.25">
      <c r="B91" s="26"/>
    </row>
    <row r="92" spans="2:2" x14ac:dyDescent="0.25">
      <c r="B92" s="26"/>
    </row>
    <row r="93" spans="2:2" x14ac:dyDescent="0.25">
      <c r="B93" s="26"/>
    </row>
    <row r="94" spans="2:2" x14ac:dyDescent="0.25">
      <c r="B94" s="26"/>
    </row>
    <row r="95" spans="2:2" x14ac:dyDescent="0.25">
      <c r="B95" s="26"/>
    </row>
    <row r="96" spans="2:2" x14ac:dyDescent="0.25">
      <c r="B96" s="26"/>
    </row>
    <row r="97" spans="2:2" x14ac:dyDescent="0.25">
      <c r="B97" s="26"/>
    </row>
    <row r="98" spans="2:2" x14ac:dyDescent="0.25">
      <c r="B98" s="26"/>
    </row>
    <row r="99" spans="2:2" x14ac:dyDescent="0.25">
      <c r="B99" s="26"/>
    </row>
    <row r="100" spans="2:2" x14ac:dyDescent="0.25">
      <c r="B100" s="26"/>
    </row>
    <row r="101" spans="2:2" x14ac:dyDescent="0.25">
      <c r="B101" s="26"/>
    </row>
    <row r="102" spans="2:2" x14ac:dyDescent="0.25">
      <c r="B102" s="26"/>
    </row>
    <row r="103" spans="2:2" x14ac:dyDescent="0.25">
      <c r="B103" s="26"/>
    </row>
    <row r="104" spans="2:2" x14ac:dyDescent="0.25">
      <c r="B104" s="26"/>
    </row>
    <row r="105" spans="2:2" x14ac:dyDescent="0.25">
      <c r="B105" s="26"/>
    </row>
    <row r="106" spans="2:2" x14ac:dyDescent="0.25">
      <c r="B106" s="26"/>
    </row>
    <row r="107" spans="2:2" x14ac:dyDescent="0.25">
      <c r="B107" s="26"/>
    </row>
    <row r="108" spans="2:2" x14ac:dyDescent="0.25">
      <c r="B108" s="26"/>
    </row>
    <row r="109" spans="2:2" x14ac:dyDescent="0.25">
      <c r="B109" s="26"/>
    </row>
    <row r="110" spans="2:2" x14ac:dyDescent="0.25">
      <c r="B110" s="26"/>
    </row>
    <row r="111" spans="2:2" x14ac:dyDescent="0.25">
      <c r="B111" s="26"/>
    </row>
    <row r="112" spans="2:2" x14ac:dyDescent="0.25">
      <c r="B112" s="26"/>
    </row>
    <row r="113" spans="2:2" x14ac:dyDescent="0.25">
      <c r="B113" s="26"/>
    </row>
    <row r="114" spans="2:2" x14ac:dyDescent="0.25">
      <c r="B114" s="26"/>
    </row>
    <row r="115" spans="2:2" x14ac:dyDescent="0.25">
      <c r="B115" s="26"/>
    </row>
    <row r="116" spans="2:2" x14ac:dyDescent="0.25">
      <c r="B116" s="26"/>
    </row>
    <row r="117" spans="2:2" x14ac:dyDescent="0.25">
      <c r="B117" s="26"/>
    </row>
    <row r="118" spans="2:2" x14ac:dyDescent="0.25">
      <c r="B118" s="26"/>
    </row>
    <row r="119" spans="2:2" x14ac:dyDescent="0.25">
      <c r="B119" s="26"/>
    </row>
    <row r="120" spans="2:2" x14ac:dyDescent="0.25">
      <c r="B120" s="26"/>
    </row>
    <row r="121" spans="2:2" x14ac:dyDescent="0.25">
      <c r="B121" s="26"/>
    </row>
    <row r="122" spans="2:2" x14ac:dyDescent="0.25">
      <c r="B122" s="26"/>
    </row>
    <row r="123" spans="2:2" x14ac:dyDescent="0.25">
      <c r="B123" s="28"/>
    </row>
    <row r="124" spans="2:2" x14ac:dyDescent="0.25">
      <c r="B124" s="28"/>
    </row>
    <row r="125" spans="2:2" x14ac:dyDescent="0.25">
      <c r="B125" s="28"/>
    </row>
    <row r="126" spans="2:2" x14ac:dyDescent="0.25">
      <c r="B126" s="28"/>
    </row>
    <row r="127" spans="2:2" x14ac:dyDescent="0.25">
      <c r="B127" s="28"/>
    </row>
    <row r="128" spans="2:2" x14ac:dyDescent="0.25">
      <c r="B128" s="28"/>
    </row>
    <row r="129" spans="2:2" x14ac:dyDescent="0.25">
      <c r="B129" s="28"/>
    </row>
    <row r="130" spans="2:2" x14ac:dyDescent="0.25">
      <c r="B130" s="28"/>
    </row>
    <row r="131" spans="2:2" x14ac:dyDescent="0.25">
      <c r="B131" s="28"/>
    </row>
    <row r="132" spans="2:2" x14ac:dyDescent="0.25">
      <c r="B132" s="28"/>
    </row>
    <row r="133" spans="2:2" x14ac:dyDescent="0.25">
      <c r="B133" s="28"/>
    </row>
    <row r="134" spans="2:2" x14ac:dyDescent="0.25">
      <c r="B134" s="28"/>
    </row>
    <row r="135" spans="2:2" x14ac:dyDescent="0.25">
      <c r="B135" s="28"/>
    </row>
    <row r="136" spans="2:2" x14ac:dyDescent="0.25">
      <c r="B136" s="28"/>
    </row>
    <row r="137" spans="2:2" x14ac:dyDescent="0.25">
      <c r="B137" s="28"/>
    </row>
    <row r="138" spans="2:2" x14ac:dyDescent="0.25">
      <c r="B138" s="28"/>
    </row>
    <row r="139" spans="2:2" x14ac:dyDescent="0.25">
      <c r="B139" s="28"/>
    </row>
    <row r="140" spans="2:2" x14ac:dyDescent="0.25">
      <c r="B140" s="28"/>
    </row>
    <row r="141" spans="2:2" x14ac:dyDescent="0.25">
      <c r="B141" s="28"/>
    </row>
    <row r="142" spans="2:2" x14ac:dyDescent="0.25">
      <c r="B142" s="28"/>
    </row>
    <row r="143" spans="2:2" x14ac:dyDescent="0.25">
      <c r="B143" s="28"/>
    </row>
    <row r="144" spans="2:2" x14ac:dyDescent="0.25">
      <c r="B144" s="28"/>
    </row>
    <row r="145" spans="2:2" x14ac:dyDescent="0.25">
      <c r="B145" s="28"/>
    </row>
    <row r="146" spans="2:2" x14ac:dyDescent="0.25">
      <c r="B146" s="28"/>
    </row>
    <row r="147" spans="2:2" x14ac:dyDescent="0.25">
      <c r="B147" s="28"/>
    </row>
    <row r="148" spans="2:2" x14ac:dyDescent="0.25">
      <c r="B148" s="28"/>
    </row>
    <row r="149" spans="2:2" x14ac:dyDescent="0.25">
      <c r="B149" s="28"/>
    </row>
    <row r="150" spans="2:2" x14ac:dyDescent="0.25">
      <c r="B150" s="28"/>
    </row>
    <row r="151" spans="2:2" x14ac:dyDescent="0.25">
      <c r="B151" s="28"/>
    </row>
    <row r="152" spans="2:2" x14ac:dyDescent="0.25">
      <c r="B152" s="28"/>
    </row>
    <row r="153" spans="2:2" x14ac:dyDescent="0.25">
      <c r="B153" s="28"/>
    </row>
    <row r="154" spans="2:2" x14ac:dyDescent="0.25">
      <c r="B154" s="28"/>
    </row>
    <row r="155" spans="2:2" x14ac:dyDescent="0.25">
      <c r="B155" s="28"/>
    </row>
    <row r="156" spans="2:2" x14ac:dyDescent="0.25">
      <c r="B156" s="28"/>
    </row>
    <row r="157" spans="2:2" x14ac:dyDescent="0.25">
      <c r="B157" s="28"/>
    </row>
    <row r="158" spans="2:2" x14ac:dyDescent="0.25">
      <c r="B158" s="28"/>
    </row>
    <row r="159" spans="2:2" x14ac:dyDescent="0.25">
      <c r="B159" s="28"/>
    </row>
    <row r="160" spans="2:2" x14ac:dyDescent="0.25">
      <c r="B160" s="28"/>
    </row>
    <row r="161" spans="2:2" x14ac:dyDescent="0.25">
      <c r="B161" s="28"/>
    </row>
    <row r="162" spans="2:2" x14ac:dyDescent="0.25">
      <c r="B162" s="28"/>
    </row>
    <row r="163" spans="2:2" x14ac:dyDescent="0.25">
      <c r="B163" s="28"/>
    </row>
    <row r="164" spans="2:2" x14ac:dyDescent="0.25">
      <c r="B164" s="28"/>
    </row>
    <row r="165" spans="2:2" x14ac:dyDescent="0.25">
      <c r="B165" s="28"/>
    </row>
    <row r="166" spans="2:2" x14ac:dyDescent="0.25">
      <c r="B166" s="28"/>
    </row>
    <row r="167" spans="2:2" x14ac:dyDescent="0.25">
      <c r="B167" s="28"/>
    </row>
    <row r="168" spans="2:2" x14ac:dyDescent="0.25">
      <c r="B168" s="28"/>
    </row>
    <row r="169" spans="2:2" x14ac:dyDescent="0.25">
      <c r="B169" s="28"/>
    </row>
    <row r="170" spans="2:2" x14ac:dyDescent="0.25">
      <c r="B170" s="28"/>
    </row>
    <row r="171" spans="2:2" x14ac:dyDescent="0.25">
      <c r="B171" s="28"/>
    </row>
    <row r="172" spans="2:2" x14ac:dyDescent="0.25">
      <c r="B172" s="28"/>
    </row>
    <row r="173" spans="2:2" x14ac:dyDescent="0.25">
      <c r="B173" s="28"/>
    </row>
    <row r="174" spans="2:2" x14ac:dyDescent="0.25">
      <c r="B174" s="28"/>
    </row>
    <row r="175" spans="2:2" x14ac:dyDescent="0.25">
      <c r="B175" s="28"/>
    </row>
    <row r="176" spans="2:2" x14ac:dyDescent="0.25">
      <c r="B176" s="28"/>
    </row>
    <row r="177" spans="2:2" x14ac:dyDescent="0.25">
      <c r="B177" s="28"/>
    </row>
    <row r="178" spans="2:2" x14ac:dyDescent="0.25">
      <c r="B178" s="28"/>
    </row>
    <row r="179" spans="2:2" x14ac:dyDescent="0.25">
      <c r="B179" s="28"/>
    </row>
    <row r="180" spans="2:2" x14ac:dyDescent="0.25">
      <c r="B180" s="28"/>
    </row>
    <row r="181" spans="2:2" x14ac:dyDescent="0.25">
      <c r="B181" s="28"/>
    </row>
    <row r="182" spans="2:2" x14ac:dyDescent="0.25">
      <c r="B182" s="28"/>
    </row>
    <row r="183" spans="2:2" x14ac:dyDescent="0.25">
      <c r="B183" s="28"/>
    </row>
    <row r="184" spans="2:2" x14ac:dyDescent="0.25">
      <c r="B184" s="28"/>
    </row>
    <row r="185" spans="2:2" x14ac:dyDescent="0.25">
      <c r="B185" s="28"/>
    </row>
    <row r="186" spans="2:2" x14ac:dyDescent="0.25">
      <c r="B186" s="28"/>
    </row>
    <row r="187" spans="2:2" x14ac:dyDescent="0.25">
      <c r="B187" s="28"/>
    </row>
    <row r="188" spans="2:2" x14ac:dyDescent="0.25">
      <c r="B188" s="28"/>
    </row>
    <row r="189" spans="2:2" x14ac:dyDescent="0.25">
      <c r="B189" s="28"/>
    </row>
    <row r="190" spans="2:2" x14ac:dyDescent="0.25">
      <c r="B190" s="28"/>
    </row>
    <row r="191" spans="2:2" x14ac:dyDescent="0.25">
      <c r="B191" s="28"/>
    </row>
    <row r="192" spans="2:2" x14ac:dyDescent="0.25">
      <c r="B192" s="28"/>
    </row>
    <row r="193" spans="2:2" x14ac:dyDescent="0.25">
      <c r="B193" s="28"/>
    </row>
    <row r="194" spans="2:2" x14ac:dyDescent="0.25">
      <c r="B194" s="28"/>
    </row>
    <row r="195" spans="2:2" x14ac:dyDescent="0.25">
      <c r="B195" s="28"/>
    </row>
    <row r="196" spans="2:2" x14ac:dyDescent="0.25">
      <c r="B196" s="28"/>
    </row>
    <row r="197" spans="2:2" x14ac:dyDescent="0.25">
      <c r="B197" s="28"/>
    </row>
    <row r="198" spans="2:2" x14ac:dyDescent="0.25">
      <c r="B198" s="28"/>
    </row>
    <row r="199" spans="2:2" x14ac:dyDescent="0.25">
      <c r="B199" s="28"/>
    </row>
    <row r="200" spans="2:2" x14ac:dyDescent="0.25">
      <c r="B200" s="28"/>
    </row>
    <row r="201" spans="2:2" x14ac:dyDescent="0.25">
      <c r="B201" s="28"/>
    </row>
    <row r="202" spans="2:2" x14ac:dyDescent="0.25">
      <c r="B202" s="28"/>
    </row>
    <row r="203" spans="2:2" x14ac:dyDescent="0.25">
      <c r="B203" s="28"/>
    </row>
    <row r="204" spans="2:2" x14ac:dyDescent="0.25">
      <c r="B204" s="28"/>
    </row>
    <row r="205" spans="2:2" x14ac:dyDescent="0.25">
      <c r="B205" s="28"/>
    </row>
    <row r="206" spans="2:2" x14ac:dyDescent="0.25">
      <c r="B206" s="28"/>
    </row>
    <row r="207" spans="2:2" x14ac:dyDescent="0.25">
      <c r="B207" s="28"/>
    </row>
    <row r="208" spans="2:2" x14ac:dyDescent="0.25">
      <c r="B208" s="28"/>
    </row>
    <row r="209" spans="2:2" x14ac:dyDescent="0.25">
      <c r="B209" s="28"/>
    </row>
    <row r="210" spans="2:2" x14ac:dyDescent="0.25">
      <c r="B210" s="28"/>
    </row>
    <row r="211" spans="2:2" x14ac:dyDescent="0.25">
      <c r="B211" s="28"/>
    </row>
    <row r="212" spans="2:2" x14ac:dyDescent="0.25">
      <c r="B212" s="28"/>
    </row>
    <row r="213" spans="2:2" x14ac:dyDescent="0.25">
      <c r="B213" s="28"/>
    </row>
    <row r="214" spans="2:2" x14ac:dyDescent="0.25">
      <c r="B214" s="28"/>
    </row>
    <row r="215" spans="2:2" x14ac:dyDescent="0.25">
      <c r="B215" s="28"/>
    </row>
    <row r="216" spans="2:2" x14ac:dyDescent="0.25">
      <c r="B216" s="28"/>
    </row>
    <row r="217" spans="2:2" x14ac:dyDescent="0.25">
      <c r="B217" s="28"/>
    </row>
    <row r="218" spans="2:2" x14ac:dyDescent="0.25">
      <c r="B218" s="28"/>
    </row>
    <row r="219" spans="2:2" x14ac:dyDescent="0.25">
      <c r="B219" s="28"/>
    </row>
    <row r="220" spans="2:2" x14ac:dyDescent="0.25">
      <c r="B220" s="28"/>
    </row>
    <row r="221" spans="2:2" x14ac:dyDescent="0.25">
      <c r="B221" s="28"/>
    </row>
    <row r="222" spans="2:2" x14ac:dyDescent="0.25">
      <c r="B222" s="28"/>
    </row>
    <row r="223" spans="2:2" x14ac:dyDescent="0.25">
      <c r="B223" s="28"/>
    </row>
    <row r="224" spans="2:2" x14ac:dyDescent="0.25">
      <c r="B224" s="28"/>
    </row>
    <row r="225" spans="2:2" x14ac:dyDescent="0.25">
      <c r="B225" s="28"/>
    </row>
    <row r="226" spans="2:2" x14ac:dyDescent="0.25">
      <c r="B226" s="28"/>
    </row>
    <row r="227" spans="2:2" x14ac:dyDescent="0.25">
      <c r="B227" s="28"/>
    </row>
    <row r="228" spans="2:2" x14ac:dyDescent="0.25">
      <c r="B228" s="28"/>
    </row>
    <row r="229" spans="2:2" x14ac:dyDescent="0.25">
      <c r="B229" s="28"/>
    </row>
    <row r="230" spans="2:2" x14ac:dyDescent="0.25">
      <c r="B230" s="28"/>
    </row>
    <row r="231" spans="2:2" x14ac:dyDescent="0.25">
      <c r="B231" s="28"/>
    </row>
    <row r="232" spans="2:2" x14ac:dyDescent="0.25">
      <c r="B232" s="28"/>
    </row>
    <row r="233" spans="2:2" x14ac:dyDescent="0.25">
      <c r="B233" s="28"/>
    </row>
    <row r="234" spans="2:2" x14ac:dyDescent="0.25">
      <c r="B234" s="28"/>
    </row>
    <row r="235" spans="2:2" x14ac:dyDescent="0.25">
      <c r="B235" s="28"/>
    </row>
    <row r="236" spans="2:2" x14ac:dyDescent="0.25">
      <c r="B236" s="28"/>
    </row>
    <row r="237" spans="2:2" x14ac:dyDescent="0.25">
      <c r="B237" s="28"/>
    </row>
    <row r="238" spans="2:2" x14ac:dyDescent="0.25">
      <c r="B238" s="28"/>
    </row>
    <row r="239" spans="2:2" x14ac:dyDescent="0.25">
      <c r="B239" s="28"/>
    </row>
    <row r="240" spans="2:2" x14ac:dyDescent="0.25">
      <c r="B240" s="28"/>
    </row>
    <row r="241" spans="2:2" x14ac:dyDescent="0.25">
      <c r="B241" s="28"/>
    </row>
    <row r="242" spans="2:2" x14ac:dyDescent="0.25">
      <c r="B242" s="28"/>
    </row>
    <row r="243" spans="2:2" x14ac:dyDescent="0.25">
      <c r="B243" s="28"/>
    </row>
    <row r="244" spans="2:2" x14ac:dyDescent="0.25">
      <c r="B244" s="28"/>
    </row>
    <row r="245" spans="2:2" x14ac:dyDescent="0.25">
      <c r="B245" s="28"/>
    </row>
    <row r="246" spans="2:2" x14ac:dyDescent="0.25">
      <c r="B246" s="28"/>
    </row>
    <row r="247" spans="2:2" x14ac:dyDescent="0.25">
      <c r="B247" s="28"/>
    </row>
    <row r="248" spans="2:2" x14ac:dyDescent="0.25">
      <c r="B248" s="28"/>
    </row>
    <row r="249" spans="2:2" x14ac:dyDescent="0.25">
      <c r="B249" s="28"/>
    </row>
    <row r="250" spans="2:2" x14ac:dyDescent="0.25">
      <c r="B250" s="28"/>
    </row>
    <row r="251" spans="2:2" x14ac:dyDescent="0.25">
      <c r="B251" s="28"/>
    </row>
    <row r="252" spans="2:2" x14ac:dyDescent="0.25">
      <c r="B252" s="28"/>
    </row>
    <row r="253" spans="2:2" x14ac:dyDescent="0.25">
      <c r="B253" s="28"/>
    </row>
    <row r="254" spans="2:2" x14ac:dyDescent="0.25">
      <c r="B254" s="28"/>
    </row>
    <row r="255" spans="2:2" x14ac:dyDescent="0.25">
      <c r="B255" s="28"/>
    </row>
    <row r="256" spans="2:2" x14ac:dyDescent="0.25">
      <c r="B256" s="28"/>
    </row>
    <row r="257" spans="2:2" x14ac:dyDescent="0.25">
      <c r="B257" s="28"/>
    </row>
    <row r="258" spans="2:2" x14ac:dyDescent="0.25">
      <c r="B258" s="28"/>
    </row>
    <row r="259" spans="2:2" x14ac:dyDescent="0.25">
      <c r="B259" s="28"/>
    </row>
    <row r="260" spans="2:2" x14ac:dyDescent="0.25">
      <c r="B260" s="28"/>
    </row>
    <row r="261" spans="2:2" x14ac:dyDescent="0.25">
      <c r="B261" s="28"/>
    </row>
    <row r="262" spans="2:2" x14ac:dyDescent="0.25">
      <c r="B262" s="28"/>
    </row>
    <row r="263" spans="2:2" x14ac:dyDescent="0.25">
      <c r="B263" s="28"/>
    </row>
    <row r="264" spans="2:2" x14ac:dyDescent="0.25">
      <c r="B264" s="28"/>
    </row>
    <row r="265" spans="2:2" x14ac:dyDescent="0.25">
      <c r="B265" s="28"/>
    </row>
    <row r="266" spans="2:2" x14ac:dyDescent="0.25">
      <c r="B266" s="28"/>
    </row>
    <row r="267" spans="2:2" x14ac:dyDescent="0.25">
      <c r="B267" s="28"/>
    </row>
    <row r="268" spans="2:2" x14ac:dyDescent="0.25">
      <c r="B268" s="28"/>
    </row>
    <row r="269" spans="2:2" x14ac:dyDescent="0.25">
      <c r="B269" s="28"/>
    </row>
    <row r="270" spans="2:2" x14ac:dyDescent="0.25">
      <c r="B270" s="28"/>
    </row>
    <row r="271" spans="2:2" x14ac:dyDescent="0.25">
      <c r="B271" s="28"/>
    </row>
    <row r="272" spans="2:2" x14ac:dyDescent="0.25">
      <c r="B272" s="28"/>
    </row>
    <row r="273" spans="2:2" x14ac:dyDescent="0.25">
      <c r="B273" s="28"/>
    </row>
    <row r="274" spans="2:2" x14ac:dyDescent="0.25">
      <c r="B274" s="28"/>
    </row>
    <row r="275" spans="2:2" x14ac:dyDescent="0.25">
      <c r="B275" s="28"/>
    </row>
    <row r="276" spans="2:2" x14ac:dyDescent="0.25">
      <c r="B276" s="28"/>
    </row>
    <row r="277" spans="2:2" x14ac:dyDescent="0.25">
      <c r="B277" s="28"/>
    </row>
    <row r="278" spans="2:2" x14ac:dyDescent="0.25">
      <c r="B278" s="28"/>
    </row>
    <row r="279" spans="2:2" x14ac:dyDescent="0.25">
      <c r="B279" s="28"/>
    </row>
    <row r="280" spans="2:2" x14ac:dyDescent="0.25">
      <c r="B280" s="28"/>
    </row>
    <row r="281" spans="2:2" x14ac:dyDescent="0.25">
      <c r="B281" s="28"/>
    </row>
    <row r="282" spans="2:2" x14ac:dyDescent="0.25">
      <c r="B282" s="28"/>
    </row>
    <row r="283" spans="2:2" x14ac:dyDescent="0.25">
      <c r="B283" s="28"/>
    </row>
    <row r="284" spans="2:2" x14ac:dyDescent="0.25">
      <c r="B284" s="28"/>
    </row>
    <row r="285" spans="2:2" x14ac:dyDescent="0.25">
      <c r="B285" s="28"/>
    </row>
    <row r="286" spans="2:2" x14ac:dyDescent="0.25">
      <c r="B286" s="28"/>
    </row>
    <row r="287" spans="2:2" x14ac:dyDescent="0.25">
      <c r="B287" s="28"/>
    </row>
    <row r="288" spans="2:2" x14ac:dyDescent="0.25">
      <c r="B288" s="28"/>
    </row>
    <row r="289" spans="2:2" x14ac:dyDescent="0.25">
      <c r="B289" s="28"/>
    </row>
    <row r="290" spans="2:2" x14ac:dyDescent="0.25">
      <c r="B290" s="28"/>
    </row>
    <row r="291" spans="2:2" x14ac:dyDescent="0.25">
      <c r="B291" s="28"/>
    </row>
    <row r="292" spans="2:2" x14ac:dyDescent="0.25">
      <c r="B292" s="28"/>
    </row>
    <row r="293" spans="2:2" x14ac:dyDescent="0.25">
      <c r="B293" s="28"/>
    </row>
    <row r="294" spans="2:2" x14ac:dyDescent="0.25">
      <c r="B294" s="28"/>
    </row>
    <row r="295" spans="2:2" x14ac:dyDescent="0.25">
      <c r="B295" s="28"/>
    </row>
    <row r="296" spans="2:2" x14ac:dyDescent="0.25">
      <c r="B296" s="28"/>
    </row>
    <row r="297" spans="2:2" x14ac:dyDescent="0.25">
      <c r="B297" s="28"/>
    </row>
    <row r="298" spans="2:2" x14ac:dyDescent="0.25">
      <c r="B298" s="28"/>
    </row>
    <row r="299" spans="2:2" x14ac:dyDescent="0.25">
      <c r="B299" s="28"/>
    </row>
    <row r="300" spans="2:2" x14ac:dyDescent="0.25">
      <c r="B300" s="28"/>
    </row>
    <row r="301" spans="2:2" x14ac:dyDescent="0.25">
      <c r="B301" s="28"/>
    </row>
    <row r="302" spans="2:2" x14ac:dyDescent="0.25">
      <c r="B302" s="28"/>
    </row>
    <row r="303" spans="2:2" x14ac:dyDescent="0.25">
      <c r="B303" s="28"/>
    </row>
    <row r="304" spans="2:2" x14ac:dyDescent="0.25">
      <c r="B304" s="28"/>
    </row>
    <row r="305" spans="2:2" x14ac:dyDescent="0.25">
      <c r="B305" s="28"/>
    </row>
    <row r="306" spans="2:2" x14ac:dyDescent="0.25">
      <c r="B306" s="28"/>
    </row>
    <row r="307" spans="2:2" x14ac:dyDescent="0.25">
      <c r="B307" s="28"/>
    </row>
    <row r="308" spans="2:2" x14ac:dyDescent="0.25">
      <c r="B308" s="28"/>
    </row>
    <row r="309" spans="2:2" x14ac:dyDescent="0.25">
      <c r="B309" s="28"/>
    </row>
    <row r="310" spans="2:2" x14ac:dyDescent="0.25">
      <c r="B310" s="28"/>
    </row>
    <row r="311" spans="2:2" x14ac:dyDescent="0.25">
      <c r="B311" s="28"/>
    </row>
    <row r="312" spans="2:2" x14ac:dyDescent="0.25">
      <c r="B312" s="28"/>
    </row>
    <row r="313" spans="2:2" x14ac:dyDescent="0.25">
      <c r="B313" s="28"/>
    </row>
    <row r="314" spans="2:2" x14ac:dyDescent="0.25">
      <c r="B314" s="28"/>
    </row>
    <row r="315" spans="2:2" x14ac:dyDescent="0.25">
      <c r="B315" s="28"/>
    </row>
    <row r="316" spans="2:2" x14ac:dyDescent="0.25">
      <c r="B316" s="28"/>
    </row>
    <row r="317" spans="2:2" x14ac:dyDescent="0.25">
      <c r="B317" s="28"/>
    </row>
    <row r="318" spans="2:2" x14ac:dyDescent="0.25">
      <c r="B318" s="28"/>
    </row>
    <row r="319" spans="2:2" x14ac:dyDescent="0.25">
      <c r="B319" s="28"/>
    </row>
    <row r="320" spans="2:2" x14ac:dyDescent="0.25">
      <c r="B320" s="28"/>
    </row>
    <row r="321" spans="2:2" x14ac:dyDescent="0.25">
      <c r="B321" s="28"/>
    </row>
    <row r="322" spans="2:2" x14ac:dyDescent="0.25">
      <c r="B322" s="28"/>
    </row>
    <row r="323" spans="2:2" x14ac:dyDescent="0.25">
      <c r="B323" s="28"/>
    </row>
    <row r="324" spans="2:2" x14ac:dyDescent="0.25">
      <c r="B324" s="28"/>
    </row>
    <row r="325" spans="2:2" x14ac:dyDescent="0.25">
      <c r="B325" s="28"/>
    </row>
    <row r="326" spans="2:2" x14ac:dyDescent="0.25">
      <c r="B326" s="28"/>
    </row>
    <row r="327" spans="2:2" x14ac:dyDescent="0.25">
      <c r="B327" s="28"/>
    </row>
    <row r="328" spans="2:2" x14ac:dyDescent="0.25">
      <c r="B328" s="28"/>
    </row>
    <row r="329" spans="2:2" x14ac:dyDescent="0.25">
      <c r="B329" s="28"/>
    </row>
    <row r="330" spans="2:2" x14ac:dyDescent="0.25">
      <c r="B330" s="28"/>
    </row>
    <row r="331" spans="2:2" x14ac:dyDescent="0.25">
      <c r="B331" s="28"/>
    </row>
    <row r="332" spans="2:2" x14ac:dyDescent="0.25">
      <c r="B332" s="28"/>
    </row>
    <row r="333" spans="2:2" x14ac:dyDescent="0.25">
      <c r="B333" s="28"/>
    </row>
    <row r="334" spans="2:2" x14ac:dyDescent="0.25">
      <c r="B334" s="28"/>
    </row>
    <row r="335" spans="2:2" x14ac:dyDescent="0.25">
      <c r="B335" s="28"/>
    </row>
    <row r="336" spans="2:2" x14ac:dyDescent="0.25">
      <c r="B336" s="28"/>
    </row>
    <row r="337" spans="2:2" x14ac:dyDescent="0.25">
      <c r="B337" s="28"/>
    </row>
    <row r="338" spans="2:2" x14ac:dyDescent="0.25">
      <c r="B338" s="28"/>
    </row>
    <row r="339" spans="2:2" x14ac:dyDescent="0.25">
      <c r="B339" s="28"/>
    </row>
    <row r="340" spans="2:2" x14ac:dyDescent="0.25">
      <c r="B340" s="28"/>
    </row>
    <row r="341" spans="2:2" x14ac:dyDescent="0.25">
      <c r="B341" s="28"/>
    </row>
    <row r="342" spans="2:2" x14ac:dyDescent="0.25">
      <c r="B342" s="28"/>
    </row>
    <row r="343" spans="2:2" x14ac:dyDescent="0.25">
      <c r="B343" s="28"/>
    </row>
    <row r="344" spans="2:2" x14ac:dyDescent="0.25">
      <c r="B344" s="28"/>
    </row>
    <row r="345" spans="2:2" x14ac:dyDescent="0.25">
      <c r="B345" s="28"/>
    </row>
    <row r="346" spans="2:2" x14ac:dyDescent="0.25">
      <c r="B346" s="28"/>
    </row>
    <row r="347" spans="2:2" x14ac:dyDescent="0.25">
      <c r="B347" s="28"/>
    </row>
    <row r="348" spans="2:2" x14ac:dyDescent="0.25">
      <c r="B348" s="28"/>
    </row>
    <row r="349" spans="2:2" x14ac:dyDescent="0.25">
      <c r="B349" s="28"/>
    </row>
    <row r="350" spans="2:2" x14ac:dyDescent="0.25">
      <c r="B350" s="28"/>
    </row>
    <row r="351" spans="2:2" x14ac:dyDescent="0.25">
      <c r="B351" s="28"/>
    </row>
    <row r="352" spans="2:2" x14ac:dyDescent="0.25">
      <c r="B352" s="28"/>
    </row>
    <row r="353" spans="2:2" x14ac:dyDescent="0.25">
      <c r="B353" s="28"/>
    </row>
    <row r="354" spans="2:2" x14ac:dyDescent="0.25">
      <c r="B354" s="28"/>
    </row>
    <row r="355" spans="2:2" x14ac:dyDescent="0.25">
      <c r="B355" s="28"/>
    </row>
    <row r="356" spans="2:2" x14ac:dyDescent="0.25">
      <c r="B356" s="28"/>
    </row>
    <row r="357" spans="2:2" x14ac:dyDescent="0.25">
      <c r="B357" s="28"/>
    </row>
    <row r="358" spans="2:2" x14ac:dyDescent="0.25">
      <c r="B358" s="28"/>
    </row>
    <row r="359" spans="2:2" x14ac:dyDescent="0.25">
      <c r="B359" s="28"/>
    </row>
    <row r="360" spans="2:2" x14ac:dyDescent="0.25">
      <c r="B360" s="28"/>
    </row>
    <row r="361" spans="2:2" x14ac:dyDescent="0.25">
      <c r="B361" s="28"/>
    </row>
    <row r="362" spans="2:2" x14ac:dyDescent="0.25">
      <c r="B362" s="28"/>
    </row>
    <row r="363" spans="2:2" x14ac:dyDescent="0.25">
      <c r="B363" s="28"/>
    </row>
    <row r="364" spans="2:2" x14ac:dyDescent="0.25">
      <c r="B364" s="28"/>
    </row>
    <row r="365" spans="2:2" x14ac:dyDescent="0.25">
      <c r="B365" s="28"/>
    </row>
    <row r="366" spans="2:2" x14ac:dyDescent="0.25">
      <c r="B366" s="28"/>
    </row>
    <row r="367" spans="2:2" x14ac:dyDescent="0.25">
      <c r="B367" s="28"/>
    </row>
    <row r="368" spans="2:2" x14ac:dyDescent="0.25">
      <c r="B368" s="28"/>
    </row>
    <row r="369" spans="2:2" x14ac:dyDescent="0.25">
      <c r="B369" s="28"/>
    </row>
    <row r="370" spans="2:2" x14ac:dyDescent="0.25">
      <c r="B370" s="28"/>
    </row>
    <row r="371" spans="2:2" x14ac:dyDescent="0.25">
      <c r="B371" s="28"/>
    </row>
    <row r="372" spans="2:2" x14ac:dyDescent="0.25">
      <c r="B372" s="28"/>
    </row>
    <row r="373" spans="2:2" x14ac:dyDescent="0.25">
      <c r="B373" s="28"/>
    </row>
    <row r="374" spans="2:2" x14ac:dyDescent="0.25">
      <c r="B374" s="28"/>
    </row>
    <row r="375" spans="2:2" x14ac:dyDescent="0.25">
      <c r="B375" s="28"/>
    </row>
    <row r="376" spans="2:2" x14ac:dyDescent="0.25">
      <c r="B376" s="28"/>
    </row>
    <row r="377" spans="2:2" x14ac:dyDescent="0.25">
      <c r="B377" s="28"/>
    </row>
    <row r="378" spans="2:2" x14ac:dyDescent="0.25">
      <c r="B378" s="28"/>
    </row>
    <row r="379" spans="2:2" x14ac:dyDescent="0.25">
      <c r="B379" s="28"/>
    </row>
    <row r="380" spans="2:2" x14ac:dyDescent="0.25">
      <c r="B380" s="28"/>
    </row>
    <row r="381" spans="2:2" x14ac:dyDescent="0.25">
      <c r="B381" s="28"/>
    </row>
    <row r="382" spans="2:2" x14ac:dyDescent="0.25">
      <c r="B382" s="28"/>
    </row>
    <row r="383" spans="2:2" x14ac:dyDescent="0.25">
      <c r="B383" s="28"/>
    </row>
    <row r="384" spans="2:2" x14ac:dyDescent="0.25">
      <c r="B384" s="28"/>
    </row>
    <row r="385" spans="2:2" x14ac:dyDescent="0.25">
      <c r="B385" s="28"/>
    </row>
    <row r="386" spans="2:2" x14ac:dyDescent="0.25">
      <c r="B386" s="28"/>
    </row>
    <row r="387" spans="2:2" x14ac:dyDescent="0.25">
      <c r="B387" s="28"/>
    </row>
    <row r="388" spans="2:2" x14ac:dyDescent="0.25">
      <c r="B388" s="28"/>
    </row>
    <row r="389" spans="2:2" x14ac:dyDescent="0.25">
      <c r="B389" s="28"/>
    </row>
    <row r="390" spans="2:2" x14ac:dyDescent="0.25">
      <c r="B390" s="28"/>
    </row>
    <row r="391" spans="2:2" x14ac:dyDescent="0.25">
      <c r="B391" s="28"/>
    </row>
    <row r="392" spans="2:2" x14ac:dyDescent="0.25">
      <c r="B392" s="28"/>
    </row>
    <row r="393" spans="2:2" x14ac:dyDescent="0.25">
      <c r="B393" s="28"/>
    </row>
    <row r="394" spans="2:2" x14ac:dyDescent="0.25">
      <c r="B394" s="28"/>
    </row>
    <row r="395" spans="2:2" x14ac:dyDescent="0.25">
      <c r="B395" s="28"/>
    </row>
    <row r="396" spans="2:2" x14ac:dyDescent="0.25">
      <c r="B396" s="28"/>
    </row>
    <row r="397" spans="2:2" x14ac:dyDescent="0.25">
      <c r="B397" s="28"/>
    </row>
    <row r="398" spans="2:2" x14ac:dyDescent="0.25">
      <c r="B398" s="28"/>
    </row>
    <row r="399" spans="2:2" x14ac:dyDescent="0.25">
      <c r="B399" s="28"/>
    </row>
    <row r="400" spans="2:2" x14ac:dyDescent="0.25">
      <c r="B400" s="28"/>
    </row>
    <row r="401" spans="2:2" x14ac:dyDescent="0.25">
      <c r="B401" s="28"/>
    </row>
    <row r="402" spans="2:2" x14ac:dyDescent="0.25">
      <c r="B402" s="28"/>
    </row>
    <row r="403" spans="2:2" x14ac:dyDescent="0.25">
      <c r="B403" s="28"/>
    </row>
    <row r="404" spans="2:2" x14ac:dyDescent="0.25">
      <c r="B404" s="28"/>
    </row>
    <row r="405" spans="2:2" x14ac:dyDescent="0.25">
      <c r="B405" s="28"/>
    </row>
    <row r="406" spans="2:2" x14ac:dyDescent="0.25">
      <c r="B406" s="28"/>
    </row>
    <row r="407" spans="2:2" x14ac:dyDescent="0.25">
      <c r="B407" s="28"/>
    </row>
    <row r="408" spans="2:2" x14ac:dyDescent="0.25">
      <c r="B408" s="28"/>
    </row>
    <row r="409" spans="2:2" x14ac:dyDescent="0.25">
      <c r="B409" s="28"/>
    </row>
    <row r="410" spans="2:2" x14ac:dyDescent="0.25">
      <c r="B410" s="28"/>
    </row>
    <row r="411" spans="2:2" x14ac:dyDescent="0.25">
      <c r="B411" s="28"/>
    </row>
    <row r="412" spans="2:2" x14ac:dyDescent="0.25">
      <c r="B412" s="28"/>
    </row>
    <row r="413" spans="2:2" x14ac:dyDescent="0.25">
      <c r="B413" s="28"/>
    </row>
    <row r="414" spans="2:2" x14ac:dyDescent="0.25">
      <c r="B414" s="28"/>
    </row>
    <row r="415" spans="2:2" x14ac:dyDescent="0.25">
      <c r="B415" s="28"/>
    </row>
    <row r="416" spans="2:2" x14ac:dyDescent="0.25">
      <c r="B416" s="28"/>
    </row>
    <row r="417" spans="2:2" x14ac:dyDescent="0.25">
      <c r="B417" s="28"/>
    </row>
    <row r="418" spans="2:2" x14ac:dyDescent="0.25">
      <c r="B418" s="28"/>
    </row>
    <row r="419" spans="2:2" x14ac:dyDescent="0.25">
      <c r="B419" s="28"/>
    </row>
    <row r="420" spans="2:2" x14ac:dyDescent="0.25">
      <c r="B420" s="28"/>
    </row>
    <row r="421" spans="2:2" x14ac:dyDescent="0.25">
      <c r="B421" s="28"/>
    </row>
    <row r="422" spans="2:2" x14ac:dyDescent="0.25">
      <c r="B422" s="28"/>
    </row>
    <row r="423" spans="2:2" x14ac:dyDescent="0.25">
      <c r="B423" s="28"/>
    </row>
    <row r="424" spans="2:2" x14ac:dyDescent="0.25">
      <c r="B424" s="28"/>
    </row>
    <row r="425" spans="2:2" x14ac:dyDescent="0.25">
      <c r="B425" s="28"/>
    </row>
    <row r="426" spans="2:2" x14ac:dyDescent="0.25">
      <c r="B426" s="28"/>
    </row>
    <row r="427" spans="2:2" x14ac:dyDescent="0.25">
      <c r="B427" s="28"/>
    </row>
    <row r="428" spans="2:2" x14ac:dyDescent="0.25">
      <c r="B428" s="28"/>
    </row>
    <row r="429" spans="2:2" x14ac:dyDescent="0.25">
      <c r="B429" s="28"/>
    </row>
    <row r="430" spans="2:2" x14ac:dyDescent="0.25">
      <c r="B430" s="28"/>
    </row>
    <row r="431" spans="2:2" x14ac:dyDescent="0.25">
      <c r="B431" s="28"/>
    </row>
    <row r="432" spans="2:2" x14ac:dyDescent="0.25">
      <c r="B432" s="28"/>
    </row>
    <row r="433" spans="2:2" x14ac:dyDescent="0.25">
      <c r="B433" s="28"/>
    </row>
    <row r="434" spans="2:2" x14ac:dyDescent="0.25">
      <c r="B434" s="28"/>
    </row>
    <row r="435" spans="2:2" x14ac:dyDescent="0.25">
      <c r="B435" s="28"/>
    </row>
    <row r="436" spans="2:2" x14ac:dyDescent="0.25">
      <c r="B436" s="28"/>
    </row>
    <row r="437" spans="2:2" x14ac:dyDescent="0.25">
      <c r="B437" s="28"/>
    </row>
    <row r="438" spans="2:2" x14ac:dyDescent="0.25">
      <c r="B438" s="28"/>
    </row>
    <row r="439" spans="2:2" x14ac:dyDescent="0.25">
      <c r="B439" s="28"/>
    </row>
    <row r="440" spans="2:2" x14ac:dyDescent="0.25">
      <c r="B440" s="28"/>
    </row>
    <row r="441" spans="2:2" x14ac:dyDescent="0.25">
      <c r="B441" s="28"/>
    </row>
    <row r="442" spans="2:2" x14ac:dyDescent="0.25">
      <c r="B442" s="28"/>
    </row>
    <row r="443" spans="2:2" x14ac:dyDescent="0.25">
      <c r="B443" s="28"/>
    </row>
    <row r="444" spans="2:2" x14ac:dyDescent="0.25">
      <c r="B444" s="28"/>
    </row>
    <row r="445" spans="2:2" x14ac:dyDescent="0.25">
      <c r="B445" s="28"/>
    </row>
    <row r="446" spans="2:2" x14ac:dyDescent="0.25">
      <c r="B446" s="28"/>
    </row>
    <row r="447" spans="2:2" x14ac:dyDescent="0.25">
      <c r="B447" s="28"/>
    </row>
    <row r="448" spans="2:2" x14ac:dyDescent="0.25">
      <c r="B448" s="28"/>
    </row>
    <row r="449" spans="2:2" x14ac:dyDescent="0.25">
      <c r="B449" s="28"/>
    </row>
    <row r="450" spans="2:2" x14ac:dyDescent="0.25">
      <c r="B450" s="28"/>
    </row>
    <row r="451" spans="2:2" x14ac:dyDescent="0.25">
      <c r="B451" s="28"/>
    </row>
    <row r="452" spans="2:2" x14ac:dyDescent="0.25">
      <c r="B452" s="28"/>
    </row>
    <row r="453" spans="2:2" x14ac:dyDescent="0.25">
      <c r="B453" s="28"/>
    </row>
    <row r="454" spans="2:2" x14ac:dyDescent="0.25">
      <c r="B454" s="28"/>
    </row>
    <row r="455" spans="2:2" x14ac:dyDescent="0.25">
      <c r="B455" s="28"/>
    </row>
    <row r="456" spans="2:2" x14ac:dyDescent="0.25">
      <c r="B456" s="28"/>
    </row>
    <row r="457" spans="2:2" x14ac:dyDescent="0.25">
      <c r="B457" s="28"/>
    </row>
    <row r="458" spans="2:2" x14ac:dyDescent="0.25">
      <c r="B458" s="28"/>
    </row>
    <row r="459" spans="2:2" x14ac:dyDescent="0.25">
      <c r="B459" s="28"/>
    </row>
    <row r="460" spans="2:2" x14ac:dyDescent="0.25">
      <c r="B460" s="28"/>
    </row>
    <row r="461" spans="2:2" x14ac:dyDescent="0.25">
      <c r="B461" s="28"/>
    </row>
    <row r="462" spans="2:2" x14ac:dyDescent="0.25">
      <c r="B462" s="28"/>
    </row>
    <row r="463" spans="2:2" x14ac:dyDescent="0.25">
      <c r="B463" s="28"/>
    </row>
    <row r="464" spans="2:2" x14ac:dyDescent="0.25">
      <c r="B464" s="28"/>
    </row>
    <row r="465" spans="2:2" x14ac:dyDescent="0.25">
      <c r="B465" s="28"/>
    </row>
    <row r="466" spans="2:2" x14ac:dyDescent="0.25">
      <c r="B466" s="28"/>
    </row>
    <row r="467" spans="2:2" x14ac:dyDescent="0.25">
      <c r="B467" s="28"/>
    </row>
    <row r="468" spans="2:2" x14ac:dyDescent="0.25">
      <c r="B468" s="28"/>
    </row>
    <row r="469" spans="2:2" x14ac:dyDescent="0.25">
      <c r="B469" s="28"/>
    </row>
    <row r="470" spans="2:2" x14ac:dyDescent="0.25">
      <c r="B470" s="28"/>
    </row>
    <row r="471" spans="2:2" x14ac:dyDescent="0.25">
      <c r="B471" s="28"/>
    </row>
    <row r="472" spans="2:2" x14ac:dyDescent="0.25">
      <c r="B472" s="28"/>
    </row>
    <row r="473" spans="2:2" x14ac:dyDescent="0.25">
      <c r="B473" s="28"/>
    </row>
    <row r="474" spans="2:2" x14ac:dyDescent="0.25">
      <c r="B474" s="28"/>
    </row>
    <row r="475" spans="2:2" x14ac:dyDescent="0.25">
      <c r="B475" s="28"/>
    </row>
    <row r="476" spans="2:2" x14ac:dyDescent="0.25">
      <c r="B476" s="28"/>
    </row>
    <row r="477" spans="2:2" x14ac:dyDescent="0.25">
      <c r="B477" s="28"/>
    </row>
    <row r="478" spans="2:2" x14ac:dyDescent="0.25">
      <c r="B478" s="28"/>
    </row>
    <row r="479" spans="2:2" x14ac:dyDescent="0.25">
      <c r="B479" s="28"/>
    </row>
    <row r="480" spans="2:2" x14ac:dyDescent="0.25">
      <c r="B480" s="28"/>
    </row>
    <row r="481" spans="2:2" x14ac:dyDescent="0.25">
      <c r="B481" s="28"/>
    </row>
    <row r="482" spans="2:2" x14ac:dyDescent="0.25">
      <c r="B482" s="28"/>
    </row>
    <row r="483" spans="2:2" x14ac:dyDescent="0.25">
      <c r="B483" s="28"/>
    </row>
    <row r="484" spans="2:2" x14ac:dyDescent="0.25">
      <c r="B484" s="28"/>
    </row>
    <row r="485" spans="2:2" x14ac:dyDescent="0.25">
      <c r="B485" s="28"/>
    </row>
    <row r="486" spans="2:2" x14ac:dyDescent="0.25">
      <c r="B486" s="28"/>
    </row>
    <row r="487" spans="2:2" x14ac:dyDescent="0.25">
      <c r="B487" s="28"/>
    </row>
    <row r="488" spans="2:2" x14ac:dyDescent="0.25">
      <c r="B488" s="28"/>
    </row>
    <row r="489" spans="2:2" x14ac:dyDescent="0.25">
      <c r="B489" s="28"/>
    </row>
    <row r="490" spans="2:2" x14ac:dyDescent="0.25">
      <c r="B490" s="28"/>
    </row>
    <row r="491" spans="2:2" x14ac:dyDescent="0.25">
      <c r="B491" s="28"/>
    </row>
    <row r="492" spans="2:2" x14ac:dyDescent="0.25">
      <c r="B492" s="28"/>
    </row>
    <row r="493" spans="2:2" x14ac:dyDescent="0.25">
      <c r="B493" s="28"/>
    </row>
    <row r="494" spans="2:2" x14ac:dyDescent="0.25">
      <c r="B494" s="28"/>
    </row>
    <row r="495" spans="2:2" x14ac:dyDescent="0.25">
      <c r="B495" s="28"/>
    </row>
    <row r="496" spans="2:2" x14ac:dyDescent="0.25">
      <c r="B496" s="28"/>
    </row>
    <row r="497" spans="2:2" x14ac:dyDescent="0.25">
      <c r="B497" s="28"/>
    </row>
    <row r="498" spans="2:2" x14ac:dyDescent="0.25">
      <c r="B498" s="28"/>
    </row>
    <row r="499" spans="2:2" x14ac:dyDescent="0.25">
      <c r="B499" s="28"/>
    </row>
    <row r="500" spans="2:2" x14ac:dyDescent="0.25">
      <c r="B500" s="28"/>
    </row>
    <row r="501" spans="2:2" x14ac:dyDescent="0.25">
      <c r="B501" s="28"/>
    </row>
    <row r="502" spans="2:2" x14ac:dyDescent="0.25">
      <c r="B502" s="28"/>
    </row>
    <row r="503" spans="2:2" x14ac:dyDescent="0.25">
      <c r="B503" s="28"/>
    </row>
    <row r="504" spans="2:2" x14ac:dyDescent="0.25">
      <c r="B504" s="28"/>
    </row>
    <row r="505" spans="2:2" x14ac:dyDescent="0.25">
      <c r="B505" s="28"/>
    </row>
    <row r="506" spans="2:2" x14ac:dyDescent="0.25">
      <c r="B506" s="28"/>
    </row>
    <row r="507" spans="2:2" x14ac:dyDescent="0.25">
      <c r="B507" s="28"/>
    </row>
    <row r="508" spans="2:2" x14ac:dyDescent="0.25">
      <c r="B508" s="28"/>
    </row>
    <row r="509" spans="2:2" x14ac:dyDescent="0.25">
      <c r="B509" s="28"/>
    </row>
    <row r="510" spans="2:2" x14ac:dyDescent="0.25">
      <c r="B510" s="28"/>
    </row>
    <row r="511" spans="2:2" x14ac:dyDescent="0.25">
      <c r="B511" s="28"/>
    </row>
    <row r="512" spans="2:2" x14ac:dyDescent="0.25">
      <c r="B512" s="28"/>
    </row>
    <row r="513" spans="2:2" x14ac:dyDescent="0.25">
      <c r="B513" s="28"/>
    </row>
    <row r="514" spans="2:2" x14ac:dyDescent="0.25">
      <c r="B514" s="28"/>
    </row>
    <row r="515" spans="2:2" x14ac:dyDescent="0.25">
      <c r="B515" s="28"/>
    </row>
    <row r="516" spans="2:2" x14ac:dyDescent="0.25">
      <c r="B516" s="28"/>
    </row>
    <row r="517" spans="2:2" x14ac:dyDescent="0.25">
      <c r="B517" s="28"/>
    </row>
    <row r="518" spans="2:2" x14ac:dyDescent="0.25">
      <c r="B518" s="28"/>
    </row>
    <row r="519" spans="2:2" x14ac:dyDescent="0.25">
      <c r="B519" s="28"/>
    </row>
    <row r="520" spans="2:2" x14ac:dyDescent="0.25">
      <c r="B520" s="28"/>
    </row>
    <row r="521" spans="2:2" x14ac:dyDescent="0.25">
      <c r="B521" s="28"/>
    </row>
    <row r="522" spans="2:2" x14ac:dyDescent="0.25">
      <c r="B522" s="28"/>
    </row>
    <row r="523" spans="2:2" x14ac:dyDescent="0.25">
      <c r="B523" s="28"/>
    </row>
    <row r="524" spans="2:2" x14ac:dyDescent="0.25">
      <c r="B524" s="28"/>
    </row>
    <row r="525" spans="2:2" x14ac:dyDescent="0.25">
      <c r="B525" s="28"/>
    </row>
    <row r="526" spans="2:2" x14ac:dyDescent="0.25">
      <c r="B526" s="28"/>
    </row>
    <row r="527" spans="2:2" x14ac:dyDescent="0.25">
      <c r="B527" s="28"/>
    </row>
    <row r="528" spans="2:2" x14ac:dyDescent="0.25">
      <c r="B528" s="28"/>
    </row>
    <row r="529" spans="2:2" x14ac:dyDescent="0.25">
      <c r="B529" s="28"/>
    </row>
    <row r="530" spans="2:2" x14ac:dyDescent="0.25">
      <c r="B530" s="28"/>
    </row>
    <row r="531" spans="2:2" x14ac:dyDescent="0.25">
      <c r="B531" s="28"/>
    </row>
    <row r="532" spans="2:2" x14ac:dyDescent="0.25">
      <c r="B532" s="28"/>
    </row>
    <row r="533" spans="2:2" x14ac:dyDescent="0.25">
      <c r="B533" s="28"/>
    </row>
    <row r="534" spans="2:2" x14ac:dyDescent="0.25">
      <c r="B534" s="28"/>
    </row>
    <row r="535" spans="2:2" x14ac:dyDescent="0.25">
      <c r="B535" s="28"/>
    </row>
    <row r="536" spans="2:2" x14ac:dyDescent="0.25">
      <c r="B536" s="28"/>
    </row>
    <row r="537" spans="2:2" x14ac:dyDescent="0.25">
      <c r="B537" s="28"/>
    </row>
    <row r="538" spans="2:2" x14ac:dyDescent="0.25">
      <c r="B538" s="28"/>
    </row>
    <row r="539" spans="2:2" x14ac:dyDescent="0.25">
      <c r="B539" s="28"/>
    </row>
    <row r="540" spans="2:2" x14ac:dyDescent="0.25">
      <c r="B540" s="28"/>
    </row>
    <row r="541" spans="2:2" x14ac:dyDescent="0.25">
      <c r="B541" s="28"/>
    </row>
    <row r="542" spans="2:2" x14ac:dyDescent="0.25">
      <c r="B542" s="28"/>
    </row>
    <row r="543" spans="2:2" x14ac:dyDescent="0.25">
      <c r="B543" s="28"/>
    </row>
    <row r="544" spans="2:2" x14ac:dyDescent="0.25">
      <c r="B544" s="28"/>
    </row>
    <row r="545" spans="2:2" x14ac:dyDescent="0.25">
      <c r="B545" s="28"/>
    </row>
    <row r="546" spans="2:2" x14ac:dyDescent="0.25">
      <c r="B546" s="28"/>
    </row>
    <row r="547" spans="2:2" x14ac:dyDescent="0.25">
      <c r="B547" s="28"/>
    </row>
    <row r="548" spans="2:2" x14ac:dyDescent="0.25">
      <c r="B548" s="28"/>
    </row>
    <row r="549" spans="2:2" x14ac:dyDescent="0.25">
      <c r="B549" s="28"/>
    </row>
    <row r="550" spans="2:2" x14ac:dyDescent="0.25">
      <c r="B550" s="28"/>
    </row>
    <row r="551" spans="2:2" x14ac:dyDescent="0.25">
      <c r="B551" s="28"/>
    </row>
    <row r="552" spans="2:2" x14ac:dyDescent="0.25">
      <c r="B552" s="28"/>
    </row>
    <row r="553" spans="2:2" x14ac:dyDescent="0.25">
      <c r="B553" s="28"/>
    </row>
    <row r="554" spans="2:2" x14ac:dyDescent="0.25">
      <c r="B554" s="28"/>
    </row>
    <row r="555" spans="2:2" x14ac:dyDescent="0.25">
      <c r="B555" s="28"/>
    </row>
    <row r="556" spans="2:2" x14ac:dyDescent="0.25">
      <c r="B556" s="28"/>
    </row>
    <row r="557" spans="2:2" x14ac:dyDescent="0.25">
      <c r="B557" s="28"/>
    </row>
    <row r="558" spans="2:2" x14ac:dyDescent="0.25">
      <c r="B558" s="28"/>
    </row>
    <row r="559" spans="2:2" x14ac:dyDescent="0.25">
      <c r="B559" s="28"/>
    </row>
    <row r="560" spans="2:2" x14ac:dyDescent="0.25">
      <c r="B560" s="28"/>
    </row>
    <row r="561" spans="2:2" x14ac:dyDescent="0.25">
      <c r="B561" s="28"/>
    </row>
    <row r="562" spans="2:2" x14ac:dyDescent="0.25">
      <c r="B562" s="28"/>
    </row>
    <row r="563" spans="2:2" x14ac:dyDescent="0.25">
      <c r="B563" s="28"/>
    </row>
    <row r="564" spans="2:2" x14ac:dyDescent="0.25">
      <c r="B564" s="28"/>
    </row>
    <row r="565" spans="2:2" x14ac:dyDescent="0.25">
      <c r="B565" s="28"/>
    </row>
    <row r="566" spans="2:2" x14ac:dyDescent="0.25">
      <c r="B566" s="28"/>
    </row>
    <row r="567" spans="2:2" x14ac:dyDescent="0.25">
      <c r="B567" s="28"/>
    </row>
    <row r="568" spans="2:2" x14ac:dyDescent="0.25">
      <c r="B568" s="28"/>
    </row>
    <row r="569" spans="2:2" x14ac:dyDescent="0.25">
      <c r="B569" s="28"/>
    </row>
    <row r="570" spans="2:2" x14ac:dyDescent="0.25">
      <c r="B570" s="28"/>
    </row>
    <row r="571" spans="2:2" x14ac:dyDescent="0.25">
      <c r="B571" s="28"/>
    </row>
    <row r="572" spans="2:2" x14ac:dyDescent="0.25">
      <c r="B572" s="28"/>
    </row>
    <row r="573" spans="2:2" x14ac:dyDescent="0.25">
      <c r="B573" s="28"/>
    </row>
    <row r="574" spans="2:2" x14ac:dyDescent="0.25">
      <c r="B574" s="28"/>
    </row>
    <row r="575" spans="2:2" x14ac:dyDescent="0.25">
      <c r="B575" s="28"/>
    </row>
    <row r="576" spans="2:2" x14ac:dyDescent="0.25">
      <c r="B576" s="28"/>
    </row>
    <row r="577" spans="2:2" x14ac:dyDescent="0.25">
      <c r="B577" s="28"/>
    </row>
    <row r="578" spans="2:2" x14ac:dyDescent="0.25">
      <c r="B578" s="28"/>
    </row>
    <row r="579" spans="2:2" x14ac:dyDescent="0.25">
      <c r="B579" s="28"/>
    </row>
    <row r="580" spans="2:2" x14ac:dyDescent="0.25">
      <c r="B580" s="28"/>
    </row>
    <row r="581" spans="2:2" x14ac:dyDescent="0.25">
      <c r="B581" s="28"/>
    </row>
    <row r="582" spans="2:2" x14ac:dyDescent="0.25">
      <c r="B582" s="28"/>
    </row>
    <row r="583" spans="2:2" x14ac:dyDescent="0.25">
      <c r="B583" s="28"/>
    </row>
    <row r="584" spans="2:2" x14ac:dyDescent="0.25">
      <c r="B584" s="28"/>
    </row>
    <row r="585" spans="2:2" x14ac:dyDescent="0.25">
      <c r="B585" s="28"/>
    </row>
    <row r="586" spans="2:2" x14ac:dyDescent="0.25">
      <c r="B586" s="28"/>
    </row>
    <row r="587" spans="2:2" x14ac:dyDescent="0.25">
      <c r="B587" s="28"/>
    </row>
    <row r="588" spans="2:2" x14ac:dyDescent="0.25">
      <c r="B588" s="28"/>
    </row>
    <row r="589" spans="2:2" x14ac:dyDescent="0.25">
      <c r="B589" s="28"/>
    </row>
    <row r="590" spans="2:2" x14ac:dyDescent="0.25">
      <c r="B590" s="28"/>
    </row>
    <row r="591" spans="2:2" x14ac:dyDescent="0.25">
      <c r="B591" s="28"/>
    </row>
    <row r="592" spans="2:2" x14ac:dyDescent="0.25">
      <c r="B592" s="28"/>
    </row>
    <row r="593" spans="2:2" x14ac:dyDescent="0.25">
      <c r="B593" s="28"/>
    </row>
    <row r="594" spans="2:2" x14ac:dyDescent="0.25">
      <c r="B594" s="28"/>
    </row>
    <row r="595" spans="2:2" x14ac:dyDescent="0.25">
      <c r="B595" s="28"/>
    </row>
    <row r="596" spans="2:2" x14ac:dyDescent="0.25">
      <c r="B596" s="28"/>
    </row>
    <row r="597" spans="2:2" x14ac:dyDescent="0.25">
      <c r="B597" s="28"/>
    </row>
    <row r="598" spans="2:2" x14ac:dyDescent="0.25">
      <c r="B598" s="28"/>
    </row>
    <row r="599" spans="2:2" x14ac:dyDescent="0.25">
      <c r="B599" s="28"/>
    </row>
    <row r="600" spans="2:2" x14ac:dyDescent="0.25">
      <c r="B600" s="28"/>
    </row>
    <row r="601" spans="2:2" x14ac:dyDescent="0.25">
      <c r="B601" s="28"/>
    </row>
    <row r="602" spans="2:2" x14ac:dyDescent="0.25">
      <c r="B602" s="28"/>
    </row>
    <row r="603" spans="2:2" x14ac:dyDescent="0.25">
      <c r="B603" s="28"/>
    </row>
    <row r="604" spans="2:2" x14ac:dyDescent="0.25">
      <c r="B604" s="28"/>
    </row>
    <row r="605" spans="2:2" x14ac:dyDescent="0.25">
      <c r="B605" s="28"/>
    </row>
    <row r="606" spans="2:2" x14ac:dyDescent="0.25">
      <c r="B606" s="28"/>
    </row>
    <row r="607" spans="2:2" x14ac:dyDescent="0.25">
      <c r="B607" s="28"/>
    </row>
    <row r="608" spans="2:2" x14ac:dyDescent="0.25">
      <c r="B608" s="28"/>
    </row>
    <row r="609" spans="2:2" x14ac:dyDescent="0.25">
      <c r="B609" s="28"/>
    </row>
    <row r="610" spans="2:2" x14ac:dyDescent="0.25">
      <c r="B610" s="28"/>
    </row>
    <row r="611" spans="2:2" x14ac:dyDescent="0.25">
      <c r="B611" s="28"/>
    </row>
    <row r="612" spans="2:2" x14ac:dyDescent="0.25">
      <c r="B612" s="28"/>
    </row>
    <row r="613" spans="2:2" x14ac:dyDescent="0.25">
      <c r="B613" s="28"/>
    </row>
    <row r="614" spans="2:2" x14ac:dyDescent="0.25">
      <c r="B614" s="28"/>
    </row>
    <row r="615" spans="2:2" x14ac:dyDescent="0.25">
      <c r="B615" s="28"/>
    </row>
    <row r="616" spans="2:2" x14ac:dyDescent="0.25">
      <c r="B616" s="28"/>
    </row>
    <row r="617" spans="2:2" x14ac:dyDescent="0.25">
      <c r="B617" s="28"/>
    </row>
    <row r="618" spans="2:2" x14ac:dyDescent="0.25">
      <c r="B618" s="28"/>
    </row>
    <row r="619" spans="2:2" x14ac:dyDescent="0.25">
      <c r="B619" s="28"/>
    </row>
    <row r="620" spans="2:2" x14ac:dyDescent="0.25">
      <c r="B620" s="28"/>
    </row>
    <row r="621" spans="2:2" x14ac:dyDescent="0.25">
      <c r="B621" s="28"/>
    </row>
    <row r="622" spans="2:2" x14ac:dyDescent="0.25">
      <c r="B622" s="28"/>
    </row>
    <row r="623" spans="2:2" x14ac:dyDescent="0.25">
      <c r="B623" s="28"/>
    </row>
    <row r="624" spans="2:2" x14ac:dyDescent="0.25">
      <c r="B624" s="28"/>
    </row>
    <row r="625" spans="2:2" x14ac:dyDescent="0.25">
      <c r="B625" s="28"/>
    </row>
    <row r="626" spans="2:2" x14ac:dyDescent="0.25">
      <c r="B626" s="28"/>
    </row>
    <row r="627" spans="2:2" x14ac:dyDescent="0.25">
      <c r="B627" s="28"/>
    </row>
    <row r="628" spans="2:2" x14ac:dyDescent="0.25">
      <c r="B628" s="28"/>
    </row>
    <row r="629" spans="2:2" x14ac:dyDescent="0.25">
      <c r="B629" s="28"/>
    </row>
    <row r="630" spans="2:2" x14ac:dyDescent="0.25">
      <c r="B630" s="28"/>
    </row>
    <row r="631" spans="2:2" x14ac:dyDescent="0.25">
      <c r="B631" s="28"/>
    </row>
    <row r="632" spans="2:2" x14ac:dyDescent="0.25">
      <c r="B632" s="28"/>
    </row>
    <row r="633" spans="2:2" x14ac:dyDescent="0.25">
      <c r="B633" s="28"/>
    </row>
    <row r="634" spans="2:2" x14ac:dyDescent="0.25">
      <c r="B634" s="28"/>
    </row>
    <row r="635" spans="2:2" x14ac:dyDescent="0.25">
      <c r="B635" s="28"/>
    </row>
    <row r="636" spans="2:2" x14ac:dyDescent="0.25">
      <c r="B636" s="28"/>
    </row>
    <row r="637" spans="2:2" x14ac:dyDescent="0.25">
      <c r="B637" s="28"/>
    </row>
    <row r="638" spans="2:2" x14ac:dyDescent="0.25">
      <c r="B638" s="28"/>
    </row>
    <row r="639" spans="2:2" x14ac:dyDescent="0.25">
      <c r="B639" s="28"/>
    </row>
    <row r="640" spans="2:2" x14ac:dyDescent="0.25">
      <c r="B640" s="28"/>
    </row>
    <row r="641" spans="2:2" x14ac:dyDescent="0.25">
      <c r="B641" s="28"/>
    </row>
    <row r="642" spans="2:2" x14ac:dyDescent="0.25">
      <c r="B642" s="28"/>
    </row>
    <row r="643" spans="2:2" x14ac:dyDescent="0.25">
      <c r="B643" s="28"/>
    </row>
    <row r="644" spans="2:2" x14ac:dyDescent="0.25">
      <c r="B644" s="28"/>
    </row>
    <row r="645" spans="2:2" x14ac:dyDescent="0.25">
      <c r="B645" s="28"/>
    </row>
    <row r="646" spans="2:2" x14ac:dyDescent="0.25">
      <c r="B646" s="28"/>
    </row>
    <row r="647" spans="2:2" x14ac:dyDescent="0.25">
      <c r="B647" s="28"/>
    </row>
    <row r="648" spans="2:2" x14ac:dyDescent="0.25">
      <c r="B648" s="28"/>
    </row>
    <row r="649" spans="2:2" x14ac:dyDescent="0.25">
      <c r="B649" s="28"/>
    </row>
    <row r="650" spans="2:2" x14ac:dyDescent="0.25">
      <c r="B650" s="28"/>
    </row>
    <row r="651" spans="2:2" x14ac:dyDescent="0.25">
      <c r="B651" s="28"/>
    </row>
    <row r="652" spans="2:2" x14ac:dyDescent="0.25">
      <c r="B652" s="28"/>
    </row>
    <row r="653" spans="2:2" x14ac:dyDescent="0.25">
      <c r="B653" s="28"/>
    </row>
    <row r="654" spans="2:2" x14ac:dyDescent="0.25">
      <c r="B654" s="28"/>
    </row>
    <row r="655" spans="2:2" x14ac:dyDescent="0.25">
      <c r="B655" s="28"/>
    </row>
    <row r="656" spans="2:2" x14ac:dyDescent="0.25">
      <c r="B656" s="28"/>
    </row>
    <row r="657" spans="2:2" x14ac:dyDescent="0.25">
      <c r="B657" s="28"/>
    </row>
    <row r="658" spans="2:2" x14ac:dyDescent="0.25">
      <c r="B658" s="28"/>
    </row>
    <row r="659" spans="2:2" x14ac:dyDescent="0.25">
      <c r="B659" s="28"/>
    </row>
    <row r="660" spans="2:2" x14ac:dyDescent="0.25">
      <c r="B660" s="28"/>
    </row>
    <row r="661" spans="2:2" x14ac:dyDescent="0.25">
      <c r="B661" s="28"/>
    </row>
    <row r="662" spans="2:2" x14ac:dyDescent="0.25">
      <c r="B662" s="28"/>
    </row>
    <row r="663" spans="2:2" x14ac:dyDescent="0.25">
      <c r="B663" s="28"/>
    </row>
    <row r="664" spans="2:2" x14ac:dyDescent="0.25">
      <c r="B664" s="28"/>
    </row>
    <row r="665" spans="2:2" x14ac:dyDescent="0.25">
      <c r="B665" s="28"/>
    </row>
    <row r="666" spans="2:2" x14ac:dyDescent="0.25">
      <c r="B666" s="28"/>
    </row>
    <row r="667" spans="2:2" x14ac:dyDescent="0.25">
      <c r="B667" s="28"/>
    </row>
    <row r="668" spans="2:2" x14ac:dyDescent="0.25">
      <c r="B668" s="28"/>
    </row>
    <row r="669" spans="2:2" x14ac:dyDescent="0.25">
      <c r="B669" s="28"/>
    </row>
    <row r="670" spans="2:2" x14ac:dyDescent="0.25">
      <c r="B670" s="28"/>
    </row>
    <row r="671" spans="2:2" x14ac:dyDescent="0.25">
      <c r="B671" s="28"/>
    </row>
    <row r="672" spans="2:2" x14ac:dyDescent="0.25">
      <c r="B672" s="28"/>
    </row>
    <row r="673" spans="2:2" x14ac:dyDescent="0.25">
      <c r="B673" s="28"/>
    </row>
    <row r="674" spans="2:2" x14ac:dyDescent="0.25">
      <c r="B674" s="28"/>
    </row>
    <row r="675" spans="2:2" x14ac:dyDescent="0.25">
      <c r="B675" s="28"/>
    </row>
    <row r="676" spans="2:2" x14ac:dyDescent="0.25">
      <c r="B676" s="28"/>
    </row>
    <row r="677" spans="2:2" x14ac:dyDescent="0.25">
      <c r="B677" s="28"/>
    </row>
    <row r="678" spans="2:2" x14ac:dyDescent="0.25">
      <c r="B678" s="28"/>
    </row>
    <row r="679" spans="2:2" x14ac:dyDescent="0.25">
      <c r="B679" s="28"/>
    </row>
    <row r="680" spans="2:2" x14ac:dyDescent="0.25">
      <c r="B680" s="28"/>
    </row>
    <row r="681" spans="2:2" x14ac:dyDescent="0.25">
      <c r="B681" s="28"/>
    </row>
    <row r="682" spans="2:2" x14ac:dyDescent="0.25">
      <c r="B682" s="28"/>
    </row>
    <row r="683" spans="2:2" x14ac:dyDescent="0.25">
      <c r="B683" s="28"/>
    </row>
    <row r="684" spans="2:2" x14ac:dyDescent="0.25">
      <c r="B684" s="28"/>
    </row>
    <row r="685" spans="2:2" x14ac:dyDescent="0.25">
      <c r="B685" s="28"/>
    </row>
    <row r="686" spans="2:2" x14ac:dyDescent="0.25">
      <c r="B686" s="28"/>
    </row>
    <row r="687" spans="2:2" x14ac:dyDescent="0.25">
      <c r="B687" s="28"/>
    </row>
    <row r="688" spans="2:2" x14ac:dyDescent="0.25">
      <c r="B688" s="28"/>
    </row>
    <row r="689" spans="2:2" x14ac:dyDescent="0.25">
      <c r="B689" s="28"/>
    </row>
    <row r="690" spans="2:2" x14ac:dyDescent="0.25">
      <c r="B690" s="28"/>
    </row>
    <row r="691" spans="2:2" x14ac:dyDescent="0.25">
      <c r="B691" s="28"/>
    </row>
    <row r="692" spans="2:2" x14ac:dyDescent="0.25">
      <c r="B692" s="28"/>
    </row>
    <row r="693" spans="2:2" x14ac:dyDescent="0.25">
      <c r="B693" s="28"/>
    </row>
    <row r="694" spans="2:2" x14ac:dyDescent="0.25">
      <c r="B694" s="28"/>
    </row>
    <row r="695" spans="2:2" x14ac:dyDescent="0.25">
      <c r="B695" s="28"/>
    </row>
    <row r="696" spans="2:2" x14ac:dyDescent="0.25">
      <c r="B696" s="28"/>
    </row>
    <row r="697" spans="2:2" x14ac:dyDescent="0.25">
      <c r="B697" s="28"/>
    </row>
    <row r="698" spans="2:2" x14ac:dyDescent="0.25">
      <c r="B698" s="28"/>
    </row>
    <row r="699" spans="2:2" x14ac:dyDescent="0.25">
      <c r="B699" s="28"/>
    </row>
    <row r="700" spans="2:2" x14ac:dyDescent="0.25">
      <c r="B700" s="28"/>
    </row>
    <row r="701" spans="2:2" x14ac:dyDescent="0.25">
      <c r="B701" s="28"/>
    </row>
    <row r="702" spans="2:2" x14ac:dyDescent="0.25">
      <c r="B702" s="28"/>
    </row>
    <row r="703" spans="2:2" x14ac:dyDescent="0.25">
      <c r="B703" s="28"/>
    </row>
    <row r="704" spans="2:2" x14ac:dyDescent="0.25">
      <c r="B704" s="28"/>
    </row>
    <row r="705" spans="2:2" x14ac:dyDescent="0.25">
      <c r="B705" s="28"/>
    </row>
    <row r="706" spans="2:2" x14ac:dyDescent="0.25">
      <c r="B706" s="28"/>
    </row>
    <row r="707" spans="2:2" x14ac:dyDescent="0.25">
      <c r="B707" s="28"/>
    </row>
    <row r="708" spans="2:2" x14ac:dyDescent="0.25">
      <c r="B708" s="28"/>
    </row>
    <row r="709" spans="2:2" x14ac:dyDescent="0.25">
      <c r="B709" s="28"/>
    </row>
    <row r="710" spans="2:2" x14ac:dyDescent="0.25">
      <c r="B710" s="28"/>
    </row>
    <row r="711" spans="2:2" x14ac:dyDescent="0.25">
      <c r="B711" s="28"/>
    </row>
    <row r="712" spans="2:2" x14ac:dyDescent="0.25">
      <c r="B712" s="28"/>
    </row>
    <row r="713" spans="2:2" x14ac:dyDescent="0.25">
      <c r="B713" s="28"/>
    </row>
    <row r="714" spans="2:2" x14ac:dyDescent="0.25">
      <c r="B714" s="28"/>
    </row>
    <row r="715" spans="2:2" x14ac:dyDescent="0.25">
      <c r="B715" s="28"/>
    </row>
    <row r="716" spans="2:2" x14ac:dyDescent="0.25">
      <c r="B716" s="28"/>
    </row>
    <row r="717" spans="2:2" x14ac:dyDescent="0.25">
      <c r="B717" s="28"/>
    </row>
    <row r="718" spans="2:2" x14ac:dyDescent="0.25">
      <c r="B718" s="28"/>
    </row>
    <row r="719" spans="2:2" x14ac:dyDescent="0.25">
      <c r="B719" s="28"/>
    </row>
    <row r="720" spans="2:2" x14ac:dyDescent="0.25">
      <c r="B720" s="28"/>
    </row>
    <row r="721" spans="2:2" x14ac:dyDescent="0.25">
      <c r="B721" s="28"/>
    </row>
    <row r="722" spans="2:2" x14ac:dyDescent="0.25">
      <c r="B722" s="28"/>
    </row>
    <row r="723" spans="2:2" x14ac:dyDescent="0.25">
      <c r="B723" s="28"/>
    </row>
    <row r="724" spans="2:2" x14ac:dyDescent="0.25">
      <c r="B724" s="28"/>
    </row>
    <row r="725" spans="2:2" x14ac:dyDescent="0.25">
      <c r="B725" s="28"/>
    </row>
    <row r="726" spans="2:2" x14ac:dyDescent="0.25">
      <c r="B726" s="28"/>
    </row>
    <row r="727" spans="2:2" x14ac:dyDescent="0.25">
      <c r="B727" s="28"/>
    </row>
    <row r="728" spans="2:2" x14ac:dyDescent="0.25">
      <c r="B728" s="28"/>
    </row>
    <row r="729" spans="2:2" x14ac:dyDescent="0.25">
      <c r="B729" s="28"/>
    </row>
    <row r="730" spans="2:2" x14ac:dyDescent="0.25">
      <c r="B730" s="28"/>
    </row>
    <row r="731" spans="2:2" x14ac:dyDescent="0.25">
      <c r="B731" s="28"/>
    </row>
    <row r="732" spans="2:2" x14ac:dyDescent="0.25">
      <c r="B732" s="28"/>
    </row>
    <row r="733" spans="2:2" x14ac:dyDescent="0.25">
      <c r="B733" s="28"/>
    </row>
    <row r="734" spans="2:2" x14ac:dyDescent="0.25">
      <c r="B734" s="28"/>
    </row>
    <row r="735" spans="2:2" x14ac:dyDescent="0.25">
      <c r="B735" s="28"/>
    </row>
    <row r="736" spans="2:2" x14ac:dyDescent="0.25">
      <c r="B736" s="28"/>
    </row>
    <row r="737" spans="2:2" x14ac:dyDescent="0.25">
      <c r="B737" s="28"/>
    </row>
    <row r="738" spans="2:2" x14ac:dyDescent="0.25">
      <c r="B738" s="28"/>
    </row>
    <row r="739" spans="2:2" x14ac:dyDescent="0.25">
      <c r="B739" s="28"/>
    </row>
    <row r="740" spans="2:2" x14ac:dyDescent="0.25">
      <c r="B740" s="28"/>
    </row>
    <row r="741" spans="2:2" x14ac:dyDescent="0.25">
      <c r="B741" s="28"/>
    </row>
    <row r="742" spans="2:2" x14ac:dyDescent="0.25">
      <c r="B742" s="28"/>
    </row>
    <row r="743" spans="2:2" x14ac:dyDescent="0.25">
      <c r="B743" s="28"/>
    </row>
    <row r="744" spans="2:2" x14ac:dyDescent="0.25">
      <c r="B744" s="28"/>
    </row>
    <row r="745" spans="2:2" x14ac:dyDescent="0.25">
      <c r="B745" s="28"/>
    </row>
    <row r="746" spans="2:2" x14ac:dyDescent="0.25">
      <c r="B746" s="28"/>
    </row>
    <row r="747" spans="2:2" x14ac:dyDescent="0.25">
      <c r="B747" s="28"/>
    </row>
    <row r="748" spans="2:2" x14ac:dyDescent="0.25">
      <c r="B748" s="28"/>
    </row>
    <row r="749" spans="2:2" x14ac:dyDescent="0.25">
      <c r="B749" s="28"/>
    </row>
    <row r="750" spans="2:2" x14ac:dyDescent="0.25">
      <c r="B750" s="28"/>
    </row>
    <row r="751" spans="2:2" x14ac:dyDescent="0.25">
      <c r="B751" s="28"/>
    </row>
    <row r="752" spans="2:2" x14ac:dyDescent="0.25">
      <c r="B752" s="28"/>
    </row>
    <row r="753" spans="2:2" x14ac:dyDescent="0.25">
      <c r="B753" s="28"/>
    </row>
    <row r="754" spans="2:2" x14ac:dyDescent="0.25">
      <c r="B754" s="28"/>
    </row>
    <row r="755" spans="2:2" x14ac:dyDescent="0.25">
      <c r="B755" s="28"/>
    </row>
    <row r="756" spans="2:2" x14ac:dyDescent="0.25">
      <c r="B756" s="28"/>
    </row>
    <row r="757" spans="2:2" x14ac:dyDescent="0.25">
      <c r="B757" s="28"/>
    </row>
    <row r="758" spans="2:2" x14ac:dyDescent="0.25">
      <c r="B758" s="28"/>
    </row>
    <row r="759" spans="2:2" x14ac:dyDescent="0.25">
      <c r="B759" s="28"/>
    </row>
    <row r="760" spans="2:2" x14ac:dyDescent="0.25">
      <c r="B760" s="28"/>
    </row>
    <row r="761" spans="2:2" x14ac:dyDescent="0.25">
      <c r="B761" s="28"/>
    </row>
    <row r="762" spans="2:2" x14ac:dyDescent="0.25">
      <c r="B762" s="28"/>
    </row>
    <row r="763" spans="2:2" x14ac:dyDescent="0.25">
      <c r="B763" s="28"/>
    </row>
    <row r="764" spans="2:2" x14ac:dyDescent="0.25">
      <c r="B764" s="28"/>
    </row>
    <row r="765" spans="2:2" x14ac:dyDescent="0.25">
      <c r="B765" s="28"/>
    </row>
    <row r="766" spans="2:2" x14ac:dyDescent="0.25">
      <c r="B766" s="28"/>
    </row>
    <row r="767" spans="2:2" x14ac:dyDescent="0.25">
      <c r="B767" s="28"/>
    </row>
    <row r="768" spans="2:2" x14ac:dyDescent="0.25">
      <c r="B768" s="28"/>
    </row>
    <row r="769" spans="2:2" x14ac:dyDescent="0.25">
      <c r="B769" s="28"/>
    </row>
    <row r="770" spans="2:2" x14ac:dyDescent="0.25">
      <c r="B770" s="28"/>
    </row>
    <row r="771" spans="2:2" x14ac:dyDescent="0.25">
      <c r="B771" s="28"/>
    </row>
    <row r="772" spans="2:2" x14ac:dyDescent="0.25">
      <c r="B772" s="28"/>
    </row>
    <row r="773" spans="2:2" x14ac:dyDescent="0.25">
      <c r="B773" s="28"/>
    </row>
    <row r="774" spans="2:2" x14ac:dyDescent="0.25">
      <c r="B774" s="28"/>
    </row>
    <row r="775" spans="2:2" x14ac:dyDescent="0.25">
      <c r="B775" s="28"/>
    </row>
    <row r="776" spans="2:2" x14ac:dyDescent="0.25">
      <c r="B776" s="28"/>
    </row>
    <row r="777" spans="2:2" x14ac:dyDescent="0.25">
      <c r="B777" s="28"/>
    </row>
    <row r="778" spans="2:2" x14ac:dyDescent="0.25">
      <c r="B778" s="28"/>
    </row>
    <row r="779" spans="2:2" x14ac:dyDescent="0.25">
      <c r="B779" s="28"/>
    </row>
    <row r="780" spans="2:2" x14ac:dyDescent="0.25">
      <c r="B780" s="28"/>
    </row>
    <row r="781" spans="2:2" x14ac:dyDescent="0.25">
      <c r="B781" s="28"/>
    </row>
    <row r="782" spans="2:2" x14ac:dyDescent="0.25">
      <c r="B782" s="28"/>
    </row>
    <row r="783" spans="2:2" x14ac:dyDescent="0.25">
      <c r="B783" s="28"/>
    </row>
    <row r="784" spans="2:2" x14ac:dyDescent="0.25">
      <c r="B784" s="28"/>
    </row>
    <row r="785" spans="2:2" x14ac:dyDescent="0.25">
      <c r="B785" s="28"/>
    </row>
    <row r="786" spans="2:2" x14ac:dyDescent="0.25">
      <c r="B786" s="28"/>
    </row>
    <row r="787" spans="2:2" x14ac:dyDescent="0.25">
      <c r="B787" s="28"/>
    </row>
    <row r="788" spans="2:2" x14ac:dyDescent="0.25">
      <c r="B788" s="28"/>
    </row>
    <row r="789" spans="2:2" x14ac:dyDescent="0.25">
      <c r="B789" s="28"/>
    </row>
    <row r="790" spans="2:2" x14ac:dyDescent="0.25">
      <c r="B790" s="28"/>
    </row>
    <row r="791" spans="2:2" x14ac:dyDescent="0.25">
      <c r="B791" s="28"/>
    </row>
    <row r="792" spans="2:2" x14ac:dyDescent="0.25">
      <c r="B792" s="28"/>
    </row>
    <row r="793" spans="2:2" x14ac:dyDescent="0.25">
      <c r="B793" s="28"/>
    </row>
    <row r="794" spans="2:2" x14ac:dyDescent="0.25">
      <c r="B794" s="28"/>
    </row>
    <row r="795" spans="2:2" x14ac:dyDescent="0.25">
      <c r="B795" s="28"/>
    </row>
    <row r="796" spans="2:2" x14ac:dyDescent="0.25">
      <c r="B796" s="28"/>
    </row>
    <row r="797" spans="2:2" x14ac:dyDescent="0.25">
      <c r="B797" s="28"/>
    </row>
    <row r="798" spans="2:2" x14ac:dyDescent="0.25">
      <c r="B798" s="28"/>
    </row>
    <row r="799" spans="2:2" x14ac:dyDescent="0.25">
      <c r="B799" s="28"/>
    </row>
    <row r="800" spans="2:2" x14ac:dyDescent="0.25">
      <c r="B800" s="28"/>
    </row>
    <row r="801" spans="2:2" x14ac:dyDescent="0.25">
      <c r="B801" s="28"/>
    </row>
    <row r="802" spans="2:2" x14ac:dyDescent="0.25">
      <c r="B802" s="28"/>
    </row>
    <row r="803" spans="2:2" x14ac:dyDescent="0.25">
      <c r="B803" s="28"/>
    </row>
    <row r="804" spans="2:2" x14ac:dyDescent="0.25">
      <c r="B804" s="28"/>
    </row>
    <row r="805" spans="2:2" x14ac:dyDescent="0.25">
      <c r="B805" s="28"/>
    </row>
    <row r="806" spans="2:2" x14ac:dyDescent="0.25">
      <c r="B806" s="28"/>
    </row>
    <row r="807" spans="2:2" x14ac:dyDescent="0.25">
      <c r="B807" s="28"/>
    </row>
    <row r="808" spans="2:2" x14ac:dyDescent="0.25">
      <c r="B808" s="28"/>
    </row>
    <row r="809" spans="2:2" x14ac:dyDescent="0.25">
      <c r="B809" s="28"/>
    </row>
    <row r="810" spans="2:2" x14ac:dyDescent="0.25">
      <c r="B810" s="28"/>
    </row>
    <row r="811" spans="2:2" x14ac:dyDescent="0.25">
      <c r="B811" s="28"/>
    </row>
    <row r="812" spans="2:2" x14ac:dyDescent="0.25">
      <c r="B812" s="28"/>
    </row>
    <row r="813" spans="2:2" x14ac:dyDescent="0.25">
      <c r="B813" s="28"/>
    </row>
    <row r="814" spans="2:2" x14ac:dyDescent="0.25">
      <c r="B814" s="28"/>
    </row>
    <row r="815" spans="2:2" x14ac:dyDescent="0.25">
      <c r="B815" s="28"/>
    </row>
    <row r="816" spans="2:2" x14ac:dyDescent="0.25">
      <c r="B816" s="28"/>
    </row>
    <row r="817" spans="2:2" x14ac:dyDescent="0.25">
      <c r="B817" s="28"/>
    </row>
    <row r="818" spans="2:2" x14ac:dyDescent="0.25">
      <c r="B818" s="28"/>
    </row>
    <row r="819" spans="2:2" x14ac:dyDescent="0.25">
      <c r="B819" s="28"/>
    </row>
    <row r="820" spans="2:2" x14ac:dyDescent="0.25">
      <c r="B820" s="28"/>
    </row>
    <row r="821" spans="2:2" x14ac:dyDescent="0.25">
      <c r="B821" s="28"/>
    </row>
    <row r="822" spans="2:2" x14ac:dyDescent="0.25">
      <c r="B822" s="28"/>
    </row>
    <row r="823" spans="2:2" x14ac:dyDescent="0.25">
      <c r="B823" s="28"/>
    </row>
    <row r="824" spans="2:2" x14ac:dyDescent="0.25">
      <c r="B824" s="28"/>
    </row>
    <row r="825" spans="2:2" x14ac:dyDescent="0.25">
      <c r="B825" s="28"/>
    </row>
    <row r="826" spans="2:2" x14ac:dyDescent="0.25">
      <c r="B826" s="28"/>
    </row>
    <row r="827" spans="2:2" x14ac:dyDescent="0.25">
      <c r="B827" s="28"/>
    </row>
    <row r="828" spans="2:2" x14ac:dyDescent="0.25">
      <c r="B828" s="28"/>
    </row>
    <row r="829" spans="2:2" x14ac:dyDescent="0.25">
      <c r="B829" s="28"/>
    </row>
    <row r="830" spans="2:2" x14ac:dyDescent="0.25">
      <c r="B830" s="28"/>
    </row>
    <row r="831" spans="2:2" x14ac:dyDescent="0.25">
      <c r="B831" s="28"/>
    </row>
    <row r="832" spans="2:2" x14ac:dyDescent="0.25">
      <c r="B832" s="28"/>
    </row>
    <row r="833" spans="2:2" x14ac:dyDescent="0.25">
      <c r="B833" s="28"/>
    </row>
    <row r="834" spans="2:2" x14ac:dyDescent="0.25">
      <c r="B834" s="28"/>
    </row>
    <row r="835" spans="2:2" x14ac:dyDescent="0.25">
      <c r="B835" s="28"/>
    </row>
    <row r="836" spans="2:2" x14ac:dyDescent="0.25">
      <c r="B836" s="28"/>
    </row>
    <row r="837" spans="2:2" x14ac:dyDescent="0.25">
      <c r="B837" s="28"/>
    </row>
    <row r="838" spans="2:2" x14ac:dyDescent="0.25">
      <c r="B838" s="28"/>
    </row>
    <row r="839" spans="2:2" x14ac:dyDescent="0.25">
      <c r="B839" s="28"/>
    </row>
    <row r="840" spans="2:2" x14ac:dyDescent="0.25">
      <c r="B840" s="28"/>
    </row>
    <row r="841" spans="2:2" x14ac:dyDescent="0.25">
      <c r="B841" s="28"/>
    </row>
    <row r="842" spans="2:2" x14ac:dyDescent="0.25">
      <c r="B842" s="28"/>
    </row>
    <row r="843" spans="2:2" x14ac:dyDescent="0.25">
      <c r="B843" s="28"/>
    </row>
    <row r="844" spans="2:2" x14ac:dyDescent="0.25">
      <c r="B844" s="28"/>
    </row>
    <row r="845" spans="2:2" x14ac:dyDescent="0.25">
      <c r="B845" s="28"/>
    </row>
    <row r="846" spans="2:2" x14ac:dyDescent="0.25">
      <c r="B846" s="28"/>
    </row>
    <row r="847" spans="2:2" x14ac:dyDescent="0.25">
      <c r="B847" s="28"/>
    </row>
    <row r="848" spans="2:2" x14ac:dyDescent="0.25">
      <c r="B848" s="28"/>
    </row>
    <row r="849" spans="2:2" x14ac:dyDescent="0.25">
      <c r="B849" s="28"/>
    </row>
    <row r="850" spans="2:2" x14ac:dyDescent="0.25">
      <c r="B850" s="28"/>
    </row>
    <row r="851" spans="2:2" x14ac:dyDescent="0.25">
      <c r="B851" s="28"/>
    </row>
    <row r="852" spans="2:2" x14ac:dyDescent="0.25">
      <c r="B852" s="28"/>
    </row>
    <row r="853" spans="2:2" x14ac:dyDescent="0.25">
      <c r="B853" s="28"/>
    </row>
    <row r="854" spans="2:2" x14ac:dyDescent="0.25">
      <c r="B854" s="28"/>
    </row>
    <row r="855" spans="2:2" x14ac:dyDescent="0.25">
      <c r="B855" s="28"/>
    </row>
    <row r="856" spans="2:2" x14ac:dyDescent="0.25">
      <c r="B856" s="28"/>
    </row>
    <row r="857" spans="2:2" x14ac:dyDescent="0.25">
      <c r="B857" s="28"/>
    </row>
    <row r="858" spans="2:2" x14ac:dyDescent="0.25">
      <c r="B858" s="28"/>
    </row>
    <row r="859" spans="2:2" x14ac:dyDescent="0.25">
      <c r="B859" s="28"/>
    </row>
    <row r="860" spans="2:2" x14ac:dyDescent="0.25">
      <c r="B860" s="28"/>
    </row>
    <row r="861" spans="2:2" x14ac:dyDescent="0.25">
      <c r="B861" s="28"/>
    </row>
    <row r="862" spans="2:2" x14ac:dyDescent="0.25">
      <c r="B862" s="28"/>
    </row>
    <row r="863" spans="2:2" x14ac:dyDescent="0.25">
      <c r="B863" s="28"/>
    </row>
    <row r="864" spans="2:2" x14ac:dyDescent="0.25">
      <c r="B864" s="28"/>
    </row>
    <row r="865" spans="2:2" x14ac:dyDescent="0.25">
      <c r="B865" s="28"/>
    </row>
    <row r="866" spans="2:2" x14ac:dyDescent="0.25">
      <c r="B866" s="28"/>
    </row>
    <row r="867" spans="2:2" x14ac:dyDescent="0.25">
      <c r="B867" s="28"/>
    </row>
    <row r="868" spans="2:2" x14ac:dyDescent="0.25">
      <c r="B868" s="28"/>
    </row>
    <row r="869" spans="2:2" x14ac:dyDescent="0.25">
      <c r="B869" s="28"/>
    </row>
    <row r="870" spans="2:2" x14ac:dyDescent="0.25">
      <c r="B870" s="28"/>
    </row>
    <row r="871" spans="2:2" x14ac:dyDescent="0.25">
      <c r="B871" s="28"/>
    </row>
    <row r="872" spans="2:2" x14ac:dyDescent="0.25">
      <c r="B872" s="28"/>
    </row>
    <row r="873" spans="2:2" x14ac:dyDescent="0.25">
      <c r="B873" s="28"/>
    </row>
    <row r="874" spans="2:2" x14ac:dyDescent="0.25">
      <c r="B874" s="28"/>
    </row>
    <row r="875" spans="2:2" x14ac:dyDescent="0.25">
      <c r="B875" s="28"/>
    </row>
    <row r="876" spans="2:2" x14ac:dyDescent="0.25">
      <c r="B876" s="28"/>
    </row>
    <row r="877" spans="2:2" x14ac:dyDescent="0.25">
      <c r="B877" s="28"/>
    </row>
    <row r="878" spans="2:2" x14ac:dyDescent="0.25">
      <c r="B878" s="28"/>
    </row>
    <row r="879" spans="2:2" x14ac:dyDescent="0.25">
      <c r="B879" s="28"/>
    </row>
    <row r="880" spans="2:2" x14ac:dyDescent="0.25">
      <c r="B880" s="28"/>
    </row>
    <row r="881" spans="2:2" x14ac:dyDescent="0.25">
      <c r="B881" s="28"/>
    </row>
    <row r="882" spans="2:2" x14ac:dyDescent="0.25">
      <c r="B882" s="28"/>
    </row>
    <row r="883" spans="2:2" x14ac:dyDescent="0.25">
      <c r="B883" s="28"/>
    </row>
    <row r="884" spans="2:2" x14ac:dyDescent="0.25">
      <c r="B884" s="28"/>
    </row>
    <row r="885" spans="2:2" x14ac:dyDescent="0.25">
      <c r="B885" s="28"/>
    </row>
    <row r="886" spans="2:2" x14ac:dyDescent="0.25">
      <c r="B886" s="28"/>
    </row>
    <row r="887" spans="2:2" x14ac:dyDescent="0.25">
      <c r="B887" s="28"/>
    </row>
    <row r="888" spans="2:2" x14ac:dyDescent="0.25">
      <c r="B888" s="28"/>
    </row>
    <row r="889" spans="2:2" x14ac:dyDescent="0.25">
      <c r="B889" s="28"/>
    </row>
    <row r="890" spans="2:2" x14ac:dyDescent="0.25">
      <c r="B890" s="28"/>
    </row>
    <row r="891" spans="2:2" x14ac:dyDescent="0.25">
      <c r="B891" s="28"/>
    </row>
    <row r="892" spans="2:2" x14ac:dyDescent="0.25">
      <c r="B892" s="28"/>
    </row>
    <row r="893" spans="2:2" x14ac:dyDescent="0.25">
      <c r="B893" s="28"/>
    </row>
    <row r="894" spans="2:2" x14ac:dyDescent="0.25">
      <c r="B894" s="28"/>
    </row>
    <row r="895" spans="2:2" x14ac:dyDescent="0.25">
      <c r="B895" s="28"/>
    </row>
    <row r="896" spans="2:2" x14ac:dyDescent="0.25">
      <c r="B896" s="28"/>
    </row>
    <row r="897" spans="2:2" x14ac:dyDescent="0.25">
      <c r="B897" s="28"/>
    </row>
    <row r="898" spans="2:2" x14ac:dyDescent="0.25">
      <c r="B898" s="28"/>
    </row>
    <row r="899" spans="2:2" x14ac:dyDescent="0.25">
      <c r="B899" s="28"/>
    </row>
    <row r="900" spans="2:2" x14ac:dyDescent="0.25">
      <c r="B900" s="28"/>
    </row>
    <row r="901" spans="2:2" x14ac:dyDescent="0.25">
      <c r="B901" s="28"/>
    </row>
    <row r="902" spans="2:2" x14ac:dyDescent="0.25">
      <c r="B902" s="28"/>
    </row>
    <row r="903" spans="2:2" x14ac:dyDescent="0.25">
      <c r="B903" s="28"/>
    </row>
    <row r="904" spans="2:2" x14ac:dyDescent="0.25">
      <c r="B904" s="28"/>
    </row>
    <row r="905" spans="2:2" x14ac:dyDescent="0.25">
      <c r="B905" s="28"/>
    </row>
    <row r="906" spans="2:2" x14ac:dyDescent="0.25">
      <c r="B906" s="28"/>
    </row>
    <row r="907" spans="2:2" x14ac:dyDescent="0.25">
      <c r="B907" s="28"/>
    </row>
    <row r="908" spans="2:2" x14ac:dyDescent="0.25">
      <c r="B908" s="28"/>
    </row>
    <row r="909" spans="2:2" x14ac:dyDescent="0.25">
      <c r="B909" s="28"/>
    </row>
    <row r="910" spans="2:2" x14ac:dyDescent="0.25">
      <c r="B910" s="28"/>
    </row>
    <row r="911" spans="2:2" x14ac:dyDescent="0.25">
      <c r="B911" s="28"/>
    </row>
    <row r="912" spans="2:2" x14ac:dyDescent="0.25">
      <c r="B912" s="28"/>
    </row>
    <row r="913" spans="2:2" x14ac:dyDescent="0.25">
      <c r="B913" s="28"/>
    </row>
    <row r="914" spans="2:2" x14ac:dyDescent="0.25">
      <c r="B914" s="28"/>
    </row>
    <row r="915" spans="2:2" x14ac:dyDescent="0.25">
      <c r="B915" s="28"/>
    </row>
    <row r="916" spans="2:2" x14ac:dyDescent="0.25">
      <c r="B916" s="28"/>
    </row>
    <row r="917" spans="2:2" x14ac:dyDescent="0.25">
      <c r="B917" s="28"/>
    </row>
    <row r="918" spans="2:2" x14ac:dyDescent="0.25">
      <c r="B918" s="28"/>
    </row>
    <row r="919" spans="2:2" x14ac:dyDescent="0.25">
      <c r="B919" s="28"/>
    </row>
    <row r="920" spans="2:2" x14ac:dyDescent="0.25">
      <c r="B920" s="28"/>
    </row>
    <row r="921" spans="2:2" x14ac:dyDescent="0.25">
      <c r="B921" s="28"/>
    </row>
    <row r="922" spans="2:2" x14ac:dyDescent="0.25">
      <c r="B922" s="28"/>
    </row>
    <row r="923" spans="2:2" x14ac:dyDescent="0.25">
      <c r="B923" s="28"/>
    </row>
    <row r="924" spans="2:2" x14ac:dyDescent="0.25">
      <c r="B924" s="28"/>
    </row>
    <row r="925" spans="2:2" x14ac:dyDescent="0.25">
      <c r="B925" s="28"/>
    </row>
    <row r="926" spans="2:2" x14ac:dyDescent="0.25">
      <c r="B926" s="28"/>
    </row>
    <row r="927" spans="2:2" x14ac:dyDescent="0.25">
      <c r="B927" s="28"/>
    </row>
    <row r="928" spans="2:2" x14ac:dyDescent="0.25">
      <c r="B928" s="28"/>
    </row>
    <row r="929" spans="2:2" x14ac:dyDescent="0.25">
      <c r="B929" s="28"/>
    </row>
    <row r="930" spans="2:2" x14ac:dyDescent="0.25">
      <c r="B930" s="28"/>
    </row>
    <row r="931" spans="2:2" x14ac:dyDescent="0.25">
      <c r="B931" s="28"/>
    </row>
    <row r="932" spans="2:2" x14ac:dyDescent="0.25">
      <c r="B932" s="28"/>
    </row>
    <row r="933" spans="2:2" x14ac:dyDescent="0.25">
      <c r="B933" s="28"/>
    </row>
    <row r="934" spans="2:2" x14ac:dyDescent="0.25">
      <c r="B934" s="28"/>
    </row>
    <row r="935" spans="2:2" x14ac:dyDescent="0.25">
      <c r="B935" s="28"/>
    </row>
    <row r="936" spans="2:2" x14ac:dyDescent="0.25">
      <c r="B936" s="28"/>
    </row>
    <row r="937" spans="2:2" x14ac:dyDescent="0.25">
      <c r="B937" s="28"/>
    </row>
    <row r="938" spans="2:2" x14ac:dyDescent="0.25">
      <c r="B938" s="28"/>
    </row>
    <row r="939" spans="2:2" x14ac:dyDescent="0.25">
      <c r="B939" s="28"/>
    </row>
    <row r="940" spans="2:2" x14ac:dyDescent="0.25">
      <c r="B940" s="28"/>
    </row>
    <row r="941" spans="2:2" x14ac:dyDescent="0.25">
      <c r="B941" s="28"/>
    </row>
    <row r="942" spans="2:2" x14ac:dyDescent="0.25">
      <c r="B942" s="28"/>
    </row>
    <row r="943" spans="2:2" x14ac:dyDescent="0.25">
      <c r="B943" s="28"/>
    </row>
    <row r="944" spans="2:2" x14ac:dyDescent="0.25">
      <c r="B944" s="28"/>
    </row>
    <row r="945" spans="2:2" x14ac:dyDescent="0.25">
      <c r="B945" s="28"/>
    </row>
    <row r="946" spans="2:2" x14ac:dyDescent="0.25">
      <c r="B946" s="28"/>
    </row>
    <row r="947" spans="2:2" x14ac:dyDescent="0.25">
      <c r="B947" s="28"/>
    </row>
    <row r="948" spans="2:2" x14ac:dyDescent="0.25">
      <c r="B948" s="28"/>
    </row>
    <row r="949" spans="2:2" x14ac:dyDescent="0.25">
      <c r="B949" s="28"/>
    </row>
    <row r="950" spans="2:2" x14ac:dyDescent="0.25">
      <c r="B950" s="28"/>
    </row>
    <row r="951" spans="2:2" x14ac:dyDescent="0.25">
      <c r="B951" s="28"/>
    </row>
    <row r="952" spans="2:2" x14ac:dyDescent="0.25">
      <c r="B952" s="28"/>
    </row>
    <row r="953" spans="2:2" x14ac:dyDescent="0.25">
      <c r="B953" s="28"/>
    </row>
    <row r="954" spans="2:2" x14ac:dyDescent="0.25">
      <c r="B954" s="28"/>
    </row>
    <row r="955" spans="2:2" x14ac:dyDescent="0.25">
      <c r="B955" s="28"/>
    </row>
    <row r="956" spans="2:2" x14ac:dyDescent="0.25">
      <c r="B956" s="28"/>
    </row>
    <row r="957" spans="2:2" x14ac:dyDescent="0.25">
      <c r="B957" s="28"/>
    </row>
    <row r="958" spans="2:2" x14ac:dyDescent="0.25">
      <c r="B958" s="28"/>
    </row>
    <row r="959" spans="2:2" x14ac:dyDescent="0.25">
      <c r="B959" s="28"/>
    </row>
    <row r="960" spans="2:2" x14ac:dyDescent="0.25">
      <c r="B960" s="28"/>
    </row>
    <row r="961" spans="2:2" x14ac:dyDescent="0.25">
      <c r="B961" s="28"/>
    </row>
    <row r="962" spans="2:2" x14ac:dyDescent="0.25">
      <c r="B962" s="28"/>
    </row>
    <row r="963" spans="2:2" x14ac:dyDescent="0.25">
      <c r="B963" s="28"/>
    </row>
    <row r="964" spans="2:2" x14ac:dyDescent="0.25">
      <c r="B964" s="28"/>
    </row>
    <row r="965" spans="2:2" x14ac:dyDescent="0.25">
      <c r="B965" s="28"/>
    </row>
    <row r="966" spans="2:2" x14ac:dyDescent="0.25">
      <c r="B966" s="28"/>
    </row>
    <row r="967" spans="2:2" x14ac:dyDescent="0.25">
      <c r="B967" s="28"/>
    </row>
    <row r="968" spans="2:2" x14ac:dyDescent="0.25">
      <c r="B968" s="28"/>
    </row>
    <row r="969" spans="2:2" x14ac:dyDescent="0.25">
      <c r="B969" s="28"/>
    </row>
    <row r="970" spans="2:2" x14ac:dyDescent="0.25">
      <c r="B970" s="28"/>
    </row>
    <row r="971" spans="2:2" x14ac:dyDescent="0.25">
      <c r="B971" s="28"/>
    </row>
    <row r="972" spans="2:2" x14ac:dyDescent="0.25">
      <c r="B972" s="28"/>
    </row>
    <row r="973" spans="2:2" x14ac:dyDescent="0.25">
      <c r="B973" s="28"/>
    </row>
    <row r="974" spans="2:2" x14ac:dyDescent="0.25">
      <c r="B974" s="28"/>
    </row>
    <row r="975" spans="2:2" x14ac:dyDescent="0.25">
      <c r="B975" s="28"/>
    </row>
    <row r="976" spans="2:2" x14ac:dyDescent="0.25">
      <c r="B976" s="28"/>
    </row>
    <row r="977" spans="2:2" x14ac:dyDescent="0.25">
      <c r="B977" s="28"/>
    </row>
    <row r="978" spans="2:2" x14ac:dyDescent="0.25">
      <c r="B978" s="28"/>
    </row>
    <row r="979" spans="2:2" x14ac:dyDescent="0.25">
      <c r="B979" s="28"/>
    </row>
    <row r="980" spans="2:2" x14ac:dyDescent="0.25">
      <c r="B980" s="28"/>
    </row>
    <row r="981" spans="2:2" x14ac:dyDescent="0.25">
      <c r="B981" s="28"/>
    </row>
    <row r="982" spans="2:2" x14ac:dyDescent="0.25">
      <c r="B982" s="28"/>
    </row>
    <row r="983" spans="2:2" x14ac:dyDescent="0.25">
      <c r="B983" s="28"/>
    </row>
    <row r="984" spans="2:2" x14ac:dyDescent="0.25">
      <c r="B984" s="28"/>
    </row>
    <row r="985" spans="2:2" x14ac:dyDescent="0.25">
      <c r="B985" s="28"/>
    </row>
    <row r="986" spans="2:2" x14ac:dyDescent="0.25">
      <c r="B986" s="28"/>
    </row>
    <row r="987" spans="2:2" x14ac:dyDescent="0.25">
      <c r="B987" s="28"/>
    </row>
    <row r="988" spans="2:2" x14ac:dyDescent="0.25">
      <c r="B988" s="28"/>
    </row>
    <row r="989" spans="2:2" x14ac:dyDescent="0.25">
      <c r="B989" s="28"/>
    </row>
    <row r="990" spans="2:2" x14ac:dyDescent="0.25">
      <c r="B990" s="28"/>
    </row>
    <row r="991" spans="2:2" x14ac:dyDescent="0.25">
      <c r="B991" s="28"/>
    </row>
    <row r="992" spans="2:2" x14ac:dyDescent="0.25">
      <c r="B992" s="28"/>
    </row>
    <row r="993" spans="2:2" x14ac:dyDescent="0.25">
      <c r="B993" s="28"/>
    </row>
    <row r="994" spans="2:2" x14ac:dyDescent="0.25">
      <c r="B994" s="28"/>
    </row>
    <row r="995" spans="2:2" x14ac:dyDescent="0.25">
      <c r="B995" s="28"/>
    </row>
    <row r="996" spans="2:2" x14ac:dyDescent="0.25">
      <c r="B996" s="28"/>
    </row>
    <row r="997" spans="2:2" x14ac:dyDescent="0.25">
      <c r="B997" s="28"/>
    </row>
    <row r="998" spans="2:2" x14ac:dyDescent="0.25">
      <c r="B998" s="28"/>
    </row>
    <row r="999" spans="2:2" x14ac:dyDescent="0.25">
      <c r="B999" s="28"/>
    </row>
    <row r="1000" spans="2:2" x14ac:dyDescent="0.25">
      <c r="B1000" s="28"/>
    </row>
    <row r="1001" spans="2:2" x14ac:dyDescent="0.25">
      <c r="B1001" s="28"/>
    </row>
    <row r="1002" spans="2:2" x14ac:dyDescent="0.25">
      <c r="B1002" s="28"/>
    </row>
    <row r="1003" spans="2:2" x14ac:dyDescent="0.25">
      <c r="B1003" s="28"/>
    </row>
    <row r="1004" spans="2:2" x14ac:dyDescent="0.25">
      <c r="B1004" s="28"/>
    </row>
    <row r="1005" spans="2:2" x14ac:dyDescent="0.25">
      <c r="B1005" s="28"/>
    </row>
    <row r="1006" spans="2:2" x14ac:dyDescent="0.25">
      <c r="B1006" s="28"/>
    </row>
    <row r="1007" spans="2:2" x14ac:dyDescent="0.25">
      <c r="B1007" s="28"/>
    </row>
    <row r="1008" spans="2:2" x14ac:dyDescent="0.25">
      <c r="B1008" s="28"/>
    </row>
    <row r="1009" spans="2:2" x14ac:dyDescent="0.25">
      <c r="B1009" s="28"/>
    </row>
    <row r="1010" spans="2:2" x14ac:dyDescent="0.25">
      <c r="B1010" s="28"/>
    </row>
    <row r="1011" spans="2:2" x14ac:dyDescent="0.25">
      <c r="B1011" s="28"/>
    </row>
    <row r="1012" spans="2:2" x14ac:dyDescent="0.25">
      <c r="B1012" s="28"/>
    </row>
    <row r="1013" spans="2:2" x14ac:dyDescent="0.25">
      <c r="B1013" s="28"/>
    </row>
    <row r="1014" spans="2:2" x14ac:dyDescent="0.25">
      <c r="B1014" s="28"/>
    </row>
    <row r="1015" spans="2:2" x14ac:dyDescent="0.25">
      <c r="B1015" s="28"/>
    </row>
    <row r="1016" spans="2:2" x14ac:dyDescent="0.25">
      <c r="B1016" s="28"/>
    </row>
    <row r="1017" spans="2:2" x14ac:dyDescent="0.25">
      <c r="B1017" s="28"/>
    </row>
    <row r="1018" spans="2:2" x14ac:dyDescent="0.25">
      <c r="B1018" s="28"/>
    </row>
    <row r="1019" spans="2:2" x14ac:dyDescent="0.25">
      <c r="B1019" s="28"/>
    </row>
    <row r="1020" spans="2:2" x14ac:dyDescent="0.25">
      <c r="B1020" s="28"/>
    </row>
    <row r="1021" spans="2:2" x14ac:dyDescent="0.25">
      <c r="B1021" s="28"/>
    </row>
    <row r="1022" spans="2:2" x14ac:dyDescent="0.25">
      <c r="B1022" s="28"/>
    </row>
    <row r="1023" spans="2:2" x14ac:dyDescent="0.25">
      <c r="B1023" s="28"/>
    </row>
    <row r="1024" spans="2:2" x14ac:dyDescent="0.25">
      <c r="B1024" s="28"/>
    </row>
    <row r="1025" spans="2:2" x14ac:dyDescent="0.25">
      <c r="B1025" s="28"/>
    </row>
    <row r="1026" spans="2:2" x14ac:dyDescent="0.25">
      <c r="B1026" s="28"/>
    </row>
    <row r="1027" spans="2:2" x14ac:dyDescent="0.25">
      <c r="B1027" s="28"/>
    </row>
    <row r="1028" spans="2:2" x14ac:dyDescent="0.25">
      <c r="B1028" s="28"/>
    </row>
    <row r="1029" spans="2:2" x14ac:dyDescent="0.25">
      <c r="B1029" s="28"/>
    </row>
    <row r="1030" spans="2:2" x14ac:dyDescent="0.25">
      <c r="B1030" s="28"/>
    </row>
    <row r="1031" spans="2:2" x14ac:dyDescent="0.25">
      <c r="B1031" s="28"/>
    </row>
    <row r="1032" spans="2:2" x14ac:dyDescent="0.25">
      <c r="B1032" s="28"/>
    </row>
    <row r="1033" spans="2:2" x14ac:dyDescent="0.25">
      <c r="B1033" s="28"/>
    </row>
    <row r="1034" spans="2:2" x14ac:dyDescent="0.25">
      <c r="B1034" s="28"/>
    </row>
    <row r="1035" spans="2:2" x14ac:dyDescent="0.25">
      <c r="B1035" s="28"/>
    </row>
    <row r="1036" spans="2:2" x14ac:dyDescent="0.25">
      <c r="B1036" s="28"/>
    </row>
    <row r="1037" spans="2:2" x14ac:dyDescent="0.25">
      <c r="B1037" s="28"/>
    </row>
    <row r="1038" spans="2:2" x14ac:dyDescent="0.25">
      <c r="B1038" s="28"/>
    </row>
    <row r="1039" spans="2:2" x14ac:dyDescent="0.25">
      <c r="B1039" s="28"/>
    </row>
    <row r="1040" spans="2:2" x14ac:dyDescent="0.25">
      <c r="B1040" s="28"/>
    </row>
    <row r="1041" spans="2:2" x14ac:dyDescent="0.25">
      <c r="B1041" s="28"/>
    </row>
    <row r="1042" spans="2:2" x14ac:dyDescent="0.25">
      <c r="B1042" s="28"/>
    </row>
    <row r="1043" spans="2:2" x14ac:dyDescent="0.25">
      <c r="B1043" s="28"/>
    </row>
    <row r="1044" spans="2:2" x14ac:dyDescent="0.25">
      <c r="B1044" s="28"/>
    </row>
    <row r="1045" spans="2:2" x14ac:dyDescent="0.25">
      <c r="B1045" s="28"/>
    </row>
    <row r="1046" spans="2:2" x14ac:dyDescent="0.25">
      <c r="B1046" s="28"/>
    </row>
    <row r="1047" spans="2:2" x14ac:dyDescent="0.25">
      <c r="B1047" s="28"/>
    </row>
    <row r="1048" spans="2:2" x14ac:dyDescent="0.25">
      <c r="B1048" s="28"/>
    </row>
    <row r="1049" spans="2:2" x14ac:dyDescent="0.25">
      <c r="B1049" s="28"/>
    </row>
    <row r="1050" spans="2:2" x14ac:dyDescent="0.25">
      <c r="B1050" s="28"/>
    </row>
    <row r="1051" spans="2:2" x14ac:dyDescent="0.25">
      <c r="B1051" s="28"/>
    </row>
    <row r="1052" spans="2:2" x14ac:dyDescent="0.25">
      <c r="B1052" s="28"/>
    </row>
    <row r="1053" spans="2:2" x14ac:dyDescent="0.25">
      <c r="B1053" s="28"/>
    </row>
    <row r="1054" spans="2:2" x14ac:dyDescent="0.25">
      <c r="B1054" s="28"/>
    </row>
    <row r="1055" spans="2:2" x14ac:dyDescent="0.25">
      <c r="B1055" s="28"/>
    </row>
    <row r="1056" spans="2:2" x14ac:dyDescent="0.25">
      <c r="B1056" s="28"/>
    </row>
    <row r="1057" spans="2:2" x14ac:dyDescent="0.25">
      <c r="B1057" s="28"/>
    </row>
    <row r="1058" spans="2:2" x14ac:dyDescent="0.25">
      <c r="B1058" s="28"/>
    </row>
    <row r="1059" spans="2:2" x14ac:dyDescent="0.25">
      <c r="B1059" s="28"/>
    </row>
    <row r="1060" spans="2:2" x14ac:dyDescent="0.25">
      <c r="B1060" s="28"/>
    </row>
    <row r="1061" spans="2:2" x14ac:dyDescent="0.25">
      <c r="B1061" s="28"/>
    </row>
    <row r="1062" spans="2:2" x14ac:dyDescent="0.25">
      <c r="B1062" s="28"/>
    </row>
    <row r="1063" spans="2:2" x14ac:dyDescent="0.25">
      <c r="B1063" s="28"/>
    </row>
    <row r="1064" spans="2:2" x14ac:dyDescent="0.25">
      <c r="B1064" s="28"/>
    </row>
    <row r="1065" spans="2:2" x14ac:dyDescent="0.25">
      <c r="B1065" s="28"/>
    </row>
    <row r="1066" spans="2:2" x14ac:dyDescent="0.25">
      <c r="B1066" s="28"/>
    </row>
    <row r="1067" spans="2:2" x14ac:dyDescent="0.25">
      <c r="B1067" s="28"/>
    </row>
    <row r="1068" spans="2:2" x14ac:dyDescent="0.25">
      <c r="B1068" s="28"/>
    </row>
    <row r="1069" spans="2:2" x14ac:dyDescent="0.25">
      <c r="B1069" s="28"/>
    </row>
    <row r="1070" spans="2:2" x14ac:dyDescent="0.25">
      <c r="B1070" s="28"/>
    </row>
    <row r="1071" spans="2:2" x14ac:dyDescent="0.25">
      <c r="B1071" s="28"/>
    </row>
    <row r="1072" spans="2:2" x14ac:dyDescent="0.25">
      <c r="B1072" s="28"/>
    </row>
    <row r="1073" spans="2:2" x14ac:dyDescent="0.25">
      <c r="B1073" s="28"/>
    </row>
    <row r="1074" spans="2:2" x14ac:dyDescent="0.25">
      <c r="B1074" s="28"/>
    </row>
    <row r="1075" spans="2:2" x14ac:dyDescent="0.25">
      <c r="B1075" s="28"/>
    </row>
    <row r="1076" spans="2:2" x14ac:dyDescent="0.25">
      <c r="B1076" s="28"/>
    </row>
    <row r="1077" spans="2:2" x14ac:dyDescent="0.25">
      <c r="B1077" s="28"/>
    </row>
    <row r="1078" spans="2:2" x14ac:dyDescent="0.25">
      <c r="B1078" s="28"/>
    </row>
    <row r="1079" spans="2:2" x14ac:dyDescent="0.25">
      <c r="B1079" s="28"/>
    </row>
    <row r="1080" spans="2:2" x14ac:dyDescent="0.25">
      <c r="B1080" s="28"/>
    </row>
    <row r="1081" spans="2:2" x14ac:dyDescent="0.25">
      <c r="B1081" s="28"/>
    </row>
    <row r="1082" spans="2:2" x14ac:dyDescent="0.25">
      <c r="B1082" s="28"/>
    </row>
    <row r="1083" spans="2:2" x14ac:dyDescent="0.25">
      <c r="B1083" s="28"/>
    </row>
    <row r="1084" spans="2:2" x14ac:dyDescent="0.25">
      <c r="B1084" s="28"/>
    </row>
    <row r="1085" spans="2:2" x14ac:dyDescent="0.25">
      <c r="B1085" s="28"/>
    </row>
    <row r="1086" spans="2:2" x14ac:dyDescent="0.25">
      <c r="B1086" s="28"/>
    </row>
    <row r="1087" spans="2:2" x14ac:dyDescent="0.25">
      <c r="B1087" s="28"/>
    </row>
    <row r="1088" spans="2:2" x14ac:dyDescent="0.25">
      <c r="B1088" s="28"/>
    </row>
    <row r="1089" spans="2:2" x14ac:dyDescent="0.25">
      <c r="B1089" s="28"/>
    </row>
    <row r="1090" spans="2:2" x14ac:dyDescent="0.25">
      <c r="B1090" s="28"/>
    </row>
    <row r="1091" spans="2:2" x14ac:dyDescent="0.25">
      <c r="B1091" s="28"/>
    </row>
    <row r="1092" spans="2:2" x14ac:dyDescent="0.25">
      <c r="B1092" s="28"/>
    </row>
    <row r="1093" spans="2:2" x14ac:dyDescent="0.25">
      <c r="B1093" s="28"/>
    </row>
    <row r="1094" spans="2:2" x14ac:dyDescent="0.25">
      <c r="B1094" s="28"/>
    </row>
    <row r="1095" spans="2:2" x14ac:dyDescent="0.25">
      <c r="B1095" s="28"/>
    </row>
    <row r="1096" spans="2:2" x14ac:dyDescent="0.25">
      <c r="B1096" s="28"/>
    </row>
    <row r="1097" spans="2:2" x14ac:dyDescent="0.25">
      <c r="B1097" s="28"/>
    </row>
    <row r="1098" spans="2:2" x14ac:dyDescent="0.25">
      <c r="B1098" s="28"/>
    </row>
    <row r="1099" spans="2:2" x14ac:dyDescent="0.25">
      <c r="B1099" s="28"/>
    </row>
    <row r="1100" spans="2:2" x14ac:dyDescent="0.25">
      <c r="B1100" s="28"/>
    </row>
    <row r="1101" spans="2:2" x14ac:dyDescent="0.25">
      <c r="B1101" s="28"/>
    </row>
    <row r="1102" spans="2:2" x14ac:dyDescent="0.25">
      <c r="B1102" s="28"/>
    </row>
    <row r="1103" spans="2:2" x14ac:dyDescent="0.25">
      <c r="B1103" s="28"/>
    </row>
    <row r="1104" spans="2:2" x14ac:dyDescent="0.25">
      <c r="B1104" s="28"/>
    </row>
    <row r="1105" spans="2:2" x14ac:dyDescent="0.25">
      <c r="B1105" s="28"/>
    </row>
    <row r="1106" spans="2:2" x14ac:dyDescent="0.25">
      <c r="B1106" s="28"/>
    </row>
    <row r="1107" spans="2:2" x14ac:dyDescent="0.25">
      <c r="B1107" s="28"/>
    </row>
    <row r="1108" spans="2:2" x14ac:dyDescent="0.25">
      <c r="B1108" s="28"/>
    </row>
    <row r="1109" spans="2:2" x14ac:dyDescent="0.25">
      <c r="B1109" s="28"/>
    </row>
    <row r="1110" spans="2:2" x14ac:dyDescent="0.25">
      <c r="B1110" s="28"/>
    </row>
    <row r="1111" spans="2:2" x14ac:dyDescent="0.25">
      <c r="B1111" s="28"/>
    </row>
    <row r="1112" spans="2:2" x14ac:dyDescent="0.25">
      <c r="B1112" s="28"/>
    </row>
    <row r="1113" spans="2:2" x14ac:dyDescent="0.25">
      <c r="B1113" s="28"/>
    </row>
    <row r="1114" spans="2:2" x14ac:dyDescent="0.25">
      <c r="B1114" s="28"/>
    </row>
    <row r="1115" spans="2:2" x14ac:dyDescent="0.25">
      <c r="B1115" s="28"/>
    </row>
    <row r="1116" spans="2:2" x14ac:dyDescent="0.25">
      <c r="B1116" s="28"/>
    </row>
    <row r="1117" spans="2:2" x14ac:dyDescent="0.25">
      <c r="B1117" s="28"/>
    </row>
    <row r="1118" spans="2:2" x14ac:dyDescent="0.25">
      <c r="B1118" s="28"/>
    </row>
    <row r="1119" spans="2:2" x14ac:dyDescent="0.25">
      <c r="B1119" s="28"/>
    </row>
    <row r="1120" spans="2:2" x14ac:dyDescent="0.25">
      <c r="B1120" s="28"/>
    </row>
    <row r="1121" spans="2:2" x14ac:dyDescent="0.25">
      <c r="B1121" s="28"/>
    </row>
    <row r="1122" spans="2:2" x14ac:dyDescent="0.25">
      <c r="B1122" s="28"/>
    </row>
    <row r="1123" spans="2:2" x14ac:dyDescent="0.25">
      <c r="B1123" s="28"/>
    </row>
    <row r="1124" spans="2:2" x14ac:dyDescent="0.25">
      <c r="B1124" s="28"/>
    </row>
    <row r="1125" spans="2:2" x14ac:dyDescent="0.25">
      <c r="B1125" s="28"/>
    </row>
    <row r="1126" spans="2:2" x14ac:dyDescent="0.25">
      <c r="B1126" s="28"/>
    </row>
    <row r="1127" spans="2:2" x14ac:dyDescent="0.25">
      <c r="B1127" s="28"/>
    </row>
    <row r="1128" spans="2:2" x14ac:dyDescent="0.25">
      <c r="B1128" s="28"/>
    </row>
    <row r="1129" spans="2:2" x14ac:dyDescent="0.25">
      <c r="B1129" s="28"/>
    </row>
    <row r="1130" spans="2:2" x14ac:dyDescent="0.25">
      <c r="B1130" s="28"/>
    </row>
    <row r="1131" spans="2:2" x14ac:dyDescent="0.25">
      <c r="B1131" s="28"/>
    </row>
    <row r="1132" spans="2:2" x14ac:dyDescent="0.25">
      <c r="B1132" s="28"/>
    </row>
    <row r="1133" spans="2:2" x14ac:dyDescent="0.25">
      <c r="B1133" s="28"/>
    </row>
    <row r="1134" spans="2:2" x14ac:dyDescent="0.25">
      <c r="B1134" s="28"/>
    </row>
    <row r="1135" spans="2:2" x14ac:dyDescent="0.25">
      <c r="B1135" s="28"/>
    </row>
    <row r="1136" spans="2:2" x14ac:dyDescent="0.25">
      <c r="B1136" s="28"/>
    </row>
    <row r="1137" spans="2:2" x14ac:dyDescent="0.25">
      <c r="B1137" s="28"/>
    </row>
    <row r="1138" spans="2:2" x14ac:dyDescent="0.25">
      <c r="B1138" s="28"/>
    </row>
    <row r="1139" spans="2:2" x14ac:dyDescent="0.25">
      <c r="B1139" s="28"/>
    </row>
    <row r="1140" spans="2:2" x14ac:dyDescent="0.25">
      <c r="B1140" s="28"/>
    </row>
    <row r="1141" spans="2:2" x14ac:dyDescent="0.25">
      <c r="B1141" s="28"/>
    </row>
    <row r="1142" spans="2:2" x14ac:dyDescent="0.25">
      <c r="B1142" s="28"/>
    </row>
    <row r="1143" spans="2:2" x14ac:dyDescent="0.25">
      <c r="B1143" s="28"/>
    </row>
    <row r="1144" spans="2:2" x14ac:dyDescent="0.25">
      <c r="B1144" s="28"/>
    </row>
    <row r="1145" spans="2:2" x14ac:dyDescent="0.25">
      <c r="B1145" s="28"/>
    </row>
    <row r="1146" spans="2:2" x14ac:dyDescent="0.25">
      <c r="B1146" s="28"/>
    </row>
    <row r="1147" spans="2:2" x14ac:dyDescent="0.25">
      <c r="B1147" s="28"/>
    </row>
    <row r="1148" spans="2:2" x14ac:dyDescent="0.25">
      <c r="B1148" s="28"/>
    </row>
    <row r="1149" spans="2:2" x14ac:dyDescent="0.25">
      <c r="B1149" s="28"/>
    </row>
    <row r="1150" spans="2:2" x14ac:dyDescent="0.25">
      <c r="B1150" s="28"/>
    </row>
    <row r="1151" spans="2:2" x14ac:dyDescent="0.25">
      <c r="B1151" s="28"/>
    </row>
    <row r="1152" spans="2:2" x14ac:dyDescent="0.25">
      <c r="B1152" s="28"/>
    </row>
    <row r="1153" spans="2:2" x14ac:dyDescent="0.25">
      <c r="B1153" s="28"/>
    </row>
    <row r="1154" spans="2:2" x14ac:dyDescent="0.25">
      <c r="B1154" s="28"/>
    </row>
    <row r="1155" spans="2:2" x14ac:dyDescent="0.25">
      <c r="B1155" s="28"/>
    </row>
    <row r="1156" spans="2:2" x14ac:dyDescent="0.25">
      <c r="B1156" s="28"/>
    </row>
    <row r="1157" spans="2:2" x14ac:dyDescent="0.25">
      <c r="B1157" s="28"/>
    </row>
    <row r="1158" spans="2:2" x14ac:dyDescent="0.25">
      <c r="B1158" s="28"/>
    </row>
    <row r="1159" spans="2:2" x14ac:dyDescent="0.25">
      <c r="B1159" s="28"/>
    </row>
    <row r="1160" spans="2:2" x14ac:dyDescent="0.25">
      <c r="B1160" s="28"/>
    </row>
    <row r="1161" spans="2:2" x14ac:dyDescent="0.25">
      <c r="B1161" s="28"/>
    </row>
    <row r="1162" spans="2:2" x14ac:dyDescent="0.25">
      <c r="B1162" s="28"/>
    </row>
    <row r="1163" spans="2:2" x14ac:dyDescent="0.25">
      <c r="B1163" s="28"/>
    </row>
    <row r="1164" spans="2:2" x14ac:dyDescent="0.25">
      <c r="B1164" s="28"/>
    </row>
    <row r="1165" spans="2:2" x14ac:dyDescent="0.25">
      <c r="B1165" s="28"/>
    </row>
    <row r="1166" spans="2:2" x14ac:dyDescent="0.25">
      <c r="B1166" s="28"/>
    </row>
    <row r="1167" spans="2:2" x14ac:dyDescent="0.25">
      <c r="B1167" s="28"/>
    </row>
    <row r="1168" spans="2:2" x14ac:dyDescent="0.25">
      <c r="B1168" s="28"/>
    </row>
    <row r="1169" spans="2:2" x14ac:dyDescent="0.25">
      <c r="B1169" s="28"/>
    </row>
    <row r="1170" spans="2:2" x14ac:dyDescent="0.25">
      <c r="B1170" s="28"/>
    </row>
    <row r="1171" spans="2:2" x14ac:dyDescent="0.25">
      <c r="B1171" s="28"/>
    </row>
    <row r="1172" spans="2:2" x14ac:dyDescent="0.25">
      <c r="B1172" s="28"/>
    </row>
    <row r="1173" spans="2:2" x14ac:dyDescent="0.25">
      <c r="B1173" s="28"/>
    </row>
    <row r="1174" spans="2:2" x14ac:dyDescent="0.25">
      <c r="B1174" s="28"/>
    </row>
    <row r="1175" spans="2:2" x14ac:dyDescent="0.25">
      <c r="B1175" s="28"/>
    </row>
    <row r="1176" spans="2:2" x14ac:dyDescent="0.25">
      <c r="B1176" s="28"/>
    </row>
    <row r="1177" spans="2:2" x14ac:dyDescent="0.25">
      <c r="B1177" s="28"/>
    </row>
    <row r="1178" spans="2:2" x14ac:dyDescent="0.25">
      <c r="B1178" s="28"/>
    </row>
    <row r="1179" spans="2:2" x14ac:dyDescent="0.25">
      <c r="B1179" s="28"/>
    </row>
    <row r="1180" spans="2:2" x14ac:dyDescent="0.25">
      <c r="B1180" s="28"/>
    </row>
    <row r="1181" spans="2:2" x14ac:dyDescent="0.25">
      <c r="B1181" s="28"/>
    </row>
    <row r="1182" spans="2:2" x14ac:dyDescent="0.25">
      <c r="B1182" s="28"/>
    </row>
    <row r="1183" spans="2:2" x14ac:dyDescent="0.25">
      <c r="B1183" s="28"/>
    </row>
    <row r="1184" spans="2:2" x14ac:dyDescent="0.25">
      <c r="B1184" s="28"/>
    </row>
    <row r="1185" spans="2:2" x14ac:dyDescent="0.25">
      <c r="B1185" s="28"/>
    </row>
    <row r="1186" spans="2:2" x14ac:dyDescent="0.25">
      <c r="B1186" s="28"/>
    </row>
    <row r="1187" spans="2:2" x14ac:dyDescent="0.25">
      <c r="B1187" s="28"/>
    </row>
    <row r="1188" spans="2:2" x14ac:dyDescent="0.25">
      <c r="B1188" s="28"/>
    </row>
    <row r="1189" spans="2:2" x14ac:dyDescent="0.25">
      <c r="B1189" s="28"/>
    </row>
    <row r="1190" spans="2:2" x14ac:dyDescent="0.25">
      <c r="B1190" s="28"/>
    </row>
    <row r="1191" spans="2:2" x14ac:dyDescent="0.25">
      <c r="B1191" s="28"/>
    </row>
    <row r="1192" spans="2:2" x14ac:dyDescent="0.25">
      <c r="B1192" s="28"/>
    </row>
    <row r="1193" spans="2:2" x14ac:dyDescent="0.25">
      <c r="B1193" s="28"/>
    </row>
    <row r="1194" spans="2:2" x14ac:dyDescent="0.25">
      <c r="B1194" s="28"/>
    </row>
    <row r="1195" spans="2:2" x14ac:dyDescent="0.25">
      <c r="B1195" s="28"/>
    </row>
    <row r="1196" spans="2:2" x14ac:dyDescent="0.25">
      <c r="B1196" s="28"/>
    </row>
    <row r="1197" spans="2:2" x14ac:dyDescent="0.25">
      <c r="B1197" s="28"/>
    </row>
    <row r="1198" spans="2:2" x14ac:dyDescent="0.25">
      <c r="B1198" s="28"/>
    </row>
    <row r="1199" spans="2:2" x14ac:dyDescent="0.25">
      <c r="B1199" s="28"/>
    </row>
    <row r="1200" spans="2:2" x14ac:dyDescent="0.25">
      <c r="B1200" s="28"/>
    </row>
    <row r="1201" spans="2:2" x14ac:dyDescent="0.25">
      <c r="B1201" s="28"/>
    </row>
    <row r="1202" spans="2:2" x14ac:dyDescent="0.25">
      <c r="B1202" s="28"/>
    </row>
    <row r="1203" spans="2:2" x14ac:dyDescent="0.25">
      <c r="B1203" s="28"/>
    </row>
    <row r="1204" spans="2:2" x14ac:dyDescent="0.25">
      <c r="B1204" s="28"/>
    </row>
    <row r="1205" spans="2:2" x14ac:dyDescent="0.25">
      <c r="B1205" s="28"/>
    </row>
    <row r="1206" spans="2:2" x14ac:dyDescent="0.25">
      <c r="B1206" s="28"/>
    </row>
    <row r="1207" spans="2:2" x14ac:dyDescent="0.25">
      <c r="B1207" s="28"/>
    </row>
    <row r="1208" spans="2:2" x14ac:dyDescent="0.25">
      <c r="B1208" s="28"/>
    </row>
    <row r="1209" spans="2:2" x14ac:dyDescent="0.25">
      <c r="B1209" s="28"/>
    </row>
    <row r="1210" spans="2:2" x14ac:dyDescent="0.25">
      <c r="B1210" s="28"/>
    </row>
    <row r="1211" spans="2:2" x14ac:dyDescent="0.25">
      <c r="B1211" s="28"/>
    </row>
    <row r="1212" spans="2:2" x14ac:dyDescent="0.25">
      <c r="B1212" s="28"/>
    </row>
    <row r="1213" spans="2:2" x14ac:dyDescent="0.25">
      <c r="B1213" s="28"/>
    </row>
    <row r="1214" spans="2:2" x14ac:dyDescent="0.25">
      <c r="B1214" s="28"/>
    </row>
    <row r="1215" spans="2:2" x14ac:dyDescent="0.25">
      <c r="B1215" s="28"/>
    </row>
    <row r="1216" spans="2:2" x14ac:dyDescent="0.25">
      <c r="B1216" s="28"/>
    </row>
    <row r="1217" spans="2:2" x14ac:dyDescent="0.25">
      <c r="B1217" s="28"/>
    </row>
    <row r="1218" spans="2:2" x14ac:dyDescent="0.25">
      <c r="B1218" s="28"/>
    </row>
    <row r="1219" spans="2:2" x14ac:dyDescent="0.25">
      <c r="B1219" s="28"/>
    </row>
    <row r="1220" spans="2:2" x14ac:dyDescent="0.25">
      <c r="B1220" s="28"/>
    </row>
    <row r="1221" spans="2:2" x14ac:dyDescent="0.25">
      <c r="B1221" s="28"/>
    </row>
    <row r="1222" spans="2:2" x14ac:dyDescent="0.25">
      <c r="B1222" s="28"/>
    </row>
    <row r="1223" spans="2:2" x14ac:dyDescent="0.25">
      <c r="B1223" s="28"/>
    </row>
    <row r="1224" spans="2:2" x14ac:dyDescent="0.25">
      <c r="B1224" s="28"/>
    </row>
    <row r="1225" spans="2:2" x14ac:dyDescent="0.25">
      <c r="B1225" s="28"/>
    </row>
    <row r="1226" spans="2:2" x14ac:dyDescent="0.25">
      <c r="B1226" s="28"/>
    </row>
    <row r="1227" spans="2:2" x14ac:dyDescent="0.25">
      <c r="B1227" s="28"/>
    </row>
    <row r="1228" spans="2:2" x14ac:dyDescent="0.25">
      <c r="B1228" s="28"/>
    </row>
    <row r="1229" spans="2:2" x14ac:dyDescent="0.25">
      <c r="B1229" s="28"/>
    </row>
    <row r="1230" spans="2:2" x14ac:dyDescent="0.25">
      <c r="B1230" s="28"/>
    </row>
    <row r="1231" spans="2:2" x14ac:dyDescent="0.25">
      <c r="B1231" s="28"/>
    </row>
    <row r="1232" spans="2:2" x14ac:dyDescent="0.25">
      <c r="B1232" s="28"/>
    </row>
    <row r="1233" spans="2:2" x14ac:dyDescent="0.25">
      <c r="B1233" s="28"/>
    </row>
    <row r="1234" spans="2:2" x14ac:dyDescent="0.25">
      <c r="B1234" s="28"/>
    </row>
    <row r="1235" spans="2:2" x14ac:dyDescent="0.25">
      <c r="B1235" s="28"/>
    </row>
    <row r="1236" spans="2:2" x14ac:dyDescent="0.25">
      <c r="B1236" s="28"/>
    </row>
    <row r="1237" spans="2:2" x14ac:dyDescent="0.25">
      <c r="B1237" s="28"/>
    </row>
    <row r="1238" spans="2:2" x14ac:dyDescent="0.25">
      <c r="B1238" s="28"/>
    </row>
    <row r="1239" spans="2:2" x14ac:dyDescent="0.25">
      <c r="B1239" s="28"/>
    </row>
    <row r="1240" spans="2:2" x14ac:dyDescent="0.25">
      <c r="B1240" s="28"/>
    </row>
    <row r="1241" spans="2:2" x14ac:dyDescent="0.25">
      <c r="B1241" s="28"/>
    </row>
    <row r="1242" spans="2:2" x14ac:dyDescent="0.25">
      <c r="B1242" s="28"/>
    </row>
    <row r="1243" spans="2:2" x14ac:dyDescent="0.25">
      <c r="B1243" s="28"/>
    </row>
    <row r="1244" spans="2:2" x14ac:dyDescent="0.25">
      <c r="B1244" s="28"/>
    </row>
    <row r="1245" spans="2:2" x14ac:dyDescent="0.25">
      <c r="B1245" s="28"/>
    </row>
    <row r="1246" spans="2:2" x14ac:dyDescent="0.25">
      <c r="B1246" s="28"/>
    </row>
    <row r="1247" spans="2:2" x14ac:dyDescent="0.25">
      <c r="B1247" s="28"/>
    </row>
    <row r="1248" spans="2:2" x14ac:dyDescent="0.25">
      <c r="B1248" s="28"/>
    </row>
    <row r="1249" spans="2:2" x14ac:dyDescent="0.25">
      <c r="B1249" s="28"/>
    </row>
    <row r="1250" spans="2:2" x14ac:dyDescent="0.25">
      <c r="B1250" s="28"/>
    </row>
    <row r="1251" spans="2:2" x14ac:dyDescent="0.25">
      <c r="B1251" s="28"/>
    </row>
    <row r="1252" spans="2:2" x14ac:dyDescent="0.25">
      <c r="B1252" s="28"/>
    </row>
  </sheetData>
  <mergeCells count="1">
    <mergeCell ref="A1:S1"/>
  </mergeCells>
  <conditionalFormatting sqref="D12:D18">
    <cfRule type="dataBar" priority="1">
      <dataBar>
        <cfvo type="min"/>
        <cfvo type="max"/>
        <color rgb="FF638EC6"/>
      </dataBar>
      <extLst>
        <ext xmlns:x14="http://schemas.microsoft.com/office/spreadsheetml/2009/9/main" uri="{B025F937-C7B1-47D3-B67F-A62EFF666E3E}">
          <x14:id>{122AC8E3-AAB0-4FC5-AE79-EE3D05BACFAB}</x14:id>
        </ext>
      </extLst>
    </cfRule>
  </conditionalFormatting>
  <dataValidations count="4">
    <dataValidation type="list" allowBlank="1" showInputMessage="1" showErrorMessage="1" sqref="A6" xr:uid="{4BBD5748-56F4-4006-A0F3-306860F1EDFA}">
      <formula1>Product_List</formula1>
    </dataValidation>
    <dataValidation type="list" allowBlank="1" showInputMessage="1" showErrorMessage="1" sqref="B55" xr:uid="{AA902125-274E-4D40-ADB8-2A28582A115B}">
      <formula1>"All,Composite,Machining,Spares &amp; Repairs,Sheet Metal,Assembly,Surface Treatment"</formula1>
    </dataValidation>
    <dataValidation type="list" allowBlank="1" showInputMessage="1" showErrorMessage="1" sqref="B56" xr:uid="{413489C8-DF6C-4C72-BB50-DF3BEB9352E2}">
      <formula1>"All,Day,Evening,Night"</formula1>
    </dataValidation>
    <dataValidation type="list" allowBlank="1" showInputMessage="1" showErrorMessage="1" sqref="B57" xr:uid="{768D2936-7BEA-4076-BB87-7797C4E97757}">
      <formula1>"All,Passed,Rework,Rejected,Not Recorded"</formula1>
    </dataValidation>
  </dataValidation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dataBar" id="{122AC8E3-AAB0-4FC5-AE79-EE3D05BACFAB}">
            <x14:dataBar minLength="0" maxLength="100" border="1" negativeBarBorderColorSameAsPositive="0">
              <x14:cfvo type="autoMin"/>
              <x14:cfvo type="autoMax"/>
              <x14:borderColor rgb="FF638EC6"/>
              <x14:negativeFillColor rgb="FFFF0000"/>
              <x14:negativeBorderColor rgb="FFFF0000"/>
              <x14:axisColor rgb="FF000000"/>
            </x14:dataBar>
          </x14:cfRule>
          <xm:sqref>D12:D18</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
  <sheetViews>
    <sheetView workbookViewId="0">
      <selection activeCell="D18" sqref="D18"/>
    </sheetView>
  </sheetViews>
  <sheetFormatPr defaultRowHeight="15" x14ac:dyDescent="0.25"/>
  <cols>
    <col min="1" max="1" width="28.7109375" customWidth="1"/>
    <col min="2" max="3" width="20.7109375" customWidth="1"/>
    <col min="4" max="4" width="18.85546875" customWidth="1"/>
  </cols>
  <sheetData>
    <row r="1" spans="1:4" x14ac:dyDescent="0.25">
      <c r="A1" s="3" t="s">
        <v>2</v>
      </c>
      <c r="B1" s="3" t="s">
        <v>3</v>
      </c>
      <c r="C1" s="3" t="s">
        <v>1292</v>
      </c>
      <c r="D1" s="3" t="s">
        <v>1293</v>
      </c>
    </row>
    <row r="2" spans="1:4" x14ac:dyDescent="0.25">
      <c r="A2" t="s">
        <v>80</v>
      </c>
      <c r="B2" t="s">
        <v>21</v>
      </c>
      <c r="C2">
        <v>420</v>
      </c>
      <c r="D2" t="s">
        <v>1294</v>
      </c>
    </row>
    <row r="3" spans="1:4" x14ac:dyDescent="0.25">
      <c r="A3" t="s">
        <v>20</v>
      </c>
      <c r="B3" t="s">
        <v>21</v>
      </c>
      <c r="C3">
        <v>510</v>
      </c>
      <c r="D3" t="s">
        <v>1295</v>
      </c>
    </row>
    <row r="4" spans="1:4" x14ac:dyDescent="0.25">
      <c r="A4" t="s">
        <v>43</v>
      </c>
      <c r="B4" t="s">
        <v>44</v>
      </c>
      <c r="C4">
        <v>185</v>
      </c>
      <c r="D4" t="s">
        <v>1296</v>
      </c>
    </row>
    <row r="5" spans="1:4" x14ac:dyDescent="0.25">
      <c r="A5" t="s">
        <v>28</v>
      </c>
      <c r="B5" t="s">
        <v>29</v>
      </c>
      <c r="C5">
        <v>360</v>
      </c>
      <c r="D5" t="s">
        <v>1297</v>
      </c>
    </row>
    <row r="6" spans="1:4" x14ac:dyDescent="0.25">
      <c r="A6" t="s">
        <v>59</v>
      </c>
      <c r="B6" t="s">
        <v>49</v>
      </c>
      <c r="C6">
        <v>275</v>
      </c>
      <c r="D6" t="s">
        <v>1298</v>
      </c>
    </row>
    <row r="7" spans="1:4" x14ac:dyDescent="0.25">
      <c r="A7" t="s">
        <v>48</v>
      </c>
      <c r="B7" t="s">
        <v>49</v>
      </c>
      <c r="C7">
        <v>315</v>
      </c>
      <c r="D7" t="s">
        <v>1299</v>
      </c>
    </row>
    <row r="8" spans="1:4" x14ac:dyDescent="0.25">
      <c r="A8" t="s">
        <v>35</v>
      </c>
      <c r="B8" t="s">
        <v>36</v>
      </c>
      <c r="C8">
        <v>145</v>
      </c>
      <c r="D8" t="s">
        <v>1300</v>
      </c>
    </row>
    <row r="9" spans="1:4" x14ac:dyDescent="0.25">
      <c r="A9" t="s">
        <v>53</v>
      </c>
      <c r="B9" t="s">
        <v>54</v>
      </c>
      <c r="C9">
        <v>225</v>
      </c>
      <c r="D9" t="s">
        <v>1301</v>
      </c>
    </row>
    <row r="10" spans="1:4" x14ac:dyDescent="0.25">
      <c r="A10" t="s">
        <v>1304</v>
      </c>
      <c r="B10" t="s">
        <v>21</v>
      </c>
      <c r="C10">
        <v>120</v>
      </c>
      <c r="D10" t="s">
        <v>1305</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A2624-5AA4-4236-9A2E-3961AB0BE100}">
  <dimension ref="A1:G90"/>
  <sheetViews>
    <sheetView topLeftCell="E16" zoomScale="90" zoomScaleNormal="90" workbookViewId="0">
      <selection activeCell="Z31" sqref="Z31"/>
    </sheetView>
  </sheetViews>
  <sheetFormatPr defaultRowHeight="15" x14ac:dyDescent="0.25"/>
  <cols>
    <col min="1" max="1" width="21.7109375" bestFit="1" customWidth="1"/>
    <col min="2" max="3" width="22" bestFit="1" customWidth="1"/>
    <col min="4" max="4" width="12.5703125" bestFit="1" customWidth="1"/>
  </cols>
  <sheetData>
    <row r="1" spans="1:7" ht="26.25" x14ac:dyDescent="0.4">
      <c r="A1" s="40" t="s">
        <v>1342</v>
      </c>
    </row>
    <row r="2" spans="1:7" ht="21" customHeight="1" x14ac:dyDescent="0.4">
      <c r="G2" s="43" t="s">
        <v>1347</v>
      </c>
    </row>
    <row r="3" spans="1:7" x14ac:dyDescent="0.25">
      <c r="A3" s="35" t="s">
        <v>1332</v>
      </c>
      <c r="B3" s="12" t="s">
        <v>1340</v>
      </c>
      <c r="C3" s="12" t="s">
        <v>1341</v>
      </c>
      <c r="D3" s="36" t="s">
        <v>1310</v>
      </c>
    </row>
    <row r="4" spans="1:7" x14ac:dyDescent="0.25">
      <c r="A4" s="37" t="s">
        <v>49</v>
      </c>
      <c r="B4" s="38">
        <v>54726</v>
      </c>
      <c r="C4" s="38">
        <v>51256</v>
      </c>
      <c r="D4" s="13">
        <f>C5/B5</f>
        <v>0.93450057309922097</v>
      </c>
    </row>
    <row r="5" spans="1:7" x14ac:dyDescent="0.25">
      <c r="A5" s="37" t="s">
        <v>21</v>
      </c>
      <c r="B5" s="38">
        <v>60199</v>
      </c>
      <c r="C5" s="38">
        <v>56256</v>
      </c>
      <c r="D5" s="13">
        <f t="shared" ref="D5:D9" si="0">C6/B6</f>
        <v>0.92076720631629316</v>
      </c>
    </row>
    <row r="6" spans="1:7" x14ac:dyDescent="0.25">
      <c r="A6" s="37" t="s">
        <v>29</v>
      </c>
      <c r="B6" s="38">
        <v>25078</v>
      </c>
      <c r="C6" s="38">
        <v>23091</v>
      </c>
      <c r="D6" s="13">
        <f t="shared" si="0"/>
        <v>0.93770611945767679</v>
      </c>
    </row>
    <row r="7" spans="1:7" x14ac:dyDescent="0.25">
      <c r="A7" s="37" t="s">
        <v>44</v>
      </c>
      <c r="B7" s="38">
        <v>32748</v>
      </c>
      <c r="C7" s="38">
        <v>30708</v>
      </c>
      <c r="D7" s="13">
        <f t="shared" si="0"/>
        <v>0.93768418643243401</v>
      </c>
    </row>
    <row r="8" spans="1:7" x14ac:dyDescent="0.25">
      <c r="A8" s="37" t="s">
        <v>36</v>
      </c>
      <c r="B8" s="38">
        <v>34951</v>
      </c>
      <c r="C8" s="38">
        <v>32773</v>
      </c>
      <c r="D8" s="13">
        <f t="shared" si="0"/>
        <v>0.92307692307692313</v>
      </c>
    </row>
    <row r="9" spans="1:7" x14ac:dyDescent="0.25">
      <c r="A9" s="37" t="s">
        <v>54</v>
      </c>
      <c r="B9" s="38">
        <v>29224</v>
      </c>
      <c r="C9" s="38">
        <v>26976</v>
      </c>
      <c r="D9" s="13">
        <f t="shared" si="0"/>
        <v>0.93303394308771515</v>
      </c>
    </row>
    <row r="10" spans="1:7" x14ac:dyDescent="0.25">
      <c r="A10" s="37" t="s">
        <v>1333</v>
      </c>
      <c r="B10" s="12">
        <v>236926</v>
      </c>
      <c r="C10" s="12">
        <v>221060</v>
      </c>
      <c r="D10" s="39">
        <f>GETPIVOTDATA("Total Actual_Production",$A$3)/GETPIVOTDATA("Total Production_Target",$A$3)</f>
        <v>0.93303394308771515</v>
      </c>
    </row>
    <row r="20" spans="1:7" ht="26.25" x14ac:dyDescent="0.4">
      <c r="G20" s="43" t="s">
        <v>1350</v>
      </c>
    </row>
    <row r="27" spans="1:7" ht="26.25" x14ac:dyDescent="0.4">
      <c r="A27" s="40" t="s">
        <v>1343</v>
      </c>
    </row>
    <row r="30" spans="1:7" x14ac:dyDescent="0.25">
      <c r="A30" s="35" t="s">
        <v>1332</v>
      </c>
      <c r="B30" s="12" t="s">
        <v>1327</v>
      </c>
      <c r="C30" s="12" t="s">
        <v>1328</v>
      </c>
    </row>
    <row r="31" spans="1:7" x14ac:dyDescent="0.25">
      <c r="A31" s="37" t="s">
        <v>1334</v>
      </c>
      <c r="B31" s="38">
        <v>39822</v>
      </c>
      <c r="C31" s="38">
        <v>37533</v>
      </c>
    </row>
    <row r="32" spans="1:7" x14ac:dyDescent="0.25">
      <c r="A32" s="37" t="s">
        <v>1335</v>
      </c>
      <c r="B32" s="38">
        <v>34674</v>
      </c>
      <c r="C32" s="38">
        <v>32042</v>
      </c>
    </row>
    <row r="33" spans="1:7" x14ac:dyDescent="0.25">
      <c r="A33" s="37" t="s">
        <v>1336</v>
      </c>
      <c r="B33" s="38">
        <v>40453</v>
      </c>
      <c r="C33" s="38">
        <v>37742</v>
      </c>
    </row>
    <row r="34" spans="1:7" x14ac:dyDescent="0.25">
      <c r="A34" s="37" t="s">
        <v>1337</v>
      </c>
      <c r="B34" s="38">
        <v>45024</v>
      </c>
      <c r="C34" s="38">
        <v>42130</v>
      </c>
    </row>
    <row r="35" spans="1:7" x14ac:dyDescent="0.25">
      <c r="A35" s="37" t="s">
        <v>1338</v>
      </c>
      <c r="B35" s="38">
        <v>37848</v>
      </c>
      <c r="C35" s="38">
        <v>34987</v>
      </c>
    </row>
    <row r="36" spans="1:7" x14ac:dyDescent="0.25">
      <c r="A36" s="37" t="s">
        <v>1339</v>
      </c>
      <c r="B36" s="38">
        <v>39105</v>
      </c>
      <c r="C36" s="38">
        <v>36626</v>
      </c>
    </row>
    <row r="37" spans="1:7" x14ac:dyDescent="0.25">
      <c r="A37" s="37" t="s">
        <v>1333</v>
      </c>
      <c r="B37" s="38">
        <v>236926</v>
      </c>
      <c r="C37" s="38">
        <v>221060</v>
      </c>
    </row>
    <row r="46" spans="1:7" ht="26.25" x14ac:dyDescent="0.4">
      <c r="A46" s="40" t="s">
        <v>1344</v>
      </c>
      <c r="G46" s="43" t="s">
        <v>1349</v>
      </c>
    </row>
    <row r="49" spans="1:7" x14ac:dyDescent="0.25">
      <c r="A49" s="41" t="s">
        <v>1332</v>
      </c>
      <c r="B49" t="s">
        <v>1356</v>
      </c>
    </row>
    <row r="50" spans="1:7" x14ac:dyDescent="0.25">
      <c r="A50" s="42" t="s">
        <v>1302</v>
      </c>
      <c r="B50">
        <v>4</v>
      </c>
    </row>
    <row r="51" spans="1:7" x14ac:dyDescent="0.25">
      <c r="A51" s="42" t="s">
        <v>25</v>
      </c>
      <c r="B51">
        <v>717</v>
      </c>
    </row>
    <row r="52" spans="1:7" x14ac:dyDescent="0.25">
      <c r="A52" s="42" t="s">
        <v>39</v>
      </c>
      <c r="B52">
        <v>243</v>
      </c>
    </row>
    <row r="53" spans="1:7" x14ac:dyDescent="0.25">
      <c r="A53" s="42" t="s">
        <v>100</v>
      </c>
      <c r="B53">
        <v>231</v>
      </c>
    </row>
    <row r="54" spans="1:7" x14ac:dyDescent="0.25">
      <c r="A54" s="42" t="s">
        <v>1333</v>
      </c>
      <c r="B54">
        <v>1195</v>
      </c>
    </row>
    <row r="62" spans="1:7" ht="26.25" x14ac:dyDescent="0.4">
      <c r="A62" s="40" t="s">
        <v>1345</v>
      </c>
      <c r="G62" s="43" t="s">
        <v>1348</v>
      </c>
    </row>
    <row r="66" spans="1:4" x14ac:dyDescent="0.25">
      <c r="A66" s="35" t="s">
        <v>1332</v>
      </c>
      <c r="B66" s="12" t="s">
        <v>1327</v>
      </c>
      <c r="C66" s="12" t="s">
        <v>1328</v>
      </c>
      <c r="D66" s="12" t="s">
        <v>1329</v>
      </c>
    </row>
    <row r="67" spans="1:4" x14ac:dyDescent="0.25">
      <c r="A67" s="37" t="s">
        <v>28</v>
      </c>
      <c r="B67" s="38">
        <v>25078</v>
      </c>
      <c r="C67" s="38">
        <v>23091</v>
      </c>
      <c r="D67" s="38">
        <v>1112</v>
      </c>
    </row>
    <row r="68" spans="1:4" x14ac:dyDescent="0.25">
      <c r="A68" s="37" t="s">
        <v>59</v>
      </c>
      <c r="B68" s="38">
        <v>27207</v>
      </c>
      <c r="C68" s="38">
        <v>25202</v>
      </c>
      <c r="D68" s="38">
        <v>1077</v>
      </c>
    </row>
    <row r="69" spans="1:4" x14ac:dyDescent="0.25">
      <c r="A69" s="37" t="s">
        <v>80</v>
      </c>
      <c r="B69" s="38">
        <v>26739</v>
      </c>
      <c r="C69" s="38">
        <v>25288</v>
      </c>
      <c r="D69" s="38">
        <v>1268</v>
      </c>
    </row>
    <row r="70" spans="1:4" x14ac:dyDescent="0.25">
      <c r="A70" s="37" t="s">
        <v>48</v>
      </c>
      <c r="B70" s="38">
        <v>27519</v>
      </c>
      <c r="C70" s="38">
        <v>26054</v>
      </c>
      <c r="D70" s="38">
        <v>1312</v>
      </c>
    </row>
    <row r="71" spans="1:4" x14ac:dyDescent="0.25">
      <c r="A71" s="37" t="s">
        <v>53</v>
      </c>
      <c r="B71" s="38">
        <v>29224</v>
      </c>
      <c r="C71" s="38">
        <v>26976</v>
      </c>
      <c r="D71" s="38">
        <v>1218</v>
      </c>
    </row>
    <row r="72" spans="1:4" x14ac:dyDescent="0.25">
      <c r="A72" s="37" t="s">
        <v>43</v>
      </c>
      <c r="B72" s="38">
        <v>32748</v>
      </c>
      <c r="C72" s="38">
        <v>30708</v>
      </c>
      <c r="D72" s="38">
        <v>1456</v>
      </c>
    </row>
    <row r="73" spans="1:4" x14ac:dyDescent="0.25">
      <c r="A73" s="37" t="s">
        <v>20</v>
      </c>
      <c r="B73" s="38">
        <v>33460</v>
      </c>
      <c r="C73" s="38">
        <v>30968</v>
      </c>
      <c r="D73" s="38">
        <v>1538</v>
      </c>
    </row>
    <row r="74" spans="1:4" x14ac:dyDescent="0.25">
      <c r="A74" s="37" t="s">
        <v>35</v>
      </c>
      <c r="B74" s="38">
        <v>34951</v>
      </c>
      <c r="C74" s="38">
        <v>32773</v>
      </c>
      <c r="D74" s="38">
        <v>1561</v>
      </c>
    </row>
    <row r="75" spans="1:4" x14ac:dyDescent="0.25">
      <c r="A75" s="37" t="s">
        <v>1333</v>
      </c>
      <c r="B75" s="38">
        <v>236926</v>
      </c>
      <c r="C75" s="38">
        <v>221060</v>
      </c>
      <c r="D75" s="38">
        <v>10542</v>
      </c>
    </row>
    <row r="83" spans="1:7" ht="26.25" x14ac:dyDescent="0.4">
      <c r="A83" s="40" t="s">
        <v>1346</v>
      </c>
      <c r="G83" s="43" t="s">
        <v>1351</v>
      </c>
    </row>
    <row r="86" spans="1:7" x14ac:dyDescent="0.25">
      <c r="A86" s="12"/>
      <c r="B86" s="12" t="s">
        <v>1327</v>
      </c>
      <c r="C86" s="12" t="s">
        <v>1328</v>
      </c>
      <c r="D86" s="12" t="s">
        <v>1329</v>
      </c>
    </row>
    <row r="87" spans="1:7" x14ac:dyDescent="0.25">
      <c r="A87" s="37" t="s">
        <v>57</v>
      </c>
      <c r="B87" s="38">
        <v>76713</v>
      </c>
      <c r="C87" s="38">
        <v>71661</v>
      </c>
      <c r="D87" s="38">
        <v>3489</v>
      </c>
    </row>
    <row r="88" spans="1:7" x14ac:dyDescent="0.25">
      <c r="A88" s="37" t="s">
        <v>32</v>
      </c>
      <c r="B88" s="38">
        <v>77425</v>
      </c>
      <c r="C88" s="38">
        <v>72521</v>
      </c>
      <c r="D88" s="38">
        <v>3226</v>
      </c>
    </row>
    <row r="89" spans="1:7" x14ac:dyDescent="0.25">
      <c r="A89" s="37" t="s">
        <v>24</v>
      </c>
      <c r="B89" s="38">
        <v>82788</v>
      </c>
      <c r="C89" s="38">
        <v>76878</v>
      </c>
      <c r="D89" s="38">
        <v>3827</v>
      </c>
    </row>
    <row r="90" spans="1:7" x14ac:dyDescent="0.25">
      <c r="A90" s="37" t="s">
        <v>1333</v>
      </c>
      <c r="B90" s="38">
        <v>236926</v>
      </c>
      <c r="C90" s="38">
        <v>221060</v>
      </c>
      <c r="D90" s="38">
        <v>10542</v>
      </c>
    </row>
  </sheetData>
  <conditionalFormatting sqref="D4:D9">
    <cfRule type="dataBar" priority="1">
      <dataBar>
        <cfvo type="min"/>
        <cfvo type="max"/>
        <color rgb="FF008AEF"/>
      </dataBar>
      <extLst>
        <ext xmlns:x14="http://schemas.microsoft.com/office/spreadsheetml/2009/9/main" uri="{B025F937-C7B1-47D3-B67F-A62EFF666E3E}">
          <x14:id>{B0AB3C3A-FB29-4824-A874-49D33DC73532}</x14:id>
        </ext>
      </extLst>
    </cfRule>
  </conditionalFormatting>
  <pageMargins left="0.7" right="0.7" top="0.75" bottom="0.75" header="0.3" footer="0.3"/>
  <drawing r:id="rId6"/>
  <extLst>
    <ext xmlns:x14="http://schemas.microsoft.com/office/spreadsheetml/2009/9/main" uri="{78C0D931-6437-407d-A8EE-F0AAD7539E65}">
      <x14:conditionalFormattings>
        <x14:conditionalFormatting xmlns:xm="http://schemas.microsoft.com/office/excel/2006/main">
          <x14:cfRule type="dataBar" id="{B0AB3C3A-FB29-4824-A874-49D33DC73532}">
            <x14:dataBar minLength="0" maxLength="100" border="1" negativeBarBorderColorSameAsPositive="0">
              <x14:cfvo type="autoMin"/>
              <x14:cfvo type="autoMax"/>
              <x14:borderColor rgb="FF008AEF"/>
              <x14:negativeFillColor rgb="FFFF0000"/>
              <x14:negativeBorderColor rgb="FFFF0000"/>
              <x14:axisColor rgb="FF000000"/>
            </x14:dataBar>
          </x14:cfRule>
          <xm:sqref>D4:D9</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Dashboard</vt:lpstr>
      <vt:lpstr>Raw_Data</vt:lpstr>
      <vt:lpstr>Clean_Data</vt:lpstr>
      <vt:lpstr>Formula_Analysis</vt:lpstr>
      <vt:lpstr>Product_Lookup</vt:lpstr>
      <vt:lpstr>Pivot_Analysis</vt:lpstr>
      <vt:lpstr>Product_List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Ayan Ahmed</cp:lastModifiedBy>
  <cp:lastPrinted>2026-08-25T03:54:43Z</cp:lastPrinted>
  <dcterms:created xsi:type="dcterms:W3CDTF">2026-08-19T16:36:26Z</dcterms:created>
  <dcterms:modified xsi:type="dcterms:W3CDTF">2026-09-19T13:49:59Z</dcterms:modified>
</cp:coreProperties>
</file>